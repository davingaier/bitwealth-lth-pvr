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MONTHLY FORECAS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;[Red](R #,##0)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A1A1A"/>
      <sz val="10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i val="1"/>
      <color rgb="00555555"/>
      <sz val="9"/>
    </font>
    <font>
      <name val="Calibri"/>
      <i val="1"/>
      <color rgb="001A1A1A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A1A1A"/>
      <sz val="10"/>
    </font>
    <font>
      <name val="Calibri"/>
      <i val="1"/>
      <color rgb="00555555"/>
      <sz val="10"/>
    </font>
    <font>
      <name val="Calibri"/>
      <b val="1"/>
      <color rgb="001A1A1A"/>
      <sz val="10"/>
    </font>
    <font>
      <name val="Calibri"/>
      <b val="1"/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5EBC8"/>
      </patternFill>
    </fill>
    <fill>
      <patternFill patternType="solid">
        <fgColor rgb="00006064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1B5E20"/>
      </patternFill>
    </fill>
    <fill>
      <patternFill patternType="solid">
        <fgColor rgb="0037474F"/>
      </patternFill>
    </fill>
    <fill>
      <patternFill patternType="solid">
        <fgColor rgb="00C9A227"/>
      </patternFill>
    </fill>
    <fill>
      <patternFill patternType="solid">
        <fgColor rgb="00FFF3E0"/>
      </patternFill>
    </fill>
    <fill>
      <patternFill patternType="solid">
        <fgColor rgb="001A1A1A"/>
      </patternFill>
    </fill>
    <fill>
      <patternFill patternType="solid">
        <fgColor rgb="006D4C41"/>
      </patternFill>
    </fill>
    <fill>
      <patternFill patternType="solid">
        <fgColor rgb="00C8E6C9"/>
      </patternFill>
    </fill>
    <fill>
      <patternFill patternType="solid">
        <fgColor rgb="00E3F2FD"/>
      </patternFill>
    </fill>
    <fill>
      <patternFill patternType="solid">
        <fgColor rgb="00FFCDD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0" fontId="5" fillId="6" borderId="2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0" fontId="12" fillId="7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right" vertical="center"/>
    </xf>
    <xf numFmtId="1" fontId="11" fillId="7" borderId="1" applyAlignment="1" pivotButton="0" quotePrefix="0" xfId="0">
      <alignment horizontal="center" vertical="center"/>
    </xf>
    <xf numFmtId="164" fontId="13" fillId="14" borderId="1" applyAlignment="1" pivotButton="0" quotePrefix="0" xfId="0">
      <alignment horizontal="right" vertical="center"/>
    </xf>
    <xf numFmtId="164" fontId="13" fillId="15" borderId="1" applyAlignment="1" pivotButton="0" quotePrefix="0" xfId="0">
      <alignment horizontal="right" vertical="center"/>
    </xf>
    <xf numFmtId="164" fontId="13" fillId="16" borderId="1" applyAlignment="1" pivotButton="0" quotePrefix="0" xfId="0">
      <alignment horizontal="right" vertical="center"/>
    </xf>
    <xf numFmtId="164" fontId="11" fillId="11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164" fontId="13" fillId="11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0" fontId="12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1" fontId="11" fillId="5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/>
    </xf>
    <xf numFmtId="164" fontId="13" fillId="3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AUM Growth (ZAR)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FORECAST'!AD3</f>
            </strRef>
          </tx>
          <spPr>
            <a:ln xmlns:a="http://schemas.openxmlformats.org/drawingml/2006/main" w="25000">
              <a:solidFill>
                <a:srgbClr val="C9A22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FORECAST'!$B$4:$B$99</f>
            </numRef>
          </cat>
          <val>
            <numRef>
              <f>'MONTHLY FORECAST'!$AD$4:$AD$99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Costs (ZAR)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FORECAST'!AC3</f>
            </strRef>
          </tx>
          <spPr>
            <a:ln xmlns:a="http://schemas.openxmlformats.org/drawingml/2006/main" w="20000">
              <a:solidFill>
                <a:srgbClr val="1B5E2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FORECAST'!$B$4:$B$99</f>
            </numRef>
          </cat>
          <val>
            <numRef>
              <f>'MONTHLY FORECAST'!$AC$4:$AC$99</f>
            </numRef>
          </val>
        </ser>
        <ser>
          <idx val="1"/>
          <order val="1"/>
          <tx>
            <strRef>
              <f>'MONTHLY FORECAST'!AJ3</f>
            </strRef>
          </tx>
          <spPr>
            <a:ln xmlns:a="http://schemas.openxmlformats.org/drawingml/2006/main" w="20000">
              <a:solidFill>
                <a:srgbClr val="B71C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FORECAST'!$B$4:$B$99</f>
            </numRef>
          </cat>
          <val>
            <numRef>
              <f>'MONTHLY FORECAST'!$AJ$4:$AJ$99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Cashflow &amp; Reserve Fund (ZAR)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FORECAST'!AM3</f>
            </strRef>
          </tx>
          <spPr>
            <a:ln xmlns:a="http://schemas.openxmlformats.org/drawingml/2006/main" w="20000">
              <a:solidFill>
                <a:srgbClr val="0060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FORECAST'!$B$4:$B$99</f>
            </numRef>
          </cat>
          <val>
            <numRef>
              <f>'MONTHLY FORECAST'!$AM$4:$AM$99</f>
            </numRef>
          </val>
        </ser>
        <ser>
          <idx val="1"/>
          <order val="1"/>
          <tx>
            <strRef>
              <f>'MONTHLY FORECAST'!AN3</f>
            </strRef>
          </tx>
          <spPr>
            <a:ln xmlns:a="http://schemas.openxmlformats.org/drawingml/2006/main" w="20000">
              <a:solidFill>
                <a:srgbClr val="BF36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FORECAST'!$B$4:$B$99</f>
            </numRef>
          </cat>
          <val>
            <numRef>
              <f>'MONTHLY FORECAST'!$AN$4:$AN$99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108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60</row>
      <rowOff>0</rowOff>
    </from>
    <ext cx="1080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65100"/>
    <outlinePr summaryBelow="1" summaryRight="1"/>
    <pageSetUpPr/>
  </sheetPr>
  <dimension ref="A1:C67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45" customWidth="1" min="3" max="3"/>
  </cols>
  <sheetData>
    <row r="1" ht="30" customHeight="1">
      <c r="A1" s="1" t="inlineStr">
        <is>
          <t>BitWealth (Pty) Ltd — Cashflow Model Variables  [FINOVA CAPITAL VARIANT]</t>
        </is>
      </c>
    </row>
    <row r="2">
      <c r="A2" s="2" t="inlineStr">
        <is>
          <t>v4.0  ·  96-Month Forecast (8 Years)  ·  Adjust YELLOW cells  ·  Forecast tab auto-recalculates  ·  FSP: FINOVA CAPITAL (rev-share)</t>
        </is>
      </c>
    </row>
    <row r="4" ht="18" customHeight="1">
      <c r="A4" s="3" t="inlineStr">
        <is>
          <t>RETURN &amp; PERFORMANCE ASSUMPTIONS</t>
        </is>
      </c>
    </row>
    <row r="5">
      <c r="A5" s="4" t="inlineStr">
        <is>
          <t>Annual portfolio return — Years 1–3 (p.a.)</t>
        </is>
      </c>
      <c r="B5" s="5" t="n">
        <v>0.6</v>
      </c>
      <c r="C5" s="6" t="inlineStr">
        <is>
          <t>60% p.a. BTC bull cycle (months 1 → y4_start-1); divided by 12 for monthly</t>
        </is>
      </c>
    </row>
    <row r="6">
      <c r="A6" s="4" t="inlineStr">
        <is>
          <t>Annual portfolio return — Year 4 (p.a.)</t>
        </is>
      </c>
      <c r="B6" s="5" t="n">
        <v>0.1</v>
      </c>
      <c r="C6" s="6" t="inlineStr">
        <is>
          <t>10% moderate/consolidation (months y4_start → y5_start-1)</t>
        </is>
      </c>
    </row>
    <row r="7">
      <c r="A7" s="4" t="inlineStr">
        <is>
          <t>Year 4 starts (model month #)</t>
        </is>
      </c>
      <c r="B7" s="7" t="n">
        <v>37</v>
      </c>
      <c r="C7" s="6" t="inlineStr">
        <is>
          <t>Month 37 = July 2029</t>
        </is>
      </c>
    </row>
    <row r="8">
      <c r="A8" s="4" t="inlineStr">
        <is>
          <t>Year 5 starts (model month #)</t>
        </is>
      </c>
      <c r="B8" s="7" t="n">
        <v>49</v>
      </c>
      <c r="C8" s="6" t="inlineStr">
        <is>
          <t>Month 49 = July 2030 — start of next BTC halving cycle</t>
        </is>
      </c>
    </row>
    <row r="9">
      <c r="A9" s="4" t="inlineStr">
        <is>
          <t>Annual portfolio return — Years 5–8 (p.a.)</t>
        </is>
      </c>
      <c r="B9" s="5" t="n">
        <v>0.5</v>
      </c>
      <c r="C9" s="6" t="inlineStr">
        <is>
          <t>Next BTC bull cycle. Set to 0% for conservative Y5-8 assumption</t>
        </is>
      </c>
    </row>
    <row r="10">
      <c r="A10" s="4" t="inlineStr">
        <is>
          <t>Performance fee crystallisation period (months)</t>
        </is>
      </c>
      <c r="B10" s="7" t="n">
        <v>12</v>
      </c>
      <c r="C10" s="6" t="inlineStr">
        <is>
          <t>12 = annual crystallisation (simplified to monthly accrual in formulas)</t>
        </is>
      </c>
    </row>
    <row r="11">
      <c r="A11" s="4" t="inlineStr">
        <is>
          <t>Monthly liquidity buffer provision (R)</t>
        </is>
      </c>
      <c r="B11" s="8" t="n">
        <v>10580</v>
      </c>
      <c r="C11" s="6" t="inlineStr">
        <is>
          <t>Set aside each month in Y1-3 to fund cash deficit in Y4; tracked in Reserve Fund Bal</t>
        </is>
      </c>
    </row>
    <row r="13" ht="18" customHeight="1">
      <c r="A13" s="9" t="inlineStr">
        <is>
          <t>EXCHANGE FEE SHARE REVENUE  (VALR revenue-share deal)</t>
        </is>
      </c>
    </row>
    <row r="14">
      <c r="A14" s="4" t="inlineStr">
        <is>
          <t>VALR exchange fee rate per trade</t>
        </is>
      </c>
      <c r="B14" s="5" t="n">
        <v>0.001</v>
      </c>
      <c r="C14" s="6" t="inlineStr">
        <is>
          <t>0.1% default. Covers ZAR/USDT, USDT/BTC, and USDT/USDPC conversions. Adjust if VALR rate changes</t>
        </is>
      </c>
    </row>
    <row r="15">
      <c r="A15" s="4" t="inlineStr">
        <is>
          <t>BitWealth share of exchange fees</t>
        </is>
      </c>
      <c r="B15" s="5" t="n">
        <v>0.5</v>
      </c>
      <c r="C15" s="6" t="inlineStr">
        <is>
          <t>50% — as negotiated with VALR. Revenue = total monthly contributions × fee_rate × this share</t>
        </is>
      </c>
    </row>
    <row r="17" ht="18" customHeight="1">
      <c r="A17" s="10" t="inlineStr">
        <is>
          <t>FSP ARRANGEMENT — FINOVA CAPITAL (rev-share model)</t>
        </is>
      </c>
    </row>
    <row r="18">
      <c r="A18" s="4" t="inlineStr">
        <is>
          <t>Performance fee share paid to Finova Capital</t>
        </is>
      </c>
      <c r="B18" s="5" t="n">
        <v>0.2</v>
      </c>
      <c r="C18" s="6" t="inlineStr">
        <is>
          <t>20% of all performance fees earned by BitWealth. BitWealth retains 80%</t>
        </is>
      </c>
    </row>
    <row r="19">
      <c r="A19" s="4" t="inlineStr">
        <is>
          <t>Platform fee share paid to Finova Capital</t>
        </is>
      </c>
      <c r="B19" s="5" t="n">
        <v>0.5</v>
      </c>
      <c r="C19" s="6" t="inlineStr">
        <is>
          <t>50% of all platform fees earned by BitWealth. BitWealth retains 50%</t>
        </is>
      </c>
    </row>
    <row r="20">
      <c r="A20" s="4" t="inlineStr">
        <is>
          <t>Software &amp; infrastructure (monthly)</t>
        </is>
      </c>
      <c r="B20" s="8" t="n">
        <v>5000</v>
      </c>
      <c r="C20" s="6" t="inlineStr">
        <is>
          <t>Cloud, Supabase, VALR API, domain etc.</t>
        </is>
      </c>
    </row>
    <row r="21">
      <c r="A21" s="4" t="inlineStr">
        <is>
          <t>Company secretarial (annual, months 12/24/36 …)</t>
        </is>
      </c>
      <c r="B21" s="8" t="n">
        <v>3000</v>
      </c>
      <c r="C21" s="6" t="inlineStr">
        <is>
          <t>CIPC annual return + company secretary</t>
        </is>
      </c>
    </row>
    <row r="23" ht="18" customHeight="1">
      <c r="A23" s="11" t="inlineStr">
        <is>
          <t>CLIENT 1 (Founding — preferential 2.5% perf fee)</t>
        </is>
      </c>
    </row>
    <row r="24">
      <c r="A24" s="4" t="inlineStr">
        <is>
          <t>Start month</t>
        </is>
      </c>
      <c r="B24" s="7" t="n">
        <v>1</v>
      </c>
      <c r="C24" s="6" t="inlineStr">
        <is>
          <t>Month 1 = June 2026</t>
        </is>
      </c>
    </row>
    <row r="25">
      <c r="A25" s="4" t="inlineStr">
        <is>
          <t>Initial lump sum (R)</t>
        </is>
      </c>
      <c r="B25" s="8" t="n">
        <v>300000</v>
      </c>
      <c r="C25" s="6" t="inlineStr"/>
    </row>
    <row r="26">
      <c r="A26" s="4" t="inlineStr">
        <is>
          <t>Monthly contribution (R)</t>
        </is>
      </c>
      <c r="B26" s="8" t="n">
        <v>200000</v>
      </c>
      <c r="C26" s="6" t="inlineStr"/>
    </row>
    <row r="27">
      <c r="A27" s="4" t="inlineStr">
        <is>
          <t>Platform fee rate</t>
        </is>
      </c>
      <c r="B27" s="5" t="n">
        <v>0.0075</v>
      </c>
      <c r="C27" s="6" t="inlineStr">
        <is>
          <t>0.75%</t>
        </is>
      </c>
    </row>
    <row r="28">
      <c r="A28" s="4" t="inlineStr">
        <is>
          <t>Performance fee rate</t>
        </is>
      </c>
      <c r="B28" s="5" t="n">
        <v>0.025</v>
      </c>
      <c r="C28" s="6" t="inlineStr">
        <is>
          <t>2.5% preferential</t>
        </is>
      </c>
    </row>
    <row r="30" ht="18" customHeight="1">
      <c r="A30" s="11" t="inlineStr">
        <is>
          <t>CLIENT 2 (Founding)</t>
        </is>
      </c>
    </row>
    <row r="31">
      <c r="A31" s="4" t="inlineStr">
        <is>
          <t>Start month</t>
        </is>
      </c>
      <c r="B31" s="7" t="n">
        <v>2</v>
      </c>
      <c r="C31" s="6" t="inlineStr">
        <is>
          <t>Month 2 = July 2026</t>
        </is>
      </c>
    </row>
    <row r="32">
      <c r="A32" s="4" t="inlineStr">
        <is>
          <t>Initial lump sum (R)</t>
        </is>
      </c>
      <c r="B32" s="7" t="n">
        <v>0</v>
      </c>
      <c r="C32" s="6" t="inlineStr"/>
    </row>
    <row r="33">
      <c r="A33" s="4" t="inlineStr">
        <is>
          <t>Monthly contribution (R)</t>
        </is>
      </c>
      <c r="B33" s="8" t="n">
        <v>40000</v>
      </c>
      <c r="C33" s="6" t="inlineStr"/>
    </row>
    <row r="34">
      <c r="A34" s="4" t="inlineStr">
        <is>
          <t>Platform fee rate</t>
        </is>
      </c>
      <c r="B34" s="5" t="n">
        <v>0.0075</v>
      </c>
      <c r="C34" s="6" t="inlineStr"/>
    </row>
    <row r="35">
      <c r="A35" s="4" t="inlineStr">
        <is>
          <t>Performance fee rate</t>
        </is>
      </c>
      <c r="B35" s="5" t="n">
        <v>0.1</v>
      </c>
      <c r="C35" s="6" t="inlineStr">
        <is>
          <t>Standard 10%</t>
        </is>
      </c>
    </row>
    <row r="37" ht="18" customHeight="1">
      <c r="A37" s="11" t="inlineStr">
        <is>
          <t>CLIENT 3 (Founding — large lump sum, no monthly contributions)</t>
        </is>
      </c>
    </row>
    <row r="38">
      <c r="A38" s="4" t="inlineStr">
        <is>
          <t>Start month</t>
        </is>
      </c>
      <c r="B38" s="7" t="n">
        <v>2</v>
      </c>
      <c r="C38" s="6" t="inlineStr">
        <is>
          <t>Month 2 = July 2026</t>
        </is>
      </c>
    </row>
    <row r="39">
      <c r="A39" s="4" t="inlineStr">
        <is>
          <t>Initial lump sum (R)</t>
        </is>
      </c>
      <c r="B39" s="8" t="n">
        <v>5000000</v>
      </c>
      <c r="C39" s="6" t="inlineStr">
        <is>
          <t>0.75% platform fee = R37 500 on day 1</t>
        </is>
      </c>
    </row>
    <row r="40">
      <c r="A40" s="4" t="inlineStr">
        <is>
          <t>Monthly contribution (R)</t>
        </is>
      </c>
      <c r="B40" s="7" t="n">
        <v>0</v>
      </c>
      <c r="C40" s="6" t="inlineStr">
        <is>
          <t>No monthly contributions</t>
        </is>
      </c>
    </row>
    <row r="41">
      <c r="A41" s="4" t="inlineStr">
        <is>
          <t>Platform fee rate</t>
        </is>
      </c>
      <c r="B41" s="5" t="n">
        <v>0.0075</v>
      </c>
      <c r="C41" s="6" t="inlineStr"/>
    </row>
    <row r="42">
      <c r="A42" s="4" t="inlineStr">
        <is>
          <t>Performance fee rate</t>
        </is>
      </c>
      <c r="B42" s="5" t="n">
        <v>0.1</v>
      </c>
      <c r="C42" s="6" t="inlineStr"/>
    </row>
    <row r="44" ht="18" customHeight="1">
      <c r="A44" s="11" t="inlineStr">
        <is>
          <t>CLIENT 4 (Founding — preferential 2.5% perf fee)</t>
        </is>
      </c>
    </row>
    <row r="45">
      <c r="A45" s="4" t="inlineStr">
        <is>
          <t>Start month</t>
        </is>
      </c>
      <c r="B45" s="7" t="n">
        <v>2</v>
      </c>
      <c r="C45" s="6" t="inlineStr">
        <is>
          <t>Month 2 = July 2026</t>
        </is>
      </c>
    </row>
    <row r="46">
      <c r="A46" s="4" t="inlineStr">
        <is>
          <t>Initial lump sum (R)</t>
        </is>
      </c>
      <c r="B46" s="7" t="n">
        <v>0</v>
      </c>
      <c r="C46" s="6" t="inlineStr"/>
    </row>
    <row r="47">
      <c r="A47" s="4" t="inlineStr">
        <is>
          <t>Monthly contribution (R)</t>
        </is>
      </c>
      <c r="B47" s="8" t="n">
        <v>20000</v>
      </c>
      <c r="C47" s="6" t="inlineStr"/>
    </row>
    <row r="48">
      <c r="A48" s="4" t="inlineStr">
        <is>
          <t>Platform fee rate</t>
        </is>
      </c>
      <c r="B48" s="5" t="n">
        <v>0.0075</v>
      </c>
      <c r="C48" s="6" t="inlineStr"/>
    </row>
    <row r="49">
      <c r="A49" s="4" t="inlineStr">
        <is>
          <t>Performance fee rate</t>
        </is>
      </c>
      <c r="B49" s="5" t="n">
        <v>0.025</v>
      </c>
      <c r="C49" s="6" t="inlineStr">
        <is>
          <t>2.5% preferential</t>
        </is>
      </c>
    </row>
    <row r="51" ht="18" customHeight="1">
      <c r="A51" s="9" t="inlineStr">
        <is>
          <t>NEW CLIENT ACQUISITION (rolling monthly ramp)</t>
        </is>
      </c>
    </row>
    <row r="52">
      <c r="A52" s="4" t="inlineStr">
        <is>
          <t>Maximum cohort batches to model</t>
        </is>
      </c>
      <c r="B52" s="7" t="n">
        <v>48</v>
      </c>
      <c r="C52" s="6" t="inlineStr">
        <is>
          <t>48 batches × interval=1 month → fills months 3-50; stays at 48 clients from month 50</t>
        </is>
      </c>
    </row>
    <row r="53">
      <c r="A53" s="4" t="inlineStr">
        <is>
          <t>First cohort — start month</t>
        </is>
      </c>
      <c r="B53" s="7" t="n">
        <v>3</v>
      </c>
      <c r="C53" s="6" t="inlineStr">
        <is>
          <t>Month 3 = August 2026</t>
        </is>
      </c>
    </row>
    <row r="54">
      <c r="A54" s="4" t="inlineStr">
        <is>
          <t>Cohort interval (months)</t>
        </is>
      </c>
      <c r="B54" s="7" t="n">
        <v>1</v>
      </c>
      <c r="C54" s="6" t="inlineStr">
        <is>
          <t>1 = monthly. Change to 3 for quarterly onboarding</t>
        </is>
      </c>
    </row>
    <row r="55">
      <c r="A55" s="4" t="inlineStr">
        <is>
          <t>Clients per cohort batch</t>
        </is>
      </c>
      <c r="B55" s="7" t="n">
        <v>1</v>
      </c>
      <c r="C55" s="6" t="inlineStr">
        <is>
          <t>Change to 2+ to onboard multiple clients per interval; scales contributions &amp; lump sums</t>
        </is>
      </c>
    </row>
    <row r="56">
      <c r="A56" s="4" t="inlineStr">
        <is>
          <t>New client lump sum (R, per client)</t>
        </is>
      </c>
      <c r="B56" s="8" t="n">
        <v>50000</v>
      </c>
      <c r="C56" s="6" t="inlineStr">
        <is>
          <t>Per client on join month; multiply by nc_per_cohort for batch total</t>
        </is>
      </c>
    </row>
    <row r="57">
      <c r="A57" s="4" t="inlineStr">
        <is>
          <t>New client monthly contribution (R, per client)</t>
        </is>
      </c>
      <c r="B57" s="8" t="n">
        <v>5000</v>
      </c>
      <c r="C57" s="6" t="inlineStr">
        <is>
          <t>Per client per month; total = active_clients × this value</t>
        </is>
      </c>
    </row>
    <row r="58">
      <c r="A58" s="4" t="inlineStr">
        <is>
          <t>New client platform fee rate</t>
        </is>
      </c>
      <c r="B58" s="5" t="n">
        <v>0.0075</v>
      </c>
      <c r="C58" s="6" t="inlineStr">
        <is>
          <t>Standard 0.75%</t>
        </is>
      </c>
    </row>
    <row r="59">
      <c r="A59" s="4" t="inlineStr">
        <is>
          <t>New client performance fee rate</t>
        </is>
      </c>
      <c r="B59" s="5" t="n">
        <v>0.1</v>
      </c>
      <c r="C59" s="6" t="inlineStr">
        <is>
          <t>Standard 10%</t>
        </is>
      </c>
    </row>
    <row r="61" ht="18" customHeight="1">
      <c r="A61" s="12" t="inlineStr">
        <is>
          <t>FORECAST PARAMETERS</t>
        </is>
      </c>
    </row>
    <row r="62">
      <c r="A62" s="4" t="inlineStr">
        <is>
          <t>Forecast months</t>
        </is>
      </c>
      <c r="B62" s="7" t="n">
        <v>96</v>
      </c>
      <c r="C62" s="6" t="inlineStr">
        <is>
          <t>96 = 8 full years</t>
        </is>
      </c>
    </row>
    <row r="63">
      <c r="A63" s="4" t="inlineStr">
        <is>
          <t>Model start year</t>
        </is>
      </c>
      <c r="B63" s="13" t="n">
        <v>2026</v>
      </c>
      <c r="C63" s="6" t="inlineStr">
        <is>
          <t>Calendar year of Month 1</t>
        </is>
      </c>
    </row>
    <row r="64">
      <c r="A64" s="4" t="inlineStr">
        <is>
          <t>Model start calendar month (1=Jan … 12=Dec)</t>
        </is>
      </c>
      <c r="B64" s="14" t="n">
        <v>6</v>
      </c>
      <c r="C64" s="6" t="inlineStr">
        <is>
          <t>6 = June</t>
        </is>
      </c>
    </row>
    <row r="67" ht="60" customHeight="1">
      <c r="A67" s="15" t="inlineStr">
        <is>
          <t>★ FINOVA CAPITAL VARIANT — compare side-by-side with the CAEP version.  Finova takes 20% of all performance fees + 50% of all platform fees (no fixed hosting costs).  Advantage: lower risk in early months (no large fixed bill).  Disadvantage: revenue share escalates as AUM and fees grow — CAEP may become cheaper above a certain AUM threshold.  All client, return, and exchange-fee assumptions are identical to the CAEP file.</t>
        </is>
      </c>
    </row>
  </sheetData>
  <mergeCells count="12">
    <mergeCell ref="A13:C13"/>
    <mergeCell ref="A44:C44"/>
    <mergeCell ref="A1:C1"/>
    <mergeCell ref="A23:C23"/>
    <mergeCell ref="A37:C37"/>
    <mergeCell ref="A61:C61"/>
    <mergeCell ref="A17:C17"/>
    <mergeCell ref="A67:C67"/>
    <mergeCell ref="A30:C30"/>
    <mergeCell ref="A4:C4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064"/>
    <outlinePr summaryBelow="1" summaryRight="1"/>
    <pageSetUpPr/>
  </sheetPr>
  <dimension ref="A1:AN10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hidden="1" outlineLevel="1" width="13" customWidth="1" min="4" max="4"/>
    <col hidden="1" outlineLevel="1" width="12" customWidth="1" min="5" max="5"/>
    <col hidden="1" outlineLevel="1" width="12" customWidth="1" min="6" max="6"/>
    <col hidden="1" outlineLevel="1" width="15" customWidth="1" min="7" max="7"/>
    <col hidden="1" outlineLevel="1" width="13" customWidth="1" min="8" max="8"/>
    <col hidden="1" outlineLevel="1" width="12" customWidth="1" min="9" max="9"/>
    <col hidden="1" outlineLevel="1" width="12" customWidth="1" min="10" max="10"/>
    <col hidden="1" outlineLevel="1" width="15" customWidth="1" min="11" max="11"/>
    <col hidden="1" outlineLevel="1" width="13" customWidth="1" min="12" max="12"/>
    <col hidden="1" outlineLevel="1" width="12" customWidth="1" min="13" max="13"/>
    <col hidden="1" outlineLevel="1" width="12" customWidth="1" min="14" max="14"/>
    <col hidden="1" outlineLevel="1" width="15" customWidth="1" min="15" max="15"/>
    <col hidden="1" outlineLevel="1" width="13" customWidth="1" min="16" max="16"/>
    <col hidden="1" outlineLevel="1" width="12" customWidth="1" min="17" max="17"/>
    <col hidden="1" outlineLevel="1" width="12" customWidth="1" min="18" max="18"/>
    <col hidden="1" outlineLevel="1" width="15" customWidth="1" min="19" max="19"/>
    <col hidden="1" outlineLevel="1" width="8" customWidth="1" min="20" max="20"/>
    <col hidden="1" outlineLevel="1" width="14" customWidth="1" min="21" max="21"/>
    <col hidden="1" outlineLevel="1" width="12" customWidth="1" min="22" max="22"/>
    <col hidden="1" outlineLevel="1" width="12" customWidth="1" min="23" max="23"/>
    <col hidden="1" outlineLevel="1" width="15" customWidth="1" min="24" max="24"/>
    <col width="14" customWidth="1" min="25" max="25"/>
    <col width="14" customWidth="1" min="26" max="26"/>
    <col width="14" customWidth="1" min="27" max="27"/>
    <col width="14" customWidth="1" min="28" max="28"/>
    <col width="15" customWidth="1" min="29" max="29"/>
    <col width="16" customWidth="1" min="30" max="30"/>
    <col width="14" customWidth="1" min="31" max="31"/>
    <col width="14" customWidth="1" min="32" max="32"/>
    <col width="14" customWidth="1" min="33" max="33"/>
    <col width="11" customWidth="1" min="34" max="34"/>
    <col width="11" customWidth="1" min="35" max="35"/>
    <col width="13" customWidth="1" min="36" max="36"/>
    <col width="14" customWidth="1" min="37" max="37"/>
    <col width="15" customWidth="1" min="38" max="38"/>
    <col width="16" customWidth="1" min="39" max="39"/>
    <col width="16" customWidth="1" min="40" max="40"/>
  </cols>
  <sheetData>
    <row r="1" ht="22" customHeight="1">
      <c r="A1" s="16" t="inlineStr">
        <is>
          <t>BitWealth (Pty) Ltd — 96-Month Cashflow Forecast v4.0  ·  FSP: FINOVA CAPITAL  ·  All formulas auto-update when VARIABLES sheet changes</t>
        </is>
      </c>
    </row>
    <row r="2">
      <c r="A2" s="17" t="inlineStr">
        <is>
          <t>PERIOD</t>
        </is>
      </c>
      <c r="D2" s="18" t="inlineStr">
        <is>
          <t>CLIENT DETAIL  (hidden — click + to expand)</t>
        </is>
      </c>
      <c r="Y2" s="19" t="inlineStr">
        <is>
          <t>REVENUE</t>
        </is>
      </c>
      <c r="AD2" s="20" t="inlineStr">
        <is>
          <t>TOTAL AUM</t>
        </is>
      </c>
      <c r="AE2" s="21" t="inlineStr">
        <is>
          <t>COSTS</t>
        </is>
      </c>
      <c r="AK2" s="22" t="inlineStr">
        <is>
          <t>RESERVE</t>
        </is>
      </c>
      <c r="AL2" s="20" t="inlineStr">
        <is>
          <t>CASHFLOW</t>
        </is>
      </c>
    </row>
    <row r="3" ht="52" customHeight="1">
      <c r="A3" s="23" t="inlineStr">
        <is>
          <t>Month
#</t>
        </is>
      </c>
      <c r="B3" s="23" t="inlineStr">
        <is>
          <t>Month</t>
        </is>
      </c>
      <c r="C3" s="23" t="inlineStr">
        <is>
          <t>Monthly
Return %</t>
        </is>
      </c>
      <c r="D3" s="24" t="inlineStr">
        <is>
          <t>C1
Contrib</t>
        </is>
      </c>
      <c r="E3" s="24" t="inlineStr">
        <is>
          <t>C1
Plat</t>
        </is>
      </c>
      <c r="F3" s="24" t="inlineStr">
        <is>
          <t>C1
Perf</t>
        </is>
      </c>
      <c r="G3" s="24" t="inlineStr">
        <is>
          <t>C1
AUM</t>
        </is>
      </c>
      <c r="H3" s="24" t="inlineStr">
        <is>
          <t>C2
Contrib</t>
        </is>
      </c>
      <c r="I3" s="24" t="inlineStr">
        <is>
          <t>C2
Plat</t>
        </is>
      </c>
      <c r="J3" s="24" t="inlineStr">
        <is>
          <t>C2
Perf</t>
        </is>
      </c>
      <c r="K3" s="24" t="inlineStr">
        <is>
          <t>C2
AUM</t>
        </is>
      </c>
      <c r="L3" s="24" t="inlineStr">
        <is>
          <t>C3
Contrib</t>
        </is>
      </c>
      <c r="M3" s="24" t="inlineStr">
        <is>
          <t>C3
Plat</t>
        </is>
      </c>
      <c r="N3" s="24" t="inlineStr">
        <is>
          <t>C3
Perf</t>
        </is>
      </c>
      <c r="O3" s="24" t="inlineStr">
        <is>
          <t>C3
AUM</t>
        </is>
      </c>
      <c r="P3" s="24" t="inlineStr">
        <is>
          <t>C4
Contrib</t>
        </is>
      </c>
      <c r="Q3" s="24" t="inlineStr">
        <is>
          <t>C4
Plat</t>
        </is>
      </c>
      <c r="R3" s="24" t="inlineStr">
        <is>
          <t>C4
Perf</t>
        </is>
      </c>
      <c r="S3" s="24" t="inlineStr">
        <is>
          <t>C4
AUM</t>
        </is>
      </c>
      <c r="T3" s="24" t="inlineStr">
        <is>
          <t>NC
Clients</t>
        </is>
      </c>
      <c r="U3" s="24" t="inlineStr">
        <is>
          <t>NC
Contrib</t>
        </is>
      </c>
      <c r="V3" s="24" t="inlineStr">
        <is>
          <t>NC
Plat</t>
        </is>
      </c>
      <c r="W3" s="24" t="inlineStr">
        <is>
          <t>NC
Perf</t>
        </is>
      </c>
      <c r="X3" s="24" t="inlineStr">
        <is>
          <t>NC
AUM</t>
        </is>
      </c>
      <c r="Y3" s="25" t="inlineStr">
        <is>
          <t>Total
Contrib</t>
        </is>
      </c>
      <c r="Z3" s="25" t="inlineStr">
        <is>
          <t>Total
Plat Fee</t>
        </is>
      </c>
      <c r="AA3" s="25" t="inlineStr">
        <is>
          <t>Total
Perf Fee</t>
        </is>
      </c>
      <c r="AB3" s="25" t="inlineStr">
        <is>
          <t>Exchange
Fee Rev</t>
        </is>
      </c>
      <c r="AC3" s="25" t="inlineStr">
        <is>
          <t>TOTAL
REVENUE</t>
        </is>
      </c>
      <c r="AD3" s="23" t="inlineStr">
        <is>
          <t>TOTAL
AUM</t>
        </is>
      </c>
      <c r="AE3" s="26" t="inlineStr">
        <is>
          <t>Finova
Setup
(R0)</t>
        </is>
      </c>
      <c r="AF3" s="26" t="inlineStr">
        <is>
          <t>Finova
Plat
Share</t>
        </is>
      </c>
      <c r="AG3" s="26" t="inlineStr">
        <is>
          <t>Finova
Perf
Share</t>
        </is>
      </c>
      <c r="AH3" s="26" t="inlineStr">
        <is>
          <t>Software</t>
        </is>
      </c>
      <c r="AI3" s="26" t="inlineStr">
        <is>
          <t>Co Sec</t>
        </is>
      </c>
      <c r="AJ3" s="26" t="inlineStr">
        <is>
          <t>TOTAL
COSTS</t>
        </is>
      </c>
      <c r="AK3" s="27" t="inlineStr">
        <is>
          <t>Reserve
Provision</t>
        </is>
      </c>
      <c r="AL3" s="23" t="inlineStr">
        <is>
          <t>NET CASH
(after reserve)</t>
        </is>
      </c>
      <c r="AM3" s="23" t="inlineStr">
        <is>
          <t>CUMULATIVE
CASH</t>
        </is>
      </c>
      <c r="AN3" s="23" t="inlineStr">
        <is>
          <t>Reserve
Fund Bal</t>
        </is>
      </c>
    </row>
    <row r="4">
      <c r="A4" s="28" t="n">
        <v>1</v>
      </c>
      <c r="B4" s="29">
        <f>TEXT(DATE(VARIABLES!$B$63+INT((VARIABLES!$B$64+$A4-2)/12),MOD(VARIABLES!$B$64+$A4-2,12)+1,1),"mmm-yy")</f>
        <v/>
      </c>
      <c r="C4" s="30">
        <f>IF($A4&lt;VARIABLES!$B$7,VARIABLES!$B$5/12,IF($A4&lt;VARIABLES!$B$8,VARIABLES!$B$6/12,VARIABLES!$B$9/12))</f>
        <v/>
      </c>
      <c r="D4" s="31">
        <f>IF($A4&lt;VARIABLES!$B$24,0,IF($A4=VARIABLES!$B$24,VARIABLES!$B$25+VARIABLES!$B$26,VARIABLES!$B$26))</f>
        <v/>
      </c>
      <c r="E4" s="31">
        <f>D4*VARIABLES!$B$27</f>
        <v/>
      </c>
      <c r="F4" s="31">
        <f>IF($A4&lt;VARIABLES!$B$24,0,(IF($A4=VARIABLES!$B$24,0,G3)+D4)*C4*VARIABLES!$B$28)</f>
        <v/>
      </c>
      <c r="G4" s="31">
        <f>IF($A4&lt;VARIABLES!$B$24,0,(IF($A4=VARIABLES!$B$24,0,G3)+D4)*(1+C4)-F4)</f>
        <v/>
      </c>
      <c r="H4" s="31">
        <f>IF($A4&lt;VARIABLES!$B$31,0,IF($A4=VARIABLES!$B$31,VARIABLES!$B$32+VARIABLES!$B$33,VARIABLES!$B$33))</f>
        <v/>
      </c>
      <c r="I4" s="31">
        <f>H4*VARIABLES!$B$34</f>
        <v/>
      </c>
      <c r="J4" s="31">
        <f>IF($A4&lt;VARIABLES!$B$31,0,(IF($A4=VARIABLES!$B$31,0,K3)+H4)*C4*VARIABLES!$B$35)</f>
        <v/>
      </c>
      <c r="K4" s="31">
        <f>IF($A4&lt;VARIABLES!$B$31,0,(IF($A4=VARIABLES!$B$31,0,K3)+H4)*(1+C4)-J4)</f>
        <v/>
      </c>
      <c r="L4" s="31">
        <f>IF($A4&lt;VARIABLES!$B$38,0,IF($A4=VARIABLES!$B$38,VARIABLES!$B$39+VARIABLES!$B$40,VARIABLES!$B$40))</f>
        <v/>
      </c>
      <c r="M4" s="31">
        <f>L4*VARIABLES!$B$41</f>
        <v/>
      </c>
      <c r="N4" s="31">
        <f>IF($A4&lt;VARIABLES!$B$38,0,(IF($A4=VARIABLES!$B$38,0,O3)+L4)*C4*VARIABLES!$B$42)</f>
        <v/>
      </c>
      <c r="O4" s="31">
        <f>IF($A4&lt;VARIABLES!$B$38,0,(IF($A4=VARIABLES!$B$38,0,O3)+L4)*(1+C4)-N4)</f>
        <v/>
      </c>
      <c r="P4" s="31">
        <f>IF($A4&lt;VARIABLES!$B$45,0,IF($A4=VARIABLES!$B$45,VARIABLES!$B$46+VARIABLES!$B$47,VARIABLES!$B$47))</f>
        <v/>
      </c>
      <c r="Q4" s="31">
        <f>P4*VARIABLES!$B$48</f>
        <v/>
      </c>
      <c r="R4" s="31">
        <f>IF($A4&lt;VARIABLES!$B$45,0,(IF($A4=VARIABLES!$B$45,0,S3)+P4)*C4*VARIABLES!$B$49)</f>
        <v/>
      </c>
      <c r="S4" s="31">
        <f>IF($A4&lt;VARIABLES!$B$45,0,(IF($A4=VARIABLES!$B$45,0,S3)+P4)*(1+C4)-R4)</f>
        <v/>
      </c>
      <c r="T4" s="32">
        <f>IF($A4&lt;VARIABLES!$B$53,0,MIN(VARIABLES!$B$52,INT(($A4-VARIABLES!$B$53)/VARIABLES!$B$54)+1)*VARIABLES!$B$55)</f>
        <v/>
      </c>
      <c r="U4" s="31">
        <f>T4*VARIABLES!$B$57+IF(AND($A4&gt;=VARIABLES!$B$53,MOD($A4-VARIABLES!$B$53,VARIABLES!$B$54)=0,INT(($A4-VARIABLES!$B$53)/VARIABLES!$B$54)&lt;VARIABLES!$B$52),VARIABLES!$B$55*VARIABLES!$B$56,0)</f>
        <v/>
      </c>
      <c r="V4" s="31">
        <f>U4*VARIABLES!$B$58</f>
        <v/>
      </c>
      <c r="W4" s="31">
        <f>IF($A4&lt;VARIABLES!$B$53,0,(IF($A4&lt;VARIABLES!$B$53+1,0,X3)+U4)*C4*VARIABLES!$B$59)</f>
        <v/>
      </c>
      <c r="X4" s="31">
        <f>IF($A4&lt;VARIABLES!$B$53,0,(IF($A4&lt;VARIABLES!$B$53+1,0,X3)+U4)*(1+C4)-W4)</f>
        <v/>
      </c>
      <c r="Y4" s="31">
        <f>D4+H4+L4+P4+U4</f>
        <v/>
      </c>
      <c r="Z4" s="31">
        <f>E4+I4+M4+Q4+V4</f>
        <v/>
      </c>
      <c r="AA4" s="31">
        <f>F4+J4+N4+R4+W4</f>
        <v/>
      </c>
      <c r="AB4" s="31">
        <f>Y4*VARIABLES!$B$14*VARIABLES!$B$15</f>
        <v/>
      </c>
      <c r="AC4" s="33">
        <f>Z4+AA4+AB4</f>
        <v/>
      </c>
      <c r="AD4" s="34">
        <f>G4+K4+O4+S4+X4</f>
        <v/>
      </c>
      <c r="AE4" s="31">
        <f>0</f>
        <v/>
      </c>
      <c r="AF4" s="31">
        <f>Z4*VARIABLES!$B$19</f>
        <v/>
      </c>
      <c r="AG4" s="31">
        <f>AA4*VARIABLES!$B$18</f>
        <v/>
      </c>
      <c r="AH4" s="31">
        <f>VARIABLES!$B$20</f>
        <v/>
      </c>
      <c r="AI4" s="31">
        <f>IF(MOD($A4,12)=0,VARIABLES!$B$21,0)</f>
        <v/>
      </c>
      <c r="AJ4" s="35">
        <f>AE4+AF4+AG4+AH4+AI4</f>
        <v/>
      </c>
      <c r="AK4" s="36">
        <f>IF($A4&lt;VARIABLES!$B$7,VARIABLES!$B$11,0)</f>
        <v/>
      </c>
      <c r="AL4" s="37">
        <f>AC4-AJ4-AK4</f>
        <v/>
      </c>
      <c r="AM4" s="37">
        <f>AL4</f>
        <v/>
      </c>
      <c r="AN4" s="38">
        <f>AK4</f>
        <v/>
      </c>
    </row>
    <row r="5">
      <c r="A5" s="39" t="n">
        <v>2</v>
      </c>
      <c r="B5" s="40">
        <f>TEXT(DATE(VARIABLES!$B$63+INT((VARIABLES!$B$64+$A5-2)/12),MOD(VARIABLES!$B$64+$A5-2,12)+1,1),"mmm-yy")</f>
        <v/>
      </c>
      <c r="C5" s="41">
        <f>IF($A5&lt;VARIABLES!$B$7,VARIABLES!$B$5/12,IF($A5&lt;VARIABLES!$B$8,VARIABLES!$B$6/12,VARIABLES!$B$9/12))</f>
        <v/>
      </c>
      <c r="D5" s="42">
        <f>IF($A5&lt;VARIABLES!$B$24,0,IF($A5=VARIABLES!$B$24,VARIABLES!$B$25+VARIABLES!$B$26,VARIABLES!$B$26))</f>
        <v/>
      </c>
      <c r="E5" s="42">
        <f>D5*VARIABLES!$B$27</f>
        <v/>
      </c>
      <c r="F5" s="42">
        <f>IF($A5&lt;VARIABLES!$B$24,0,(IF($A5=VARIABLES!$B$24,0,G4)+D5)*C5*VARIABLES!$B$28)</f>
        <v/>
      </c>
      <c r="G5" s="42">
        <f>IF($A5&lt;VARIABLES!$B$24,0,(IF($A5=VARIABLES!$B$24,0,G4)+D5)*(1+C5)-F5)</f>
        <v/>
      </c>
      <c r="H5" s="42">
        <f>IF($A5&lt;VARIABLES!$B$31,0,IF($A5=VARIABLES!$B$31,VARIABLES!$B$32+VARIABLES!$B$33,VARIABLES!$B$33))</f>
        <v/>
      </c>
      <c r="I5" s="42">
        <f>H5*VARIABLES!$B$34</f>
        <v/>
      </c>
      <c r="J5" s="42">
        <f>IF($A5&lt;VARIABLES!$B$31,0,(IF($A5=VARIABLES!$B$31,0,K4)+H5)*C5*VARIABLES!$B$35)</f>
        <v/>
      </c>
      <c r="K5" s="42">
        <f>IF($A5&lt;VARIABLES!$B$31,0,(IF($A5=VARIABLES!$B$31,0,K4)+H5)*(1+C5)-J5)</f>
        <v/>
      </c>
      <c r="L5" s="42">
        <f>IF($A5&lt;VARIABLES!$B$38,0,IF($A5=VARIABLES!$B$38,VARIABLES!$B$39+VARIABLES!$B$40,VARIABLES!$B$40))</f>
        <v/>
      </c>
      <c r="M5" s="42">
        <f>L5*VARIABLES!$B$41</f>
        <v/>
      </c>
      <c r="N5" s="42">
        <f>IF($A5&lt;VARIABLES!$B$38,0,(IF($A5=VARIABLES!$B$38,0,O4)+L5)*C5*VARIABLES!$B$42)</f>
        <v/>
      </c>
      <c r="O5" s="42">
        <f>IF($A5&lt;VARIABLES!$B$38,0,(IF($A5=VARIABLES!$B$38,0,O4)+L5)*(1+C5)-N5)</f>
        <v/>
      </c>
      <c r="P5" s="42">
        <f>IF($A5&lt;VARIABLES!$B$45,0,IF($A5=VARIABLES!$B$45,VARIABLES!$B$46+VARIABLES!$B$47,VARIABLES!$B$47))</f>
        <v/>
      </c>
      <c r="Q5" s="42">
        <f>P5*VARIABLES!$B$48</f>
        <v/>
      </c>
      <c r="R5" s="42">
        <f>IF($A5&lt;VARIABLES!$B$45,0,(IF($A5=VARIABLES!$B$45,0,S4)+P5)*C5*VARIABLES!$B$49)</f>
        <v/>
      </c>
      <c r="S5" s="42">
        <f>IF($A5&lt;VARIABLES!$B$45,0,(IF($A5=VARIABLES!$B$45,0,S4)+P5)*(1+C5)-R5)</f>
        <v/>
      </c>
      <c r="T5" s="43">
        <f>IF($A5&lt;VARIABLES!$B$53,0,MIN(VARIABLES!$B$52,INT(($A5-VARIABLES!$B$53)/VARIABLES!$B$54)+1)*VARIABLES!$B$55)</f>
        <v/>
      </c>
      <c r="U5" s="42">
        <f>T5*VARIABLES!$B$57+IF(AND($A5&gt;=VARIABLES!$B$53,MOD($A5-VARIABLES!$B$53,VARIABLES!$B$54)=0,INT(($A5-VARIABLES!$B$53)/VARIABLES!$B$54)&lt;VARIABLES!$B$52),VARIABLES!$B$55*VARIABLES!$B$56,0)</f>
        <v/>
      </c>
      <c r="V5" s="42">
        <f>U5*VARIABLES!$B$58</f>
        <v/>
      </c>
      <c r="W5" s="42">
        <f>IF($A5&lt;VARIABLES!$B$53,0,(IF($A5&lt;VARIABLES!$B$53+1,0,X4)+U5)*C5*VARIABLES!$B$59)</f>
        <v/>
      </c>
      <c r="X5" s="42">
        <f>IF($A5&lt;VARIABLES!$B$53,0,(IF($A5&lt;VARIABLES!$B$53+1,0,X4)+U5)*(1+C5)-W5)</f>
        <v/>
      </c>
      <c r="Y5" s="42">
        <f>D5+H5+L5+P5+U5</f>
        <v/>
      </c>
      <c r="Z5" s="42">
        <f>E5+I5+M5+Q5+V5</f>
        <v/>
      </c>
      <c r="AA5" s="42">
        <f>F5+J5+N5+R5+W5</f>
        <v/>
      </c>
      <c r="AB5" s="42">
        <f>Y5*VARIABLES!$B$14*VARIABLES!$B$15</f>
        <v/>
      </c>
      <c r="AC5" s="33">
        <f>Z5+AA5+AB5</f>
        <v/>
      </c>
      <c r="AD5" s="34">
        <f>G5+K5+O5+S5+X5</f>
        <v/>
      </c>
      <c r="AE5" s="42">
        <f>0</f>
        <v/>
      </c>
      <c r="AF5" s="42">
        <f>Z5*VARIABLES!$B$19</f>
        <v/>
      </c>
      <c r="AG5" s="42">
        <f>AA5*VARIABLES!$B$18</f>
        <v/>
      </c>
      <c r="AH5" s="42">
        <f>VARIABLES!$B$20</f>
        <v/>
      </c>
      <c r="AI5" s="42">
        <f>IF(MOD($A5,12)=0,VARIABLES!$B$21,0)</f>
        <v/>
      </c>
      <c r="AJ5" s="35">
        <f>AE5+AF5+AG5+AH5+AI5</f>
        <v/>
      </c>
      <c r="AK5" s="36">
        <f>IF($A5&lt;VARIABLES!$B$7,VARIABLES!$B$11,0)</f>
        <v/>
      </c>
      <c r="AL5" s="44">
        <f>AC5-AJ5-AK5</f>
        <v/>
      </c>
      <c r="AM5" s="44">
        <f>AM4+AL5</f>
        <v/>
      </c>
      <c r="AN5" s="38">
        <f>AN4+AK5</f>
        <v/>
      </c>
    </row>
    <row r="6">
      <c r="A6" s="28" t="n">
        <v>3</v>
      </c>
      <c r="B6" s="29">
        <f>TEXT(DATE(VARIABLES!$B$63+INT((VARIABLES!$B$64+$A6-2)/12),MOD(VARIABLES!$B$64+$A6-2,12)+1,1),"mmm-yy")</f>
        <v/>
      </c>
      <c r="C6" s="30">
        <f>IF($A6&lt;VARIABLES!$B$7,VARIABLES!$B$5/12,IF($A6&lt;VARIABLES!$B$8,VARIABLES!$B$6/12,VARIABLES!$B$9/12))</f>
        <v/>
      </c>
      <c r="D6" s="31">
        <f>IF($A6&lt;VARIABLES!$B$24,0,IF($A6=VARIABLES!$B$24,VARIABLES!$B$25+VARIABLES!$B$26,VARIABLES!$B$26))</f>
        <v/>
      </c>
      <c r="E6" s="31">
        <f>D6*VARIABLES!$B$27</f>
        <v/>
      </c>
      <c r="F6" s="31">
        <f>IF($A6&lt;VARIABLES!$B$24,0,(IF($A6=VARIABLES!$B$24,0,G5)+D6)*C6*VARIABLES!$B$28)</f>
        <v/>
      </c>
      <c r="G6" s="31">
        <f>IF($A6&lt;VARIABLES!$B$24,0,(IF($A6=VARIABLES!$B$24,0,G5)+D6)*(1+C6)-F6)</f>
        <v/>
      </c>
      <c r="H6" s="31">
        <f>IF($A6&lt;VARIABLES!$B$31,0,IF($A6=VARIABLES!$B$31,VARIABLES!$B$32+VARIABLES!$B$33,VARIABLES!$B$33))</f>
        <v/>
      </c>
      <c r="I6" s="31">
        <f>H6*VARIABLES!$B$34</f>
        <v/>
      </c>
      <c r="J6" s="31">
        <f>IF($A6&lt;VARIABLES!$B$31,0,(IF($A6=VARIABLES!$B$31,0,K5)+H6)*C6*VARIABLES!$B$35)</f>
        <v/>
      </c>
      <c r="K6" s="31">
        <f>IF($A6&lt;VARIABLES!$B$31,0,(IF($A6=VARIABLES!$B$31,0,K5)+H6)*(1+C6)-J6)</f>
        <v/>
      </c>
      <c r="L6" s="31">
        <f>IF($A6&lt;VARIABLES!$B$38,0,IF($A6=VARIABLES!$B$38,VARIABLES!$B$39+VARIABLES!$B$40,VARIABLES!$B$40))</f>
        <v/>
      </c>
      <c r="M6" s="31">
        <f>L6*VARIABLES!$B$41</f>
        <v/>
      </c>
      <c r="N6" s="31">
        <f>IF($A6&lt;VARIABLES!$B$38,0,(IF($A6=VARIABLES!$B$38,0,O5)+L6)*C6*VARIABLES!$B$42)</f>
        <v/>
      </c>
      <c r="O6" s="31">
        <f>IF($A6&lt;VARIABLES!$B$38,0,(IF($A6=VARIABLES!$B$38,0,O5)+L6)*(1+C6)-N6)</f>
        <v/>
      </c>
      <c r="P6" s="31">
        <f>IF($A6&lt;VARIABLES!$B$45,0,IF($A6=VARIABLES!$B$45,VARIABLES!$B$46+VARIABLES!$B$47,VARIABLES!$B$47))</f>
        <v/>
      </c>
      <c r="Q6" s="31">
        <f>P6*VARIABLES!$B$48</f>
        <v/>
      </c>
      <c r="R6" s="31">
        <f>IF($A6&lt;VARIABLES!$B$45,0,(IF($A6=VARIABLES!$B$45,0,S5)+P6)*C6*VARIABLES!$B$49)</f>
        <v/>
      </c>
      <c r="S6" s="31">
        <f>IF($A6&lt;VARIABLES!$B$45,0,(IF($A6=VARIABLES!$B$45,0,S5)+P6)*(1+C6)-R6)</f>
        <v/>
      </c>
      <c r="T6" s="32">
        <f>IF($A6&lt;VARIABLES!$B$53,0,MIN(VARIABLES!$B$52,INT(($A6-VARIABLES!$B$53)/VARIABLES!$B$54)+1)*VARIABLES!$B$55)</f>
        <v/>
      </c>
      <c r="U6" s="31">
        <f>T6*VARIABLES!$B$57+IF(AND($A6&gt;=VARIABLES!$B$53,MOD($A6-VARIABLES!$B$53,VARIABLES!$B$54)=0,INT(($A6-VARIABLES!$B$53)/VARIABLES!$B$54)&lt;VARIABLES!$B$52),VARIABLES!$B$55*VARIABLES!$B$56,0)</f>
        <v/>
      </c>
      <c r="V6" s="31">
        <f>U6*VARIABLES!$B$58</f>
        <v/>
      </c>
      <c r="W6" s="31">
        <f>IF($A6&lt;VARIABLES!$B$53,0,(IF($A6&lt;VARIABLES!$B$53+1,0,X5)+U6)*C6*VARIABLES!$B$59)</f>
        <v/>
      </c>
      <c r="X6" s="31">
        <f>IF($A6&lt;VARIABLES!$B$53,0,(IF($A6&lt;VARIABLES!$B$53+1,0,X5)+U6)*(1+C6)-W6)</f>
        <v/>
      </c>
      <c r="Y6" s="31">
        <f>D6+H6+L6+P6+U6</f>
        <v/>
      </c>
      <c r="Z6" s="31">
        <f>E6+I6+M6+Q6+V6</f>
        <v/>
      </c>
      <c r="AA6" s="31">
        <f>F6+J6+N6+R6+W6</f>
        <v/>
      </c>
      <c r="AB6" s="31">
        <f>Y6*VARIABLES!$B$14*VARIABLES!$B$15</f>
        <v/>
      </c>
      <c r="AC6" s="33">
        <f>Z6+AA6+AB6</f>
        <v/>
      </c>
      <c r="AD6" s="34">
        <f>G6+K6+O6+S6+X6</f>
        <v/>
      </c>
      <c r="AE6" s="31">
        <f>0</f>
        <v/>
      </c>
      <c r="AF6" s="31">
        <f>Z6*VARIABLES!$B$19</f>
        <v/>
      </c>
      <c r="AG6" s="31">
        <f>AA6*VARIABLES!$B$18</f>
        <v/>
      </c>
      <c r="AH6" s="31">
        <f>VARIABLES!$B$20</f>
        <v/>
      </c>
      <c r="AI6" s="31">
        <f>IF(MOD($A6,12)=0,VARIABLES!$B$21,0)</f>
        <v/>
      </c>
      <c r="AJ6" s="35">
        <f>AE6+AF6+AG6+AH6+AI6</f>
        <v/>
      </c>
      <c r="AK6" s="36">
        <f>IF($A6&lt;VARIABLES!$B$7,VARIABLES!$B$11,0)</f>
        <v/>
      </c>
      <c r="AL6" s="37">
        <f>AC6-AJ6-AK6</f>
        <v/>
      </c>
      <c r="AM6" s="37">
        <f>AM5+AL6</f>
        <v/>
      </c>
      <c r="AN6" s="38">
        <f>AN5+AK6</f>
        <v/>
      </c>
    </row>
    <row r="7">
      <c r="A7" s="39" t="n">
        <v>4</v>
      </c>
      <c r="B7" s="40">
        <f>TEXT(DATE(VARIABLES!$B$63+INT((VARIABLES!$B$64+$A7-2)/12),MOD(VARIABLES!$B$64+$A7-2,12)+1,1),"mmm-yy")</f>
        <v/>
      </c>
      <c r="C7" s="41">
        <f>IF($A7&lt;VARIABLES!$B$7,VARIABLES!$B$5/12,IF($A7&lt;VARIABLES!$B$8,VARIABLES!$B$6/12,VARIABLES!$B$9/12))</f>
        <v/>
      </c>
      <c r="D7" s="42">
        <f>IF($A7&lt;VARIABLES!$B$24,0,IF($A7=VARIABLES!$B$24,VARIABLES!$B$25+VARIABLES!$B$26,VARIABLES!$B$26))</f>
        <v/>
      </c>
      <c r="E7" s="42">
        <f>D7*VARIABLES!$B$27</f>
        <v/>
      </c>
      <c r="F7" s="42">
        <f>IF($A7&lt;VARIABLES!$B$24,0,(IF($A7=VARIABLES!$B$24,0,G6)+D7)*C7*VARIABLES!$B$28)</f>
        <v/>
      </c>
      <c r="G7" s="42">
        <f>IF($A7&lt;VARIABLES!$B$24,0,(IF($A7=VARIABLES!$B$24,0,G6)+D7)*(1+C7)-F7)</f>
        <v/>
      </c>
      <c r="H7" s="42">
        <f>IF($A7&lt;VARIABLES!$B$31,0,IF($A7=VARIABLES!$B$31,VARIABLES!$B$32+VARIABLES!$B$33,VARIABLES!$B$33))</f>
        <v/>
      </c>
      <c r="I7" s="42">
        <f>H7*VARIABLES!$B$34</f>
        <v/>
      </c>
      <c r="J7" s="42">
        <f>IF($A7&lt;VARIABLES!$B$31,0,(IF($A7=VARIABLES!$B$31,0,K6)+H7)*C7*VARIABLES!$B$35)</f>
        <v/>
      </c>
      <c r="K7" s="42">
        <f>IF($A7&lt;VARIABLES!$B$31,0,(IF($A7=VARIABLES!$B$31,0,K6)+H7)*(1+C7)-J7)</f>
        <v/>
      </c>
      <c r="L7" s="42">
        <f>IF($A7&lt;VARIABLES!$B$38,0,IF($A7=VARIABLES!$B$38,VARIABLES!$B$39+VARIABLES!$B$40,VARIABLES!$B$40))</f>
        <v/>
      </c>
      <c r="M7" s="42">
        <f>L7*VARIABLES!$B$41</f>
        <v/>
      </c>
      <c r="N7" s="42">
        <f>IF($A7&lt;VARIABLES!$B$38,0,(IF($A7=VARIABLES!$B$38,0,O6)+L7)*C7*VARIABLES!$B$42)</f>
        <v/>
      </c>
      <c r="O7" s="42">
        <f>IF($A7&lt;VARIABLES!$B$38,0,(IF($A7=VARIABLES!$B$38,0,O6)+L7)*(1+C7)-N7)</f>
        <v/>
      </c>
      <c r="P7" s="42">
        <f>IF($A7&lt;VARIABLES!$B$45,0,IF($A7=VARIABLES!$B$45,VARIABLES!$B$46+VARIABLES!$B$47,VARIABLES!$B$47))</f>
        <v/>
      </c>
      <c r="Q7" s="42">
        <f>P7*VARIABLES!$B$48</f>
        <v/>
      </c>
      <c r="R7" s="42">
        <f>IF($A7&lt;VARIABLES!$B$45,0,(IF($A7=VARIABLES!$B$45,0,S6)+P7)*C7*VARIABLES!$B$49)</f>
        <v/>
      </c>
      <c r="S7" s="42">
        <f>IF($A7&lt;VARIABLES!$B$45,0,(IF($A7=VARIABLES!$B$45,0,S6)+P7)*(1+C7)-R7)</f>
        <v/>
      </c>
      <c r="T7" s="43">
        <f>IF($A7&lt;VARIABLES!$B$53,0,MIN(VARIABLES!$B$52,INT(($A7-VARIABLES!$B$53)/VARIABLES!$B$54)+1)*VARIABLES!$B$55)</f>
        <v/>
      </c>
      <c r="U7" s="42">
        <f>T7*VARIABLES!$B$57+IF(AND($A7&gt;=VARIABLES!$B$53,MOD($A7-VARIABLES!$B$53,VARIABLES!$B$54)=0,INT(($A7-VARIABLES!$B$53)/VARIABLES!$B$54)&lt;VARIABLES!$B$52),VARIABLES!$B$55*VARIABLES!$B$56,0)</f>
        <v/>
      </c>
      <c r="V7" s="42">
        <f>U7*VARIABLES!$B$58</f>
        <v/>
      </c>
      <c r="W7" s="42">
        <f>IF($A7&lt;VARIABLES!$B$53,0,(IF($A7&lt;VARIABLES!$B$53+1,0,X6)+U7)*C7*VARIABLES!$B$59)</f>
        <v/>
      </c>
      <c r="X7" s="42">
        <f>IF($A7&lt;VARIABLES!$B$53,0,(IF($A7&lt;VARIABLES!$B$53+1,0,X6)+U7)*(1+C7)-W7)</f>
        <v/>
      </c>
      <c r="Y7" s="42">
        <f>D7+H7+L7+P7+U7</f>
        <v/>
      </c>
      <c r="Z7" s="42">
        <f>E7+I7+M7+Q7+V7</f>
        <v/>
      </c>
      <c r="AA7" s="42">
        <f>F7+J7+N7+R7+W7</f>
        <v/>
      </c>
      <c r="AB7" s="42">
        <f>Y7*VARIABLES!$B$14*VARIABLES!$B$15</f>
        <v/>
      </c>
      <c r="AC7" s="33">
        <f>Z7+AA7+AB7</f>
        <v/>
      </c>
      <c r="AD7" s="34">
        <f>G7+K7+O7+S7+X7</f>
        <v/>
      </c>
      <c r="AE7" s="42">
        <f>0</f>
        <v/>
      </c>
      <c r="AF7" s="42">
        <f>Z7*VARIABLES!$B$19</f>
        <v/>
      </c>
      <c r="AG7" s="42">
        <f>AA7*VARIABLES!$B$18</f>
        <v/>
      </c>
      <c r="AH7" s="42">
        <f>VARIABLES!$B$20</f>
        <v/>
      </c>
      <c r="AI7" s="42">
        <f>IF(MOD($A7,12)=0,VARIABLES!$B$21,0)</f>
        <v/>
      </c>
      <c r="AJ7" s="35">
        <f>AE7+AF7+AG7+AH7+AI7</f>
        <v/>
      </c>
      <c r="AK7" s="36">
        <f>IF($A7&lt;VARIABLES!$B$7,VARIABLES!$B$11,0)</f>
        <v/>
      </c>
      <c r="AL7" s="44">
        <f>AC7-AJ7-AK7</f>
        <v/>
      </c>
      <c r="AM7" s="44">
        <f>AM6+AL7</f>
        <v/>
      </c>
      <c r="AN7" s="38">
        <f>AN6+AK7</f>
        <v/>
      </c>
    </row>
    <row r="8">
      <c r="A8" s="28" t="n">
        <v>5</v>
      </c>
      <c r="B8" s="29">
        <f>TEXT(DATE(VARIABLES!$B$63+INT((VARIABLES!$B$64+$A8-2)/12),MOD(VARIABLES!$B$64+$A8-2,12)+1,1),"mmm-yy")</f>
        <v/>
      </c>
      <c r="C8" s="30">
        <f>IF($A8&lt;VARIABLES!$B$7,VARIABLES!$B$5/12,IF($A8&lt;VARIABLES!$B$8,VARIABLES!$B$6/12,VARIABLES!$B$9/12))</f>
        <v/>
      </c>
      <c r="D8" s="31">
        <f>IF($A8&lt;VARIABLES!$B$24,0,IF($A8=VARIABLES!$B$24,VARIABLES!$B$25+VARIABLES!$B$26,VARIABLES!$B$26))</f>
        <v/>
      </c>
      <c r="E8" s="31">
        <f>D8*VARIABLES!$B$27</f>
        <v/>
      </c>
      <c r="F8" s="31">
        <f>IF($A8&lt;VARIABLES!$B$24,0,(IF($A8=VARIABLES!$B$24,0,G7)+D8)*C8*VARIABLES!$B$28)</f>
        <v/>
      </c>
      <c r="G8" s="31">
        <f>IF($A8&lt;VARIABLES!$B$24,0,(IF($A8=VARIABLES!$B$24,0,G7)+D8)*(1+C8)-F8)</f>
        <v/>
      </c>
      <c r="H8" s="31">
        <f>IF($A8&lt;VARIABLES!$B$31,0,IF($A8=VARIABLES!$B$31,VARIABLES!$B$32+VARIABLES!$B$33,VARIABLES!$B$33))</f>
        <v/>
      </c>
      <c r="I8" s="31">
        <f>H8*VARIABLES!$B$34</f>
        <v/>
      </c>
      <c r="J8" s="31">
        <f>IF($A8&lt;VARIABLES!$B$31,0,(IF($A8=VARIABLES!$B$31,0,K7)+H8)*C8*VARIABLES!$B$35)</f>
        <v/>
      </c>
      <c r="K8" s="31">
        <f>IF($A8&lt;VARIABLES!$B$31,0,(IF($A8=VARIABLES!$B$31,0,K7)+H8)*(1+C8)-J8)</f>
        <v/>
      </c>
      <c r="L8" s="31">
        <f>IF($A8&lt;VARIABLES!$B$38,0,IF($A8=VARIABLES!$B$38,VARIABLES!$B$39+VARIABLES!$B$40,VARIABLES!$B$40))</f>
        <v/>
      </c>
      <c r="M8" s="31">
        <f>L8*VARIABLES!$B$41</f>
        <v/>
      </c>
      <c r="N8" s="31">
        <f>IF($A8&lt;VARIABLES!$B$38,0,(IF($A8=VARIABLES!$B$38,0,O7)+L8)*C8*VARIABLES!$B$42)</f>
        <v/>
      </c>
      <c r="O8" s="31">
        <f>IF($A8&lt;VARIABLES!$B$38,0,(IF($A8=VARIABLES!$B$38,0,O7)+L8)*(1+C8)-N8)</f>
        <v/>
      </c>
      <c r="P8" s="31">
        <f>IF($A8&lt;VARIABLES!$B$45,0,IF($A8=VARIABLES!$B$45,VARIABLES!$B$46+VARIABLES!$B$47,VARIABLES!$B$47))</f>
        <v/>
      </c>
      <c r="Q8" s="31">
        <f>P8*VARIABLES!$B$48</f>
        <v/>
      </c>
      <c r="R8" s="31">
        <f>IF($A8&lt;VARIABLES!$B$45,0,(IF($A8=VARIABLES!$B$45,0,S7)+P8)*C8*VARIABLES!$B$49)</f>
        <v/>
      </c>
      <c r="S8" s="31">
        <f>IF($A8&lt;VARIABLES!$B$45,0,(IF($A8=VARIABLES!$B$45,0,S7)+P8)*(1+C8)-R8)</f>
        <v/>
      </c>
      <c r="T8" s="32">
        <f>IF($A8&lt;VARIABLES!$B$53,0,MIN(VARIABLES!$B$52,INT(($A8-VARIABLES!$B$53)/VARIABLES!$B$54)+1)*VARIABLES!$B$55)</f>
        <v/>
      </c>
      <c r="U8" s="31">
        <f>T8*VARIABLES!$B$57+IF(AND($A8&gt;=VARIABLES!$B$53,MOD($A8-VARIABLES!$B$53,VARIABLES!$B$54)=0,INT(($A8-VARIABLES!$B$53)/VARIABLES!$B$54)&lt;VARIABLES!$B$52),VARIABLES!$B$55*VARIABLES!$B$56,0)</f>
        <v/>
      </c>
      <c r="V8" s="31">
        <f>U8*VARIABLES!$B$58</f>
        <v/>
      </c>
      <c r="W8" s="31">
        <f>IF($A8&lt;VARIABLES!$B$53,0,(IF($A8&lt;VARIABLES!$B$53+1,0,X7)+U8)*C8*VARIABLES!$B$59)</f>
        <v/>
      </c>
      <c r="X8" s="31">
        <f>IF($A8&lt;VARIABLES!$B$53,0,(IF($A8&lt;VARIABLES!$B$53+1,0,X7)+U8)*(1+C8)-W8)</f>
        <v/>
      </c>
      <c r="Y8" s="31">
        <f>D8+H8+L8+P8+U8</f>
        <v/>
      </c>
      <c r="Z8" s="31">
        <f>E8+I8+M8+Q8+V8</f>
        <v/>
      </c>
      <c r="AA8" s="31">
        <f>F8+J8+N8+R8+W8</f>
        <v/>
      </c>
      <c r="AB8" s="31">
        <f>Y8*VARIABLES!$B$14*VARIABLES!$B$15</f>
        <v/>
      </c>
      <c r="AC8" s="33">
        <f>Z8+AA8+AB8</f>
        <v/>
      </c>
      <c r="AD8" s="34">
        <f>G8+K8+O8+S8+X8</f>
        <v/>
      </c>
      <c r="AE8" s="31">
        <f>0</f>
        <v/>
      </c>
      <c r="AF8" s="31">
        <f>Z8*VARIABLES!$B$19</f>
        <v/>
      </c>
      <c r="AG8" s="31">
        <f>AA8*VARIABLES!$B$18</f>
        <v/>
      </c>
      <c r="AH8" s="31">
        <f>VARIABLES!$B$20</f>
        <v/>
      </c>
      <c r="AI8" s="31">
        <f>IF(MOD($A8,12)=0,VARIABLES!$B$21,0)</f>
        <v/>
      </c>
      <c r="AJ8" s="35">
        <f>AE8+AF8+AG8+AH8+AI8</f>
        <v/>
      </c>
      <c r="AK8" s="36">
        <f>IF($A8&lt;VARIABLES!$B$7,VARIABLES!$B$11,0)</f>
        <v/>
      </c>
      <c r="AL8" s="37">
        <f>AC8-AJ8-AK8</f>
        <v/>
      </c>
      <c r="AM8" s="37">
        <f>AM7+AL8</f>
        <v/>
      </c>
      <c r="AN8" s="38">
        <f>AN7+AK8</f>
        <v/>
      </c>
    </row>
    <row r="9">
      <c r="A9" s="39" t="n">
        <v>6</v>
      </c>
      <c r="B9" s="40">
        <f>TEXT(DATE(VARIABLES!$B$63+INT((VARIABLES!$B$64+$A9-2)/12),MOD(VARIABLES!$B$64+$A9-2,12)+1,1),"mmm-yy")</f>
        <v/>
      </c>
      <c r="C9" s="41">
        <f>IF($A9&lt;VARIABLES!$B$7,VARIABLES!$B$5/12,IF($A9&lt;VARIABLES!$B$8,VARIABLES!$B$6/12,VARIABLES!$B$9/12))</f>
        <v/>
      </c>
      <c r="D9" s="42">
        <f>IF($A9&lt;VARIABLES!$B$24,0,IF($A9=VARIABLES!$B$24,VARIABLES!$B$25+VARIABLES!$B$26,VARIABLES!$B$26))</f>
        <v/>
      </c>
      <c r="E9" s="42">
        <f>D9*VARIABLES!$B$27</f>
        <v/>
      </c>
      <c r="F9" s="42">
        <f>IF($A9&lt;VARIABLES!$B$24,0,(IF($A9=VARIABLES!$B$24,0,G8)+D9)*C9*VARIABLES!$B$28)</f>
        <v/>
      </c>
      <c r="G9" s="42">
        <f>IF($A9&lt;VARIABLES!$B$24,0,(IF($A9=VARIABLES!$B$24,0,G8)+D9)*(1+C9)-F9)</f>
        <v/>
      </c>
      <c r="H9" s="42">
        <f>IF($A9&lt;VARIABLES!$B$31,0,IF($A9=VARIABLES!$B$31,VARIABLES!$B$32+VARIABLES!$B$33,VARIABLES!$B$33))</f>
        <v/>
      </c>
      <c r="I9" s="42">
        <f>H9*VARIABLES!$B$34</f>
        <v/>
      </c>
      <c r="J9" s="42">
        <f>IF($A9&lt;VARIABLES!$B$31,0,(IF($A9=VARIABLES!$B$31,0,K8)+H9)*C9*VARIABLES!$B$35)</f>
        <v/>
      </c>
      <c r="K9" s="42">
        <f>IF($A9&lt;VARIABLES!$B$31,0,(IF($A9=VARIABLES!$B$31,0,K8)+H9)*(1+C9)-J9)</f>
        <v/>
      </c>
      <c r="L9" s="42">
        <f>IF($A9&lt;VARIABLES!$B$38,0,IF($A9=VARIABLES!$B$38,VARIABLES!$B$39+VARIABLES!$B$40,VARIABLES!$B$40))</f>
        <v/>
      </c>
      <c r="M9" s="42">
        <f>L9*VARIABLES!$B$41</f>
        <v/>
      </c>
      <c r="N9" s="42">
        <f>IF($A9&lt;VARIABLES!$B$38,0,(IF($A9=VARIABLES!$B$38,0,O8)+L9)*C9*VARIABLES!$B$42)</f>
        <v/>
      </c>
      <c r="O9" s="42">
        <f>IF($A9&lt;VARIABLES!$B$38,0,(IF($A9=VARIABLES!$B$38,0,O8)+L9)*(1+C9)-N9)</f>
        <v/>
      </c>
      <c r="P9" s="42">
        <f>IF($A9&lt;VARIABLES!$B$45,0,IF($A9=VARIABLES!$B$45,VARIABLES!$B$46+VARIABLES!$B$47,VARIABLES!$B$47))</f>
        <v/>
      </c>
      <c r="Q9" s="42">
        <f>P9*VARIABLES!$B$48</f>
        <v/>
      </c>
      <c r="R9" s="42">
        <f>IF($A9&lt;VARIABLES!$B$45,0,(IF($A9=VARIABLES!$B$45,0,S8)+P9)*C9*VARIABLES!$B$49)</f>
        <v/>
      </c>
      <c r="S9" s="42">
        <f>IF($A9&lt;VARIABLES!$B$45,0,(IF($A9=VARIABLES!$B$45,0,S8)+P9)*(1+C9)-R9)</f>
        <v/>
      </c>
      <c r="T9" s="43">
        <f>IF($A9&lt;VARIABLES!$B$53,0,MIN(VARIABLES!$B$52,INT(($A9-VARIABLES!$B$53)/VARIABLES!$B$54)+1)*VARIABLES!$B$55)</f>
        <v/>
      </c>
      <c r="U9" s="42">
        <f>T9*VARIABLES!$B$57+IF(AND($A9&gt;=VARIABLES!$B$53,MOD($A9-VARIABLES!$B$53,VARIABLES!$B$54)=0,INT(($A9-VARIABLES!$B$53)/VARIABLES!$B$54)&lt;VARIABLES!$B$52),VARIABLES!$B$55*VARIABLES!$B$56,0)</f>
        <v/>
      </c>
      <c r="V9" s="42">
        <f>U9*VARIABLES!$B$58</f>
        <v/>
      </c>
      <c r="W9" s="42">
        <f>IF($A9&lt;VARIABLES!$B$53,0,(IF($A9&lt;VARIABLES!$B$53+1,0,X8)+U9)*C9*VARIABLES!$B$59)</f>
        <v/>
      </c>
      <c r="X9" s="42">
        <f>IF($A9&lt;VARIABLES!$B$53,0,(IF($A9&lt;VARIABLES!$B$53+1,0,X8)+U9)*(1+C9)-W9)</f>
        <v/>
      </c>
      <c r="Y9" s="42">
        <f>D9+H9+L9+P9+U9</f>
        <v/>
      </c>
      <c r="Z9" s="42">
        <f>E9+I9+M9+Q9+V9</f>
        <v/>
      </c>
      <c r="AA9" s="42">
        <f>F9+J9+N9+R9+W9</f>
        <v/>
      </c>
      <c r="AB9" s="42">
        <f>Y9*VARIABLES!$B$14*VARIABLES!$B$15</f>
        <v/>
      </c>
      <c r="AC9" s="33">
        <f>Z9+AA9+AB9</f>
        <v/>
      </c>
      <c r="AD9" s="34">
        <f>G9+K9+O9+S9+X9</f>
        <v/>
      </c>
      <c r="AE9" s="42">
        <f>0</f>
        <v/>
      </c>
      <c r="AF9" s="42">
        <f>Z9*VARIABLES!$B$19</f>
        <v/>
      </c>
      <c r="AG9" s="42">
        <f>AA9*VARIABLES!$B$18</f>
        <v/>
      </c>
      <c r="AH9" s="42">
        <f>VARIABLES!$B$20</f>
        <v/>
      </c>
      <c r="AI9" s="42">
        <f>IF(MOD($A9,12)=0,VARIABLES!$B$21,0)</f>
        <v/>
      </c>
      <c r="AJ9" s="35">
        <f>AE9+AF9+AG9+AH9+AI9</f>
        <v/>
      </c>
      <c r="AK9" s="36">
        <f>IF($A9&lt;VARIABLES!$B$7,VARIABLES!$B$11,0)</f>
        <v/>
      </c>
      <c r="AL9" s="44">
        <f>AC9-AJ9-AK9</f>
        <v/>
      </c>
      <c r="AM9" s="44">
        <f>AM8+AL9</f>
        <v/>
      </c>
      <c r="AN9" s="38">
        <f>AN8+AK9</f>
        <v/>
      </c>
    </row>
    <row r="10">
      <c r="A10" s="28" t="n">
        <v>7</v>
      </c>
      <c r="B10" s="29">
        <f>TEXT(DATE(VARIABLES!$B$63+INT((VARIABLES!$B$64+$A10-2)/12),MOD(VARIABLES!$B$64+$A10-2,12)+1,1),"mmm-yy")</f>
        <v/>
      </c>
      <c r="C10" s="30">
        <f>IF($A10&lt;VARIABLES!$B$7,VARIABLES!$B$5/12,IF($A10&lt;VARIABLES!$B$8,VARIABLES!$B$6/12,VARIABLES!$B$9/12))</f>
        <v/>
      </c>
      <c r="D10" s="31">
        <f>IF($A10&lt;VARIABLES!$B$24,0,IF($A10=VARIABLES!$B$24,VARIABLES!$B$25+VARIABLES!$B$26,VARIABLES!$B$26))</f>
        <v/>
      </c>
      <c r="E10" s="31">
        <f>D10*VARIABLES!$B$27</f>
        <v/>
      </c>
      <c r="F10" s="31">
        <f>IF($A10&lt;VARIABLES!$B$24,0,(IF($A10=VARIABLES!$B$24,0,G9)+D10)*C10*VARIABLES!$B$28)</f>
        <v/>
      </c>
      <c r="G10" s="31">
        <f>IF($A10&lt;VARIABLES!$B$24,0,(IF($A10=VARIABLES!$B$24,0,G9)+D10)*(1+C10)-F10)</f>
        <v/>
      </c>
      <c r="H10" s="31">
        <f>IF($A10&lt;VARIABLES!$B$31,0,IF($A10=VARIABLES!$B$31,VARIABLES!$B$32+VARIABLES!$B$33,VARIABLES!$B$33))</f>
        <v/>
      </c>
      <c r="I10" s="31">
        <f>H10*VARIABLES!$B$34</f>
        <v/>
      </c>
      <c r="J10" s="31">
        <f>IF($A10&lt;VARIABLES!$B$31,0,(IF($A10=VARIABLES!$B$31,0,K9)+H10)*C10*VARIABLES!$B$35)</f>
        <v/>
      </c>
      <c r="K10" s="31">
        <f>IF($A10&lt;VARIABLES!$B$31,0,(IF($A10=VARIABLES!$B$31,0,K9)+H10)*(1+C10)-J10)</f>
        <v/>
      </c>
      <c r="L10" s="31">
        <f>IF($A10&lt;VARIABLES!$B$38,0,IF($A10=VARIABLES!$B$38,VARIABLES!$B$39+VARIABLES!$B$40,VARIABLES!$B$40))</f>
        <v/>
      </c>
      <c r="M10" s="31">
        <f>L10*VARIABLES!$B$41</f>
        <v/>
      </c>
      <c r="N10" s="31">
        <f>IF($A10&lt;VARIABLES!$B$38,0,(IF($A10=VARIABLES!$B$38,0,O9)+L10)*C10*VARIABLES!$B$42)</f>
        <v/>
      </c>
      <c r="O10" s="31">
        <f>IF($A10&lt;VARIABLES!$B$38,0,(IF($A10=VARIABLES!$B$38,0,O9)+L10)*(1+C10)-N10)</f>
        <v/>
      </c>
      <c r="P10" s="31">
        <f>IF($A10&lt;VARIABLES!$B$45,0,IF($A10=VARIABLES!$B$45,VARIABLES!$B$46+VARIABLES!$B$47,VARIABLES!$B$47))</f>
        <v/>
      </c>
      <c r="Q10" s="31">
        <f>P10*VARIABLES!$B$48</f>
        <v/>
      </c>
      <c r="R10" s="31">
        <f>IF($A10&lt;VARIABLES!$B$45,0,(IF($A10=VARIABLES!$B$45,0,S9)+P10)*C10*VARIABLES!$B$49)</f>
        <v/>
      </c>
      <c r="S10" s="31">
        <f>IF($A10&lt;VARIABLES!$B$45,0,(IF($A10=VARIABLES!$B$45,0,S9)+P10)*(1+C10)-R10)</f>
        <v/>
      </c>
      <c r="T10" s="32">
        <f>IF($A10&lt;VARIABLES!$B$53,0,MIN(VARIABLES!$B$52,INT(($A10-VARIABLES!$B$53)/VARIABLES!$B$54)+1)*VARIABLES!$B$55)</f>
        <v/>
      </c>
      <c r="U10" s="31">
        <f>T10*VARIABLES!$B$57+IF(AND($A10&gt;=VARIABLES!$B$53,MOD($A10-VARIABLES!$B$53,VARIABLES!$B$54)=0,INT(($A10-VARIABLES!$B$53)/VARIABLES!$B$54)&lt;VARIABLES!$B$52),VARIABLES!$B$55*VARIABLES!$B$56,0)</f>
        <v/>
      </c>
      <c r="V10" s="31">
        <f>U10*VARIABLES!$B$58</f>
        <v/>
      </c>
      <c r="W10" s="31">
        <f>IF($A10&lt;VARIABLES!$B$53,0,(IF($A10&lt;VARIABLES!$B$53+1,0,X9)+U10)*C10*VARIABLES!$B$59)</f>
        <v/>
      </c>
      <c r="X10" s="31">
        <f>IF($A10&lt;VARIABLES!$B$53,0,(IF($A10&lt;VARIABLES!$B$53+1,0,X9)+U10)*(1+C10)-W10)</f>
        <v/>
      </c>
      <c r="Y10" s="31">
        <f>D10+H10+L10+P10+U10</f>
        <v/>
      </c>
      <c r="Z10" s="31">
        <f>E10+I10+M10+Q10+V10</f>
        <v/>
      </c>
      <c r="AA10" s="31">
        <f>F10+J10+N10+R10+W10</f>
        <v/>
      </c>
      <c r="AB10" s="31">
        <f>Y10*VARIABLES!$B$14*VARIABLES!$B$15</f>
        <v/>
      </c>
      <c r="AC10" s="33">
        <f>Z10+AA10+AB10</f>
        <v/>
      </c>
      <c r="AD10" s="34">
        <f>G10+K10+O10+S10+X10</f>
        <v/>
      </c>
      <c r="AE10" s="31">
        <f>0</f>
        <v/>
      </c>
      <c r="AF10" s="31">
        <f>Z10*VARIABLES!$B$19</f>
        <v/>
      </c>
      <c r="AG10" s="31">
        <f>AA10*VARIABLES!$B$18</f>
        <v/>
      </c>
      <c r="AH10" s="31">
        <f>VARIABLES!$B$20</f>
        <v/>
      </c>
      <c r="AI10" s="31">
        <f>IF(MOD($A10,12)=0,VARIABLES!$B$21,0)</f>
        <v/>
      </c>
      <c r="AJ10" s="35">
        <f>AE10+AF10+AG10+AH10+AI10</f>
        <v/>
      </c>
      <c r="AK10" s="36">
        <f>IF($A10&lt;VARIABLES!$B$7,VARIABLES!$B$11,0)</f>
        <v/>
      </c>
      <c r="AL10" s="37">
        <f>AC10-AJ10-AK10</f>
        <v/>
      </c>
      <c r="AM10" s="37">
        <f>AM9+AL10</f>
        <v/>
      </c>
      <c r="AN10" s="38">
        <f>AN9+AK10</f>
        <v/>
      </c>
    </row>
    <row r="11">
      <c r="A11" s="39" t="n">
        <v>8</v>
      </c>
      <c r="B11" s="40">
        <f>TEXT(DATE(VARIABLES!$B$63+INT((VARIABLES!$B$64+$A11-2)/12),MOD(VARIABLES!$B$64+$A11-2,12)+1,1),"mmm-yy")</f>
        <v/>
      </c>
      <c r="C11" s="41">
        <f>IF($A11&lt;VARIABLES!$B$7,VARIABLES!$B$5/12,IF($A11&lt;VARIABLES!$B$8,VARIABLES!$B$6/12,VARIABLES!$B$9/12))</f>
        <v/>
      </c>
      <c r="D11" s="42">
        <f>IF($A11&lt;VARIABLES!$B$24,0,IF($A11=VARIABLES!$B$24,VARIABLES!$B$25+VARIABLES!$B$26,VARIABLES!$B$26))</f>
        <v/>
      </c>
      <c r="E11" s="42">
        <f>D11*VARIABLES!$B$27</f>
        <v/>
      </c>
      <c r="F11" s="42">
        <f>IF($A11&lt;VARIABLES!$B$24,0,(IF($A11=VARIABLES!$B$24,0,G10)+D11)*C11*VARIABLES!$B$28)</f>
        <v/>
      </c>
      <c r="G11" s="42">
        <f>IF($A11&lt;VARIABLES!$B$24,0,(IF($A11=VARIABLES!$B$24,0,G10)+D11)*(1+C11)-F11)</f>
        <v/>
      </c>
      <c r="H11" s="42">
        <f>IF($A11&lt;VARIABLES!$B$31,0,IF($A11=VARIABLES!$B$31,VARIABLES!$B$32+VARIABLES!$B$33,VARIABLES!$B$33))</f>
        <v/>
      </c>
      <c r="I11" s="42">
        <f>H11*VARIABLES!$B$34</f>
        <v/>
      </c>
      <c r="J11" s="42">
        <f>IF($A11&lt;VARIABLES!$B$31,0,(IF($A11=VARIABLES!$B$31,0,K10)+H11)*C11*VARIABLES!$B$35)</f>
        <v/>
      </c>
      <c r="K11" s="42">
        <f>IF($A11&lt;VARIABLES!$B$31,0,(IF($A11=VARIABLES!$B$31,0,K10)+H11)*(1+C11)-J11)</f>
        <v/>
      </c>
      <c r="L11" s="42">
        <f>IF($A11&lt;VARIABLES!$B$38,0,IF($A11=VARIABLES!$B$38,VARIABLES!$B$39+VARIABLES!$B$40,VARIABLES!$B$40))</f>
        <v/>
      </c>
      <c r="M11" s="42">
        <f>L11*VARIABLES!$B$41</f>
        <v/>
      </c>
      <c r="N11" s="42">
        <f>IF($A11&lt;VARIABLES!$B$38,0,(IF($A11=VARIABLES!$B$38,0,O10)+L11)*C11*VARIABLES!$B$42)</f>
        <v/>
      </c>
      <c r="O11" s="42">
        <f>IF($A11&lt;VARIABLES!$B$38,0,(IF($A11=VARIABLES!$B$38,0,O10)+L11)*(1+C11)-N11)</f>
        <v/>
      </c>
      <c r="P11" s="42">
        <f>IF($A11&lt;VARIABLES!$B$45,0,IF($A11=VARIABLES!$B$45,VARIABLES!$B$46+VARIABLES!$B$47,VARIABLES!$B$47))</f>
        <v/>
      </c>
      <c r="Q11" s="42">
        <f>P11*VARIABLES!$B$48</f>
        <v/>
      </c>
      <c r="R11" s="42">
        <f>IF($A11&lt;VARIABLES!$B$45,0,(IF($A11=VARIABLES!$B$45,0,S10)+P11)*C11*VARIABLES!$B$49)</f>
        <v/>
      </c>
      <c r="S11" s="42">
        <f>IF($A11&lt;VARIABLES!$B$45,0,(IF($A11=VARIABLES!$B$45,0,S10)+P11)*(1+C11)-R11)</f>
        <v/>
      </c>
      <c r="T11" s="43">
        <f>IF($A11&lt;VARIABLES!$B$53,0,MIN(VARIABLES!$B$52,INT(($A11-VARIABLES!$B$53)/VARIABLES!$B$54)+1)*VARIABLES!$B$55)</f>
        <v/>
      </c>
      <c r="U11" s="42">
        <f>T11*VARIABLES!$B$57+IF(AND($A11&gt;=VARIABLES!$B$53,MOD($A11-VARIABLES!$B$53,VARIABLES!$B$54)=0,INT(($A11-VARIABLES!$B$53)/VARIABLES!$B$54)&lt;VARIABLES!$B$52),VARIABLES!$B$55*VARIABLES!$B$56,0)</f>
        <v/>
      </c>
      <c r="V11" s="42">
        <f>U11*VARIABLES!$B$58</f>
        <v/>
      </c>
      <c r="W11" s="42">
        <f>IF($A11&lt;VARIABLES!$B$53,0,(IF($A11&lt;VARIABLES!$B$53+1,0,X10)+U11)*C11*VARIABLES!$B$59)</f>
        <v/>
      </c>
      <c r="X11" s="42">
        <f>IF($A11&lt;VARIABLES!$B$53,0,(IF($A11&lt;VARIABLES!$B$53+1,0,X10)+U11)*(1+C11)-W11)</f>
        <v/>
      </c>
      <c r="Y11" s="42">
        <f>D11+H11+L11+P11+U11</f>
        <v/>
      </c>
      <c r="Z11" s="42">
        <f>E11+I11+M11+Q11+V11</f>
        <v/>
      </c>
      <c r="AA11" s="42">
        <f>F11+J11+N11+R11+W11</f>
        <v/>
      </c>
      <c r="AB11" s="42">
        <f>Y11*VARIABLES!$B$14*VARIABLES!$B$15</f>
        <v/>
      </c>
      <c r="AC11" s="33">
        <f>Z11+AA11+AB11</f>
        <v/>
      </c>
      <c r="AD11" s="34">
        <f>G11+K11+O11+S11+X11</f>
        <v/>
      </c>
      <c r="AE11" s="42">
        <f>0</f>
        <v/>
      </c>
      <c r="AF11" s="42">
        <f>Z11*VARIABLES!$B$19</f>
        <v/>
      </c>
      <c r="AG11" s="42">
        <f>AA11*VARIABLES!$B$18</f>
        <v/>
      </c>
      <c r="AH11" s="42">
        <f>VARIABLES!$B$20</f>
        <v/>
      </c>
      <c r="AI11" s="42">
        <f>IF(MOD($A11,12)=0,VARIABLES!$B$21,0)</f>
        <v/>
      </c>
      <c r="AJ11" s="35">
        <f>AE11+AF11+AG11+AH11+AI11</f>
        <v/>
      </c>
      <c r="AK11" s="36">
        <f>IF($A11&lt;VARIABLES!$B$7,VARIABLES!$B$11,0)</f>
        <v/>
      </c>
      <c r="AL11" s="44">
        <f>AC11-AJ11-AK11</f>
        <v/>
      </c>
      <c r="AM11" s="44">
        <f>AM10+AL11</f>
        <v/>
      </c>
      <c r="AN11" s="38">
        <f>AN10+AK11</f>
        <v/>
      </c>
    </row>
    <row r="12">
      <c r="A12" s="28" t="n">
        <v>9</v>
      </c>
      <c r="B12" s="29">
        <f>TEXT(DATE(VARIABLES!$B$63+INT((VARIABLES!$B$64+$A12-2)/12),MOD(VARIABLES!$B$64+$A12-2,12)+1,1),"mmm-yy")</f>
        <v/>
      </c>
      <c r="C12" s="30">
        <f>IF($A12&lt;VARIABLES!$B$7,VARIABLES!$B$5/12,IF($A12&lt;VARIABLES!$B$8,VARIABLES!$B$6/12,VARIABLES!$B$9/12))</f>
        <v/>
      </c>
      <c r="D12" s="31">
        <f>IF($A12&lt;VARIABLES!$B$24,0,IF($A12=VARIABLES!$B$24,VARIABLES!$B$25+VARIABLES!$B$26,VARIABLES!$B$26))</f>
        <v/>
      </c>
      <c r="E12" s="31">
        <f>D12*VARIABLES!$B$27</f>
        <v/>
      </c>
      <c r="F12" s="31">
        <f>IF($A12&lt;VARIABLES!$B$24,0,(IF($A12=VARIABLES!$B$24,0,G11)+D12)*C12*VARIABLES!$B$28)</f>
        <v/>
      </c>
      <c r="G12" s="31">
        <f>IF($A12&lt;VARIABLES!$B$24,0,(IF($A12=VARIABLES!$B$24,0,G11)+D12)*(1+C12)-F12)</f>
        <v/>
      </c>
      <c r="H12" s="31">
        <f>IF($A12&lt;VARIABLES!$B$31,0,IF($A12=VARIABLES!$B$31,VARIABLES!$B$32+VARIABLES!$B$33,VARIABLES!$B$33))</f>
        <v/>
      </c>
      <c r="I12" s="31">
        <f>H12*VARIABLES!$B$34</f>
        <v/>
      </c>
      <c r="J12" s="31">
        <f>IF($A12&lt;VARIABLES!$B$31,0,(IF($A12=VARIABLES!$B$31,0,K11)+H12)*C12*VARIABLES!$B$35)</f>
        <v/>
      </c>
      <c r="K12" s="31">
        <f>IF($A12&lt;VARIABLES!$B$31,0,(IF($A12=VARIABLES!$B$31,0,K11)+H12)*(1+C12)-J12)</f>
        <v/>
      </c>
      <c r="L12" s="31">
        <f>IF($A12&lt;VARIABLES!$B$38,0,IF($A12=VARIABLES!$B$38,VARIABLES!$B$39+VARIABLES!$B$40,VARIABLES!$B$40))</f>
        <v/>
      </c>
      <c r="M12" s="31">
        <f>L12*VARIABLES!$B$41</f>
        <v/>
      </c>
      <c r="N12" s="31">
        <f>IF($A12&lt;VARIABLES!$B$38,0,(IF($A12=VARIABLES!$B$38,0,O11)+L12)*C12*VARIABLES!$B$42)</f>
        <v/>
      </c>
      <c r="O12" s="31">
        <f>IF($A12&lt;VARIABLES!$B$38,0,(IF($A12=VARIABLES!$B$38,0,O11)+L12)*(1+C12)-N12)</f>
        <v/>
      </c>
      <c r="P12" s="31">
        <f>IF($A12&lt;VARIABLES!$B$45,0,IF($A12=VARIABLES!$B$45,VARIABLES!$B$46+VARIABLES!$B$47,VARIABLES!$B$47))</f>
        <v/>
      </c>
      <c r="Q12" s="31">
        <f>P12*VARIABLES!$B$48</f>
        <v/>
      </c>
      <c r="R12" s="31">
        <f>IF($A12&lt;VARIABLES!$B$45,0,(IF($A12=VARIABLES!$B$45,0,S11)+P12)*C12*VARIABLES!$B$49)</f>
        <v/>
      </c>
      <c r="S12" s="31">
        <f>IF($A12&lt;VARIABLES!$B$45,0,(IF($A12=VARIABLES!$B$45,0,S11)+P12)*(1+C12)-R12)</f>
        <v/>
      </c>
      <c r="T12" s="32">
        <f>IF($A12&lt;VARIABLES!$B$53,0,MIN(VARIABLES!$B$52,INT(($A12-VARIABLES!$B$53)/VARIABLES!$B$54)+1)*VARIABLES!$B$55)</f>
        <v/>
      </c>
      <c r="U12" s="31">
        <f>T12*VARIABLES!$B$57+IF(AND($A12&gt;=VARIABLES!$B$53,MOD($A12-VARIABLES!$B$53,VARIABLES!$B$54)=0,INT(($A12-VARIABLES!$B$53)/VARIABLES!$B$54)&lt;VARIABLES!$B$52),VARIABLES!$B$55*VARIABLES!$B$56,0)</f>
        <v/>
      </c>
      <c r="V12" s="31">
        <f>U12*VARIABLES!$B$58</f>
        <v/>
      </c>
      <c r="W12" s="31">
        <f>IF($A12&lt;VARIABLES!$B$53,0,(IF($A12&lt;VARIABLES!$B$53+1,0,X11)+U12)*C12*VARIABLES!$B$59)</f>
        <v/>
      </c>
      <c r="X12" s="31">
        <f>IF($A12&lt;VARIABLES!$B$53,0,(IF($A12&lt;VARIABLES!$B$53+1,0,X11)+U12)*(1+C12)-W12)</f>
        <v/>
      </c>
      <c r="Y12" s="31">
        <f>D12+H12+L12+P12+U12</f>
        <v/>
      </c>
      <c r="Z12" s="31">
        <f>E12+I12+M12+Q12+V12</f>
        <v/>
      </c>
      <c r="AA12" s="31">
        <f>F12+J12+N12+R12+W12</f>
        <v/>
      </c>
      <c r="AB12" s="31">
        <f>Y12*VARIABLES!$B$14*VARIABLES!$B$15</f>
        <v/>
      </c>
      <c r="AC12" s="33">
        <f>Z12+AA12+AB12</f>
        <v/>
      </c>
      <c r="AD12" s="34">
        <f>G12+K12+O12+S12+X12</f>
        <v/>
      </c>
      <c r="AE12" s="31">
        <f>0</f>
        <v/>
      </c>
      <c r="AF12" s="31">
        <f>Z12*VARIABLES!$B$19</f>
        <v/>
      </c>
      <c r="AG12" s="31">
        <f>AA12*VARIABLES!$B$18</f>
        <v/>
      </c>
      <c r="AH12" s="31">
        <f>VARIABLES!$B$20</f>
        <v/>
      </c>
      <c r="AI12" s="31">
        <f>IF(MOD($A12,12)=0,VARIABLES!$B$21,0)</f>
        <v/>
      </c>
      <c r="AJ12" s="35">
        <f>AE12+AF12+AG12+AH12+AI12</f>
        <v/>
      </c>
      <c r="AK12" s="36">
        <f>IF($A12&lt;VARIABLES!$B$7,VARIABLES!$B$11,0)</f>
        <v/>
      </c>
      <c r="AL12" s="37">
        <f>AC12-AJ12-AK12</f>
        <v/>
      </c>
      <c r="AM12" s="37">
        <f>AM11+AL12</f>
        <v/>
      </c>
      <c r="AN12" s="38">
        <f>AN11+AK12</f>
        <v/>
      </c>
    </row>
    <row r="13">
      <c r="A13" s="39" t="n">
        <v>10</v>
      </c>
      <c r="B13" s="40">
        <f>TEXT(DATE(VARIABLES!$B$63+INT((VARIABLES!$B$64+$A13-2)/12),MOD(VARIABLES!$B$64+$A13-2,12)+1,1),"mmm-yy")</f>
        <v/>
      </c>
      <c r="C13" s="41">
        <f>IF($A13&lt;VARIABLES!$B$7,VARIABLES!$B$5/12,IF($A13&lt;VARIABLES!$B$8,VARIABLES!$B$6/12,VARIABLES!$B$9/12))</f>
        <v/>
      </c>
      <c r="D13" s="42">
        <f>IF($A13&lt;VARIABLES!$B$24,0,IF($A13=VARIABLES!$B$24,VARIABLES!$B$25+VARIABLES!$B$26,VARIABLES!$B$26))</f>
        <v/>
      </c>
      <c r="E13" s="42">
        <f>D13*VARIABLES!$B$27</f>
        <v/>
      </c>
      <c r="F13" s="42">
        <f>IF($A13&lt;VARIABLES!$B$24,0,(IF($A13=VARIABLES!$B$24,0,G12)+D13)*C13*VARIABLES!$B$28)</f>
        <v/>
      </c>
      <c r="G13" s="42">
        <f>IF($A13&lt;VARIABLES!$B$24,0,(IF($A13=VARIABLES!$B$24,0,G12)+D13)*(1+C13)-F13)</f>
        <v/>
      </c>
      <c r="H13" s="42">
        <f>IF($A13&lt;VARIABLES!$B$31,0,IF($A13=VARIABLES!$B$31,VARIABLES!$B$32+VARIABLES!$B$33,VARIABLES!$B$33))</f>
        <v/>
      </c>
      <c r="I13" s="42">
        <f>H13*VARIABLES!$B$34</f>
        <v/>
      </c>
      <c r="J13" s="42">
        <f>IF($A13&lt;VARIABLES!$B$31,0,(IF($A13=VARIABLES!$B$31,0,K12)+H13)*C13*VARIABLES!$B$35)</f>
        <v/>
      </c>
      <c r="K13" s="42">
        <f>IF($A13&lt;VARIABLES!$B$31,0,(IF($A13=VARIABLES!$B$31,0,K12)+H13)*(1+C13)-J13)</f>
        <v/>
      </c>
      <c r="L13" s="42">
        <f>IF($A13&lt;VARIABLES!$B$38,0,IF($A13=VARIABLES!$B$38,VARIABLES!$B$39+VARIABLES!$B$40,VARIABLES!$B$40))</f>
        <v/>
      </c>
      <c r="M13" s="42">
        <f>L13*VARIABLES!$B$41</f>
        <v/>
      </c>
      <c r="N13" s="42">
        <f>IF($A13&lt;VARIABLES!$B$38,0,(IF($A13=VARIABLES!$B$38,0,O12)+L13)*C13*VARIABLES!$B$42)</f>
        <v/>
      </c>
      <c r="O13" s="42">
        <f>IF($A13&lt;VARIABLES!$B$38,0,(IF($A13=VARIABLES!$B$38,0,O12)+L13)*(1+C13)-N13)</f>
        <v/>
      </c>
      <c r="P13" s="42">
        <f>IF($A13&lt;VARIABLES!$B$45,0,IF($A13=VARIABLES!$B$45,VARIABLES!$B$46+VARIABLES!$B$47,VARIABLES!$B$47))</f>
        <v/>
      </c>
      <c r="Q13" s="42">
        <f>P13*VARIABLES!$B$48</f>
        <v/>
      </c>
      <c r="R13" s="42">
        <f>IF($A13&lt;VARIABLES!$B$45,0,(IF($A13=VARIABLES!$B$45,0,S12)+P13)*C13*VARIABLES!$B$49)</f>
        <v/>
      </c>
      <c r="S13" s="42">
        <f>IF($A13&lt;VARIABLES!$B$45,0,(IF($A13=VARIABLES!$B$45,0,S12)+P13)*(1+C13)-R13)</f>
        <v/>
      </c>
      <c r="T13" s="43">
        <f>IF($A13&lt;VARIABLES!$B$53,0,MIN(VARIABLES!$B$52,INT(($A13-VARIABLES!$B$53)/VARIABLES!$B$54)+1)*VARIABLES!$B$55)</f>
        <v/>
      </c>
      <c r="U13" s="42">
        <f>T13*VARIABLES!$B$57+IF(AND($A13&gt;=VARIABLES!$B$53,MOD($A13-VARIABLES!$B$53,VARIABLES!$B$54)=0,INT(($A13-VARIABLES!$B$53)/VARIABLES!$B$54)&lt;VARIABLES!$B$52),VARIABLES!$B$55*VARIABLES!$B$56,0)</f>
        <v/>
      </c>
      <c r="V13" s="42">
        <f>U13*VARIABLES!$B$58</f>
        <v/>
      </c>
      <c r="W13" s="42">
        <f>IF($A13&lt;VARIABLES!$B$53,0,(IF($A13&lt;VARIABLES!$B$53+1,0,X12)+U13)*C13*VARIABLES!$B$59)</f>
        <v/>
      </c>
      <c r="X13" s="42">
        <f>IF($A13&lt;VARIABLES!$B$53,0,(IF($A13&lt;VARIABLES!$B$53+1,0,X12)+U13)*(1+C13)-W13)</f>
        <v/>
      </c>
      <c r="Y13" s="42">
        <f>D13+H13+L13+P13+U13</f>
        <v/>
      </c>
      <c r="Z13" s="42">
        <f>E13+I13+M13+Q13+V13</f>
        <v/>
      </c>
      <c r="AA13" s="42">
        <f>F13+J13+N13+R13+W13</f>
        <v/>
      </c>
      <c r="AB13" s="42">
        <f>Y13*VARIABLES!$B$14*VARIABLES!$B$15</f>
        <v/>
      </c>
      <c r="AC13" s="33">
        <f>Z13+AA13+AB13</f>
        <v/>
      </c>
      <c r="AD13" s="34">
        <f>G13+K13+O13+S13+X13</f>
        <v/>
      </c>
      <c r="AE13" s="42">
        <f>0</f>
        <v/>
      </c>
      <c r="AF13" s="42">
        <f>Z13*VARIABLES!$B$19</f>
        <v/>
      </c>
      <c r="AG13" s="42">
        <f>AA13*VARIABLES!$B$18</f>
        <v/>
      </c>
      <c r="AH13" s="42">
        <f>VARIABLES!$B$20</f>
        <v/>
      </c>
      <c r="AI13" s="42">
        <f>IF(MOD($A13,12)=0,VARIABLES!$B$21,0)</f>
        <v/>
      </c>
      <c r="AJ13" s="35">
        <f>AE13+AF13+AG13+AH13+AI13</f>
        <v/>
      </c>
      <c r="AK13" s="36">
        <f>IF($A13&lt;VARIABLES!$B$7,VARIABLES!$B$11,0)</f>
        <v/>
      </c>
      <c r="AL13" s="44">
        <f>AC13-AJ13-AK13</f>
        <v/>
      </c>
      <c r="AM13" s="44">
        <f>AM12+AL13</f>
        <v/>
      </c>
      <c r="AN13" s="38">
        <f>AN12+AK13</f>
        <v/>
      </c>
    </row>
    <row r="14">
      <c r="A14" s="28" t="n">
        <v>11</v>
      </c>
      <c r="B14" s="29">
        <f>TEXT(DATE(VARIABLES!$B$63+INT((VARIABLES!$B$64+$A14-2)/12),MOD(VARIABLES!$B$64+$A14-2,12)+1,1),"mmm-yy")</f>
        <v/>
      </c>
      <c r="C14" s="30">
        <f>IF($A14&lt;VARIABLES!$B$7,VARIABLES!$B$5/12,IF($A14&lt;VARIABLES!$B$8,VARIABLES!$B$6/12,VARIABLES!$B$9/12))</f>
        <v/>
      </c>
      <c r="D14" s="31">
        <f>IF($A14&lt;VARIABLES!$B$24,0,IF($A14=VARIABLES!$B$24,VARIABLES!$B$25+VARIABLES!$B$26,VARIABLES!$B$26))</f>
        <v/>
      </c>
      <c r="E14" s="31">
        <f>D14*VARIABLES!$B$27</f>
        <v/>
      </c>
      <c r="F14" s="31">
        <f>IF($A14&lt;VARIABLES!$B$24,0,(IF($A14=VARIABLES!$B$24,0,G13)+D14)*C14*VARIABLES!$B$28)</f>
        <v/>
      </c>
      <c r="G14" s="31">
        <f>IF($A14&lt;VARIABLES!$B$24,0,(IF($A14=VARIABLES!$B$24,0,G13)+D14)*(1+C14)-F14)</f>
        <v/>
      </c>
      <c r="H14" s="31">
        <f>IF($A14&lt;VARIABLES!$B$31,0,IF($A14=VARIABLES!$B$31,VARIABLES!$B$32+VARIABLES!$B$33,VARIABLES!$B$33))</f>
        <v/>
      </c>
      <c r="I14" s="31">
        <f>H14*VARIABLES!$B$34</f>
        <v/>
      </c>
      <c r="J14" s="31">
        <f>IF($A14&lt;VARIABLES!$B$31,0,(IF($A14=VARIABLES!$B$31,0,K13)+H14)*C14*VARIABLES!$B$35)</f>
        <v/>
      </c>
      <c r="K14" s="31">
        <f>IF($A14&lt;VARIABLES!$B$31,0,(IF($A14=VARIABLES!$B$31,0,K13)+H14)*(1+C14)-J14)</f>
        <v/>
      </c>
      <c r="L14" s="31">
        <f>IF($A14&lt;VARIABLES!$B$38,0,IF($A14=VARIABLES!$B$38,VARIABLES!$B$39+VARIABLES!$B$40,VARIABLES!$B$40))</f>
        <v/>
      </c>
      <c r="M14" s="31">
        <f>L14*VARIABLES!$B$41</f>
        <v/>
      </c>
      <c r="N14" s="31">
        <f>IF($A14&lt;VARIABLES!$B$38,0,(IF($A14=VARIABLES!$B$38,0,O13)+L14)*C14*VARIABLES!$B$42)</f>
        <v/>
      </c>
      <c r="O14" s="31">
        <f>IF($A14&lt;VARIABLES!$B$38,0,(IF($A14=VARIABLES!$B$38,0,O13)+L14)*(1+C14)-N14)</f>
        <v/>
      </c>
      <c r="P14" s="31">
        <f>IF($A14&lt;VARIABLES!$B$45,0,IF($A14=VARIABLES!$B$45,VARIABLES!$B$46+VARIABLES!$B$47,VARIABLES!$B$47))</f>
        <v/>
      </c>
      <c r="Q14" s="31">
        <f>P14*VARIABLES!$B$48</f>
        <v/>
      </c>
      <c r="R14" s="31">
        <f>IF($A14&lt;VARIABLES!$B$45,0,(IF($A14=VARIABLES!$B$45,0,S13)+P14)*C14*VARIABLES!$B$49)</f>
        <v/>
      </c>
      <c r="S14" s="31">
        <f>IF($A14&lt;VARIABLES!$B$45,0,(IF($A14=VARIABLES!$B$45,0,S13)+P14)*(1+C14)-R14)</f>
        <v/>
      </c>
      <c r="T14" s="32">
        <f>IF($A14&lt;VARIABLES!$B$53,0,MIN(VARIABLES!$B$52,INT(($A14-VARIABLES!$B$53)/VARIABLES!$B$54)+1)*VARIABLES!$B$55)</f>
        <v/>
      </c>
      <c r="U14" s="31">
        <f>T14*VARIABLES!$B$57+IF(AND($A14&gt;=VARIABLES!$B$53,MOD($A14-VARIABLES!$B$53,VARIABLES!$B$54)=0,INT(($A14-VARIABLES!$B$53)/VARIABLES!$B$54)&lt;VARIABLES!$B$52),VARIABLES!$B$55*VARIABLES!$B$56,0)</f>
        <v/>
      </c>
      <c r="V14" s="31">
        <f>U14*VARIABLES!$B$58</f>
        <v/>
      </c>
      <c r="W14" s="31">
        <f>IF($A14&lt;VARIABLES!$B$53,0,(IF($A14&lt;VARIABLES!$B$53+1,0,X13)+U14)*C14*VARIABLES!$B$59)</f>
        <v/>
      </c>
      <c r="X14" s="31">
        <f>IF($A14&lt;VARIABLES!$B$53,0,(IF($A14&lt;VARIABLES!$B$53+1,0,X13)+U14)*(1+C14)-W14)</f>
        <v/>
      </c>
      <c r="Y14" s="31">
        <f>D14+H14+L14+P14+U14</f>
        <v/>
      </c>
      <c r="Z14" s="31">
        <f>E14+I14+M14+Q14+V14</f>
        <v/>
      </c>
      <c r="AA14" s="31">
        <f>F14+J14+N14+R14+W14</f>
        <v/>
      </c>
      <c r="AB14" s="31">
        <f>Y14*VARIABLES!$B$14*VARIABLES!$B$15</f>
        <v/>
      </c>
      <c r="AC14" s="33">
        <f>Z14+AA14+AB14</f>
        <v/>
      </c>
      <c r="AD14" s="34">
        <f>G14+K14+O14+S14+X14</f>
        <v/>
      </c>
      <c r="AE14" s="31">
        <f>0</f>
        <v/>
      </c>
      <c r="AF14" s="31">
        <f>Z14*VARIABLES!$B$19</f>
        <v/>
      </c>
      <c r="AG14" s="31">
        <f>AA14*VARIABLES!$B$18</f>
        <v/>
      </c>
      <c r="AH14" s="31">
        <f>VARIABLES!$B$20</f>
        <v/>
      </c>
      <c r="AI14" s="31">
        <f>IF(MOD($A14,12)=0,VARIABLES!$B$21,0)</f>
        <v/>
      </c>
      <c r="AJ14" s="35">
        <f>AE14+AF14+AG14+AH14+AI14</f>
        <v/>
      </c>
      <c r="AK14" s="36">
        <f>IF($A14&lt;VARIABLES!$B$7,VARIABLES!$B$11,0)</f>
        <v/>
      </c>
      <c r="AL14" s="37">
        <f>AC14-AJ14-AK14</f>
        <v/>
      </c>
      <c r="AM14" s="37">
        <f>AM13+AL14</f>
        <v/>
      </c>
      <c r="AN14" s="38">
        <f>AN13+AK14</f>
        <v/>
      </c>
    </row>
    <row r="15">
      <c r="A15" s="39" t="n">
        <v>12</v>
      </c>
      <c r="B15" s="40">
        <f>TEXT(DATE(VARIABLES!$B$63+INT((VARIABLES!$B$64+$A15-2)/12),MOD(VARIABLES!$B$64+$A15-2,12)+1,1),"mmm-yy")</f>
        <v/>
      </c>
      <c r="C15" s="41">
        <f>IF($A15&lt;VARIABLES!$B$7,VARIABLES!$B$5/12,IF($A15&lt;VARIABLES!$B$8,VARIABLES!$B$6/12,VARIABLES!$B$9/12))</f>
        <v/>
      </c>
      <c r="D15" s="42">
        <f>IF($A15&lt;VARIABLES!$B$24,0,IF($A15=VARIABLES!$B$24,VARIABLES!$B$25+VARIABLES!$B$26,VARIABLES!$B$26))</f>
        <v/>
      </c>
      <c r="E15" s="42">
        <f>D15*VARIABLES!$B$27</f>
        <v/>
      </c>
      <c r="F15" s="42">
        <f>IF($A15&lt;VARIABLES!$B$24,0,(IF($A15=VARIABLES!$B$24,0,G14)+D15)*C15*VARIABLES!$B$28)</f>
        <v/>
      </c>
      <c r="G15" s="42">
        <f>IF($A15&lt;VARIABLES!$B$24,0,(IF($A15=VARIABLES!$B$24,0,G14)+D15)*(1+C15)-F15)</f>
        <v/>
      </c>
      <c r="H15" s="42">
        <f>IF($A15&lt;VARIABLES!$B$31,0,IF($A15=VARIABLES!$B$31,VARIABLES!$B$32+VARIABLES!$B$33,VARIABLES!$B$33))</f>
        <v/>
      </c>
      <c r="I15" s="42">
        <f>H15*VARIABLES!$B$34</f>
        <v/>
      </c>
      <c r="J15" s="42">
        <f>IF($A15&lt;VARIABLES!$B$31,0,(IF($A15=VARIABLES!$B$31,0,K14)+H15)*C15*VARIABLES!$B$35)</f>
        <v/>
      </c>
      <c r="K15" s="42">
        <f>IF($A15&lt;VARIABLES!$B$31,0,(IF($A15=VARIABLES!$B$31,0,K14)+H15)*(1+C15)-J15)</f>
        <v/>
      </c>
      <c r="L15" s="42">
        <f>IF($A15&lt;VARIABLES!$B$38,0,IF($A15=VARIABLES!$B$38,VARIABLES!$B$39+VARIABLES!$B$40,VARIABLES!$B$40))</f>
        <v/>
      </c>
      <c r="M15" s="42">
        <f>L15*VARIABLES!$B$41</f>
        <v/>
      </c>
      <c r="N15" s="42">
        <f>IF($A15&lt;VARIABLES!$B$38,0,(IF($A15=VARIABLES!$B$38,0,O14)+L15)*C15*VARIABLES!$B$42)</f>
        <v/>
      </c>
      <c r="O15" s="42">
        <f>IF($A15&lt;VARIABLES!$B$38,0,(IF($A15=VARIABLES!$B$38,0,O14)+L15)*(1+C15)-N15)</f>
        <v/>
      </c>
      <c r="P15" s="42">
        <f>IF($A15&lt;VARIABLES!$B$45,0,IF($A15=VARIABLES!$B$45,VARIABLES!$B$46+VARIABLES!$B$47,VARIABLES!$B$47))</f>
        <v/>
      </c>
      <c r="Q15" s="42">
        <f>P15*VARIABLES!$B$48</f>
        <v/>
      </c>
      <c r="R15" s="42">
        <f>IF($A15&lt;VARIABLES!$B$45,0,(IF($A15=VARIABLES!$B$45,0,S14)+P15)*C15*VARIABLES!$B$49)</f>
        <v/>
      </c>
      <c r="S15" s="42">
        <f>IF($A15&lt;VARIABLES!$B$45,0,(IF($A15=VARIABLES!$B$45,0,S14)+P15)*(1+C15)-R15)</f>
        <v/>
      </c>
      <c r="T15" s="43">
        <f>IF($A15&lt;VARIABLES!$B$53,0,MIN(VARIABLES!$B$52,INT(($A15-VARIABLES!$B$53)/VARIABLES!$B$54)+1)*VARIABLES!$B$55)</f>
        <v/>
      </c>
      <c r="U15" s="42">
        <f>T15*VARIABLES!$B$57+IF(AND($A15&gt;=VARIABLES!$B$53,MOD($A15-VARIABLES!$B$53,VARIABLES!$B$54)=0,INT(($A15-VARIABLES!$B$53)/VARIABLES!$B$54)&lt;VARIABLES!$B$52),VARIABLES!$B$55*VARIABLES!$B$56,0)</f>
        <v/>
      </c>
      <c r="V15" s="42">
        <f>U15*VARIABLES!$B$58</f>
        <v/>
      </c>
      <c r="W15" s="42">
        <f>IF($A15&lt;VARIABLES!$B$53,0,(IF($A15&lt;VARIABLES!$B$53+1,0,X14)+U15)*C15*VARIABLES!$B$59)</f>
        <v/>
      </c>
      <c r="X15" s="42">
        <f>IF($A15&lt;VARIABLES!$B$53,0,(IF($A15&lt;VARIABLES!$B$53+1,0,X14)+U15)*(1+C15)-W15)</f>
        <v/>
      </c>
      <c r="Y15" s="42">
        <f>D15+H15+L15+P15+U15</f>
        <v/>
      </c>
      <c r="Z15" s="42">
        <f>E15+I15+M15+Q15+V15</f>
        <v/>
      </c>
      <c r="AA15" s="42">
        <f>F15+J15+N15+R15+W15</f>
        <v/>
      </c>
      <c r="AB15" s="42">
        <f>Y15*VARIABLES!$B$14*VARIABLES!$B$15</f>
        <v/>
      </c>
      <c r="AC15" s="33">
        <f>Z15+AA15+AB15</f>
        <v/>
      </c>
      <c r="AD15" s="34">
        <f>G15+K15+O15+S15+X15</f>
        <v/>
      </c>
      <c r="AE15" s="42">
        <f>0</f>
        <v/>
      </c>
      <c r="AF15" s="42">
        <f>Z15*VARIABLES!$B$19</f>
        <v/>
      </c>
      <c r="AG15" s="42">
        <f>AA15*VARIABLES!$B$18</f>
        <v/>
      </c>
      <c r="AH15" s="42">
        <f>VARIABLES!$B$20</f>
        <v/>
      </c>
      <c r="AI15" s="42">
        <f>IF(MOD($A15,12)=0,VARIABLES!$B$21,0)</f>
        <v/>
      </c>
      <c r="AJ15" s="35">
        <f>AE15+AF15+AG15+AH15+AI15</f>
        <v/>
      </c>
      <c r="AK15" s="36">
        <f>IF($A15&lt;VARIABLES!$B$7,VARIABLES!$B$11,0)</f>
        <v/>
      </c>
      <c r="AL15" s="44">
        <f>AC15-AJ15-AK15</f>
        <v/>
      </c>
      <c r="AM15" s="44">
        <f>AM14+AL15</f>
        <v/>
      </c>
      <c r="AN15" s="38">
        <f>AN14+AK15</f>
        <v/>
      </c>
    </row>
    <row r="16">
      <c r="A16" s="28" t="n">
        <v>13</v>
      </c>
      <c r="B16" s="29">
        <f>TEXT(DATE(VARIABLES!$B$63+INT((VARIABLES!$B$64+$A16-2)/12),MOD(VARIABLES!$B$64+$A16-2,12)+1,1),"mmm-yy")</f>
        <v/>
      </c>
      <c r="C16" s="30">
        <f>IF($A16&lt;VARIABLES!$B$7,VARIABLES!$B$5/12,IF($A16&lt;VARIABLES!$B$8,VARIABLES!$B$6/12,VARIABLES!$B$9/12))</f>
        <v/>
      </c>
      <c r="D16" s="31">
        <f>IF($A16&lt;VARIABLES!$B$24,0,IF($A16=VARIABLES!$B$24,VARIABLES!$B$25+VARIABLES!$B$26,VARIABLES!$B$26))</f>
        <v/>
      </c>
      <c r="E16" s="31">
        <f>D16*VARIABLES!$B$27</f>
        <v/>
      </c>
      <c r="F16" s="31">
        <f>IF($A16&lt;VARIABLES!$B$24,0,(IF($A16=VARIABLES!$B$24,0,G15)+D16)*C16*VARIABLES!$B$28)</f>
        <v/>
      </c>
      <c r="G16" s="31">
        <f>IF($A16&lt;VARIABLES!$B$24,0,(IF($A16=VARIABLES!$B$24,0,G15)+D16)*(1+C16)-F16)</f>
        <v/>
      </c>
      <c r="H16" s="31">
        <f>IF($A16&lt;VARIABLES!$B$31,0,IF($A16=VARIABLES!$B$31,VARIABLES!$B$32+VARIABLES!$B$33,VARIABLES!$B$33))</f>
        <v/>
      </c>
      <c r="I16" s="31">
        <f>H16*VARIABLES!$B$34</f>
        <v/>
      </c>
      <c r="J16" s="31">
        <f>IF($A16&lt;VARIABLES!$B$31,0,(IF($A16=VARIABLES!$B$31,0,K15)+H16)*C16*VARIABLES!$B$35)</f>
        <v/>
      </c>
      <c r="K16" s="31">
        <f>IF($A16&lt;VARIABLES!$B$31,0,(IF($A16=VARIABLES!$B$31,0,K15)+H16)*(1+C16)-J16)</f>
        <v/>
      </c>
      <c r="L16" s="31">
        <f>IF($A16&lt;VARIABLES!$B$38,0,IF($A16=VARIABLES!$B$38,VARIABLES!$B$39+VARIABLES!$B$40,VARIABLES!$B$40))</f>
        <v/>
      </c>
      <c r="M16" s="31">
        <f>L16*VARIABLES!$B$41</f>
        <v/>
      </c>
      <c r="N16" s="31">
        <f>IF($A16&lt;VARIABLES!$B$38,0,(IF($A16=VARIABLES!$B$38,0,O15)+L16)*C16*VARIABLES!$B$42)</f>
        <v/>
      </c>
      <c r="O16" s="31">
        <f>IF($A16&lt;VARIABLES!$B$38,0,(IF($A16=VARIABLES!$B$38,0,O15)+L16)*(1+C16)-N16)</f>
        <v/>
      </c>
      <c r="P16" s="31">
        <f>IF($A16&lt;VARIABLES!$B$45,0,IF($A16=VARIABLES!$B$45,VARIABLES!$B$46+VARIABLES!$B$47,VARIABLES!$B$47))</f>
        <v/>
      </c>
      <c r="Q16" s="31">
        <f>P16*VARIABLES!$B$48</f>
        <v/>
      </c>
      <c r="R16" s="31">
        <f>IF($A16&lt;VARIABLES!$B$45,0,(IF($A16=VARIABLES!$B$45,0,S15)+P16)*C16*VARIABLES!$B$49)</f>
        <v/>
      </c>
      <c r="S16" s="31">
        <f>IF($A16&lt;VARIABLES!$B$45,0,(IF($A16=VARIABLES!$B$45,0,S15)+P16)*(1+C16)-R16)</f>
        <v/>
      </c>
      <c r="T16" s="32">
        <f>IF($A16&lt;VARIABLES!$B$53,0,MIN(VARIABLES!$B$52,INT(($A16-VARIABLES!$B$53)/VARIABLES!$B$54)+1)*VARIABLES!$B$55)</f>
        <v/>
      </c>
      <c r="U16" s="31">
        <f>T16*VARIABLES!$B$57+IF(AND($A16&gt;=VARIABLES!$B$53,MOD($A16-VARIABLES!$B$53,VARIABLES!$B$54)=0,INT(($A16-VARIABLES!$B$53)/VARIABLES!$B$54)&lt;VARIABLES!$B$52),VARIABLES!$B$55*VARIABLES!$B$56,0)</f>
        <v/>
      </c>
      <c r="V16" s="31">
        <f>U16*VARIABLES!$B$58</f>
        <v/>
      </c>
      <c r="W16" s="31">
        <f>IF($A16&lt;VARIABLES!$B$53,0,(IF($A16&lt;VARIABLES!$B$53+1,0,X15)+U16)*C16*VARIABLES!$B$59)</f>
        <v/>
      </c>
      <c r="X16" s="31">
        <f>IF($A16&lt;VARIABLES!$B$53,0,(IF($A16&lt;VARIABLES!$B$53+1,0,X15)+U16)*(1+C16)-W16)</f>
        <v/>
      </c>
      <c r="Y16" s="31">
        <f>D16+H16+L16+P16+U16</f>
        <v/>
      </c>
      <c r="Z16" s="31">
        <f>E16+I16+M16+Q16+V16</f>
        <v/>
      </c>
      <c r="AA16" s="31">
        <f>F16+J16+N16+R16+W16</f>
        <v/>
      </c>
      <c r="AB16" s="31">
        <f>Y16*VARIABLES!$B$14*VARIABLES!$B$15</f>
        <v/>
      </c>
      <c r="AC16" s="33">
        <f>Z16+AA16+AB16</f>
        <v/>
      </c>
      <c r="AD16" s="34">
        <f>G16+K16+O16+S16+X16</f>
        <v/>
      </c>
      <c r="AE16" s="31">
        <f>0</f>
        <v/>
      </c>
      <c r="AF16" s="31">
        <f>Z16*VARIABLES!$B$19</f>
        <v/>
      </c>
      <c r="AG16" s="31">
        <f>AA16*VARIABLES!$B$18</f>
        <v/>
      </c>
      <c r="AH16" s="31">
        <f>VARIABLES!$B$20</f>
        <v/>
      </c>
      <c r="AI16" s="31">
        <f>IF(MOD($A16,12)=0,VARIABLES!$B$21,0)</f>
        <v/>
      </c>
      <c r="AJ16" s="35">
        <f>AE16+AF16+AG16+AH16+AI16</f>
        <v/>
      </c>
      <c r="AK16" s="36">
        <f>IF($A16&lt;VARIABLES!$B$7,VARIABLES!$B$11,0)</f>
        <v/>
      </c>
      <c r="AL16" s="37">
        <f>AC16-AJ16-AK16</f>
        <v/>
      </c>
      <c r="AM16" s="37">
        <f>AM15+AL16</f>
        <v/>
      </c>
      <c r="AN16" s="38">
        <f>AN15+AK16</f>
        <v/>
      </c>
    </row>
    <row r="17">
      <c r="A17" s="39" t="n">
        <v>14</v>
      </c>
      <c r="B17" s="40">
        <f>TEXT(DATE(VARIABLES!$B$63+INT((VARIABLES!$B$64+$A17-2)/12),MOD(VARIABLES!$B$64+$A17-2,12)+1,1),"mmm-yy")</f>
        <v/>
      </c>
      <c r="C17" s="41">
        <f>IF($A17&lt;VARIABLES!$B$7,VARIABLES!$B$5/12,IF($A17&lt;VARIABLES!$B$8,VARIABLES!$B$6/12,VARIABLES!$B$9/12))</f>
        <v/>
      </c>
      <c r="D17" s="42">
        <f>IF($A17&lt;VARIABLES!$B$24,0,IF($A17=VARIABLES!$B$24,VARIABLES!$B$25+VARIABLES!$B$26,VARIABLES!$B$26))</f>
        <v/>
      </c>
      <c r="E17" s="42">
        <f>D17*VARIABLES!$B$27</f>
        <v/>
      </c>
      <c r="F17" s="42">
        <f>IF($A17&lt;VARIABLES!$B$24,0,(IF($A17=VARIABLES!$B$24,0,G16)+D17)*C17*VARIABLES!$B$28)</f>
        <v/>
      </c>
      <c r="G17" s="42">
        <f>IF($A17&lt;VARIABLES!$B$24,0,(IF($A17=VARIABLES!$B$24,0,G16)+D17)*(1+C17)-F17)</f>
        <v/>
      </c>
      <c r="H17" s="42">
        <f>IF($A17&lt;VARIABLES!$B$31,0,IF($A17=VARIABLES!$B$31,VARIABLES!$B$32+VARIABLES!$B$33,VARIABLES!$B$33))</f>
        <v/>
      </c>
      <c r="I17" s="42">
        <f>H17*VARIABLES!$B$34</f>
        <v/>
      </c>
      <c r="J17" s="42">
        <f>IF($A17&lt;VARIABLES!$B$31,0,(IF($A17=VARIABLES!$B$31,0,K16)+H17)*C17*VARIABLES!$B$35)</f>
        <v/>
      </c>
      <c r="K17" s="42">
        <f>IF($A17&lt;VARIABLES!$B$31,0,(IF($A17=VARIABLES!$B$31,0,K16)+H17)*(1+C17)-J17)</f>
        <v/>
      </c>
      <c r="L17" s="42">
        <f>IF($A17&lt;VARIABLES!$B$38,0,IF($A17=VARIABLES!$B$38,VARIABLES!$B$39+VARIABLES!$B$40,VARIABLES!$B$40))</f>
        <v/>
      </c>
      <c r="M17" s="42">
        <f>L17*VARIABLES!$B$41</f>
        <v/>
      </c>
      <c r="N17" s="42">
        <f>IF($A17&lt;VARIABLES!$B$38,0,(IF($A17=VARIABLES!$B$38,0,O16)+L17)*C17*VARIABLES!$B$42)</f>
        <v/>
      </c>
      <c r="O17" s="42">
        <f>IF($A17&lt;VARIABLES!$B$38,0,(IF($A17=VARIABLES!$B$38,0,O16)+L17)*(1+C17)-N17)</f>
        <v/>
      </c>
      <c r="P17" s="42">
        <f>IF($A17&lt;VARIABLES!$B$45,0,IF($A17=VARIABLES!$B$45,VARIABLES!$B$46+VARIABLES!$B$47,VARIABLES!$B$47))</f>
        <v/>
      </c>
      <c r="Q17" s="42">
        <f>P17*VARIABLES!$B$48</f>
        <v/>
      </c>
      <c r="R17" s="42">
        <f>IF($A17&lt;VARIABLES!$B$45,0,(IF($A17=VARIABLES!$B$45,0,S16)+P17)*C17*VARIABLES!$B$49)</f>
        <v/>
      </c>
      <c r="S17" s="42">
        <f>IF($A17&lt;VARIABLES!$B$45,0,(IF($A17=VARIABLES!$B$45,0,S16)+P17)*(1+C17)-R17)</f>
        <v/>
      </c>
      <c r="T17" s="43">
        <f>IF($A17&lt;VARIABLES!$B$53,0,MIN(VARIABLES!$B$52,INT(($A17-VARIABLES!$B$53)/VARIABLES!$B$54)+1)*VARIABLES!$B$55)</f>
        <v/>
      </c>
      <c r="U17" s="42">
        <f>T17*VARIABLES!$B$57+IF(AND($A17&gt;=VARIABLES!$B$53,MOD($A17-VARIABLES!$B$53,VARIABLES!$B$54)=0,INT(($A17-VARIABLES!$B$53)/VARIABLES!$B$54)&lt;VARIABLES!$B$52),VARIABLES!$B$55*VARIABLES!$B$56,0)</f>
        <v/>
      </c>
      <c r="V17" s="42">
        <f>U17*VARIABLES!$B$58</f>
        <v/>
      </c>
      <c r="W17" s="42">
        <f>IF($A17&lt;VARIABLES!$B$53,0,(IF($A17&lt;VARIABLES!$B$53+1,0,X16)+U17)*C17*VARIABLES!$B$59)</f>
        <v/>
      </c>
      <c r="X17" s="42">
        <f>IF($A17&lt;VARIABLES!$B$53,0,(IF($A17&lt;VARIABLES!$B$53+1,0,X16)+U17)*(1+C17)-W17)</f>
        <v/>
      </c>
      <c r="Y17" s="42">
        <f>D17+H17+L17+P17+U17</f>
        <v/>
      </c>
      <c r="Z17" s="42">
        <f>E17+I17+M17+Q17+V17</f>
        <v/>
      </c>
      <c r="AA17" s="42">
        <f>F17+J17+N17+R17+W17</f>
        <v/>
      </c>
      <c r="AB17" s="42">
        <f>Y17*VARIABLES!$B$14*VARIABLES!$B$15</f>
        <v/>
      </c>
      <c r="AC17" s="33">
        <f>Z17+AA17+AB17</f>
        <v/>
      </c>
      <c r="AD17" s="34">
        <f>G17+K17+O17+S17+X17</f>
        <v/>
      </c>
      <c r="AE17" s="42">
        <f>0</f>
        <v/>
      </c>
      <c r="AF17" s="42">
        <f>Z17*VARIABLES!$B$19</f>
        <v/>
      </c>
      <c r="AG17" s="42">
        <f>AA17*VARIABLES!$B$18</f>
        <v/>
      </c>
      <c r="AH17" s="42">
        <f>VARIABLES!$B$20</f>
        <v/>
      </c>
      <c r="AI17" s="42">
        <f>IF(MOD($A17,12)=0,VARIABLES!$B$21,0)</f>
        <v/>
      </c>
      <c r="AJ17" s="35">
        <f>AE17+AF17+AG17+AH17+AI17</f>
        <v/>
      </c>
      <c r="AK17" s="36">
        <f>IF($A17&lt;VARIABLES!$B$7,VARIABLES!$B$11,0)</f>
        <v/>
      </c>
      <c r="AL17" s="44">
        <f>AC17-AJ17-AK17</f>
        <v/>
      </c>
      <c r="AM17" s="44">
        <f>AM16+AL17</f>
        <v/>
      </c>
      <c r="AN17" s="38">
        <f>AN16+AK17</f>
        <v/>
      </c>
    </row>
    <row r="18">
      <c r="A18" s="28" t="n">
        <v>15</v>
      </c>
      <c r="B18" s="29">
        <f>TEXT(DATE(VARIABLES!$B$63+INT((VARIABLES!$B$64+$A18-2)/12),MOD(VARIABLES!$B$64+$A18-2,12)+1,1),"mmm-yy")</f>
        <v/>
      </c>
      <c r="C18" s="30">
        <f>IF($A18&lt;VARIABLES!$B$7,VARIABLES!$B$5/12,IF($A18&lt;VARIABLES!$B$8,VARIABLES!$B$6/12,VARIABLES!$B$9/12))</f>
        <v/>
      </c>
      <c r="D18" s="31">
        <f>IF($A18&lt;VARIABLES!$B$24,0,IF($A18=VARIABLES!$B$24,VARIABLES!$B$25+VARIABLES!$B$26,VARIABLES!$B$26))</f>
        <v/>
      </c>
      <c r="E18" s="31">
        <f>D18*VARIABLES!$B$27</f>
        <v/>
      </c>
      <c r="F18" s="31">
        <f>IF($A18&lt;VARIABLES!$B$24,0,(IF($A18=VARIABLES!$B$24,0,G17)+D18)*C18*VARIABLES!$B$28)</f>
        <v/>
      </c>
      <c r="G18" s="31">
        <f>IF($A18&lt;VARIABLES!$B$24,0,(IF($A18=VARIABLES!$B$24,0,G17)+D18)*(1+C18)-F18)</f>
        <v/>
      </c>
      <c r="H18" s="31">
        <f>IF($A18&lt;VARIABLES!$B$31,0,IF($A18=VARIABLES!$B$31,VARIABLES!$B$32+VARIABLES!$B$33,VARIABLES!$B$33))</f>
        <v/>
      </c>
      <c r="I18" s="31">
        <f>H18*VARIABLES!$B$34</f>
        <v/>
      </c>
      <c r="J18" s="31">
        <f>IF($A18&lt;VARIABLES!$B$31,0,(IF($A18=VARIABLES!$B$31,0,K17)+H18)*C18*VARIABLES!$B$35)</f>
        <v/>
      </c>
      <c r="K18" s="31">
        <f>IF($A18&lt;VARIABLES!$B$31,0,(IF($A18=VARIABLES!$B$31,0,K17)+H18)*(1+C18)-J18)</f>
        <v/>
      </c>
      <c r="L18" s="31">
        <f>IF($A18&lt;VARIABLES!$B$38,0,IF($A18=VARIABLES!$B$38,VARIABLES!$B$39+VARIABLES!$B$40,VARIABLES!$B$40))</f>
        <v/>
      </c>
      <c r="M18" s="31">
        <f>L18*VARIABLES!$B$41</f>
        <v/>
      </c>
      <c r="N18" s="31">
        <f>IF($A18&lt;VARIABLES!$B$38,0,(IF($A18=VARIABLES!$B$38,0,O17)+L18)*C18*VARIABLES!$B$42)</f>
        <v/>
      </c>
      <c r="O18" s="31">
        <f>IF($A18&lt;VARIABLES!$B$38,0,(IF($A18=VARIABLES!$B$38,0,O17)+L18)*(1+C18)-N18)</f>
        <v/>
      </c>
      <c r="P18" s="31">
        <f>IF($A18&lt;VARIABLES!$B$45,0,IF($A18=VARIABLES!$B$45,VARIABLES!$B$46+VARIABLES!$B$47,VARIABLES!$B$47))</f>
        <v/>
      </c>
      <c r="Q18" s="31">
        <f>P18*VARIABLES!$B$48</f>
        <v/>
      </c>
      <c r="R18" s="31">
        <f>IF($A18&lt;VARIABLES!$B$45,0,(IF($A18=VARIABLES!$B$45,0,S17)+P18)*C18*VARIABLES!$B$49)</f>
        <v/>
      </c>
      <c r="S18" s="31">
        <f>IF($A18&lt;VARIABLES!$B$45,0,(IF($A18=VARIABLES!$B$45,0,S17)+P18)*(1+C18)-R18)</f>
        <v/>
      </c>
      <c r="T18" s="32">
        <f>IF($A18&lt;VARIABLES!$B$53,0,MIN(VARIABLES!$B$52,INT(($A18-VARIABLES!$B$53)/VARIABLES!$B$54)+1)*VARIABLES!$B$55)</f>
        <v/>
      </c>
      <c r="U18" s="31">
        <f>T18*VARIABLES!$B$57+IF(AND($A18&gt;=VARIABLES!$B$53,MOD($A18-VARIABLES!$B$53,VARIABLES!$B$54)=0,INT(($A18-VARIABLES!$B$53)/VARIABLES!$B$54)&lt;VARIABLES!$B$52),VARIABLES!$B$55*VARIABLES!$B$56,0)</f>
        <v/>
      </c>
      <c r="V18" s="31">
        <f>U18*VARIABLES!$B$58</f>
        <v/>
      </c>
      <c r="W18" s="31">
        <f>IF($A18&lt;VARIABLES!$B$53,0,(IF($A18&lt;VARIABLES!$B$53+1,0,X17)+U18)*C18*VARIABLES!$B$59)</f>
        <v/>
      </c>
      <c r="X18" s="31">
        <f>IF($A18&lt;VARIABLES!$B$53,0,(IF($A18&lt;VARIABLES!$B$53+1,0,X17)+U18)*(1+C18)-W18)</f>
        <v/>
      </c>
      <c r="Y18" s="31">
        <f>D18+H18+L18+P18+U18</f>
        <v/>
      </c>
      <c r="Z18" s="31">
        <f>E18+I18+M18+Q18+V18</f>
        <v/>
      </c>
      <c r="AA18" s="31">
        <f>F18+J18+N18+R18+W18</f>
        <v/>
      </c>
      <c r="AB18" s="31">
        <f>Y18*VARIABLES!$B$14*VARIABLES!$B$15</f>
        <v/>
      </c>
      <c r="AC18" s="33">
        <f>Z18+AA18+AB18</f>
        <v/>
      </c>
      <c r="AD18" s="34">
        <f>G18+K18+O18+S18+X18</f>
        <v/>
      </c>
      <c r="AE18" s="31">
        <f>0</f>
        <v/>
      </c>
      <c r="AF18" s="31">
        <f>Z18*VARIABLES!$B$19</f>
        <v/>
      </c>
      <c r="AG18" s="31">
        <f>AA18*VARIABLES!$B$18</f>
        <v/>
      </c>
      <c r="AH18" s="31">
        <f>VARIABLES!$B$20</f>
        <v/>
      </c>
      <c r="AI18" s="31">
        <f>IF(MOD($A18,12)=0,VARIABLES!$B$21,0)</f>
        <v/>
      </c>
      <c r="AJ18" s="35">
        <f>AE18+AF18+AG18+AH18+AI18</f>
        <v/>
      </c>
      <c r="AK18" s="36">
        <f>IF($A18&lt;VARIABLES!$B$7,VARIABLES!$B$11,0)</f>
        <v/>
      </c>
      <c r="AL18" s="37">
        <f>AC18-AJ18-AK18</f>
        <v/>
      </c>
      <c r="AM18" s="37">
        <f>AM17+AL18</f>
        <v/>
      </c>
      <c r="AN18" s="38">
        <f>AN17+AK18</f>
        <v/>
      </c>
    </row>
    <row r="19">
      <c r="A19" s="39" t="n">
        <v>16</v>
      </c>
      <c r="B19" s="40">
        <f>TEXT(DATE(VARIABLES!$B$63+INT((VARIABLES!$B$64+$A19-2)/12),MOD(VARIABLES!$B$64+$A19-2,12)+1,1),"mmm-yy")</f>
        <v/>
      </c>
      <c r="C19" s="41">
        <f>IF($A19&lt;VARIABLES!$B$7,VARIABLES!$B$5/12,IF($A19&lt;VARIABLES!$B$8,VARIABLES!$B$6/12,VARIABLES!$B$9/12))</f>
        <v/>
      </c>
      <c r="D19" s="42">
        <f>IF($A19&lt;VARIABLES!$B$24,0,IF($A19=VARIABLES!$B$24,VARIABLES!$B$25+VARIABLES!$B$26,VARIABLES!$B$26))</f>
        <v/>
      </c>
      <c r="E19" s="42">
        <f>D19*VARIABLES!$B$27</f>
        <v/>
      </c>
      <c r="F19" s="42">
        <f>IF($A19&lt;VARIABLES!$B$24,0,(IF($A19=VARIABLES!$B$24,0,G18)+D19)*C19*VARIABLES!$B$28)</f>
        <v/>
      </c>
      <c r="G19" s="42">
        <f>IF($A19&lt;VARIABLES!$B$24,0,(IF($A19=VARIABLES!$B$24,0,G18)+D19)*(1+C19)-F19)</f>
        <v/>
      </c>
      <c r="H19" s="42">
        <f>IF($A19&lt;VARIABLES!$B$31,0,IF($A19=VARIABLES!$B$31,VARIABLES!$B$32+VARIABLES!$B$33,VARIABLES!$B$33))</f>
        <v/>
      </c>
      <c r="I19" s="42">
        <f>H19*VARIABLES!$B$34</f>
        <v/>
      </c>
      <c r="J19" s="42">
        <f>IF($A19&lt;VARIABLES!$B$31,0,(IF($A19=VARIABLES!$B$31,0,K18)+H19)*C19*VARIABLES!$B$35)</f>
        <v/>
      </c>
      <c r="K19" s="42">
        <f>IF($A19&lt;VARIABLES!$B$31,0,(IF($A19=VARIABLES!$B$31,0,K18)+H19)*(1+C19)-J19)</f>
        <v/>
      </c>
      <c r="L19" s="42">
        <f>IF($A19&lt;VARIABLES!$B$38,0,IF($A19=VARIABLES!$B$38,VARIABLES!$B$39+VARIABLES!$B$40,VARIABLES!$B$40))</f>
        <v/>
      </c>
      <c r="M19" s="42">
        <f>L19*VARIABLES!$B$41</f>
        <v/>
      </c>
      <c r="N19" s="42">
        <f>IF($A19&lt;VARIABLES!$B$38,0,(IF($A19=VARIABLES!$B$38,0,O18)+L19)*C19*VARIABLES!$B$42)</f>
        <v/>
      </c>
      <c r="O19" s="42">
        <f>IF($A19&lt;VARIABLES!$B$38,0,(IF($A19=VARIABLES!$B$38,0,O18)+L19)*(1+C19)-N19)</f>
        <v/>
      </c>
      <c r="P19" s="42">
        <f>IF($A19&lt;VARIABLES!$B$45,0,IF($A19=VARIABLES!$B$45,VARIABLES!$B$46+VARIABLES!$B$47,VARIABLES!$B$47))</f>
        <v/>
      </c>
      <c r="Q19" s="42">
        <f>P19*VARIABLES!$B$48</f>
        <v/>
      </c>
      <c r="R19" s="42">
        <f>IF($A19&lt;VARIABLES!$B$45,0,(IF($A19=VARIABLES!$B$45,0,S18)+P19)*C19*VARIABLES!$B$49)</f>
        <v/>
      </c>
      <c r="S19" s="42">
        <f>IF($A19&lt;VARIABLES!$B$45,0,(IF($A19=VARIABLES!$B$45,0,S18)+P19)*(1+C19)-R19)</f>
        <v/>
      </c>
      <c r="T19" s="43">
        <f>IF($A19&lt;VARIABLES!$B$53,0,MIN(VARIABLES!$B$52,INT(($A19-VARIABLES!$B$53)/VARIABLES!$B$54)+1)*VARIABLES!$B$55)</f>
        <v/>
      </c>
      <c r="U19" s="42">
        <f>T19*VARIABLES!$B$57+IF(AND($A19&gt;=VARIABLES!$B$53,MOD($A19-VARIABLES!$B$53,VARIABLES!$B$54)=0,INT(($A19-VARIABLES!$B$53)/VARIABLES!$B$54)&lt;VARIABLES!$B$52),VARIABLES!$B$55*VARIABLES!$B$56,0)</f>
        <v/>
      </c>
      <c r="V19" s="42">
        <f>U19*VARIABLES!$B$58</f>
        <v/>
      </c>
      <c r="W19" s="42">
        <f>IF($A19&lt;VARIABLES!$B$53,0,(IF($A19&lt;VARIABLES!$B$53+1,0,X18)+U19)*C19*VARIABLES!$B$59)</f>
        <v/>
      </c>
      <c r="X19" s="42">
        <f>IF($A19&lt;VARIABLES!$B$53,0,(IF($A19&lt;VARIABLES!$B$53+1,0,X18)+U19)*(1+C19)-W19)</f>
        <v/>
      </c>
      <c r="Y19" s="42">
        <f>D19+H19+L19+P19+U19</f>
        <v/>
      </c>
      <c r="Z19" s="42">
        <f>E19+I19+M19+Q19+V19</f>
        <v/>
      </c>
      <c r="AA19" s="42">
        <f>F19+J19+N19+R19+W19</f>
        <v/>
      </c>
      <c r="AB19" s="42">
        <f>Y19*VARIABLES!$B$14*VARIABLES!$B$15</f>
        <v/>
      </c>
      <c r="AC19" s="33">
        <f>Z19+AA19+AB19</f>
        <v/>
      </c>
      <c r="AD19" s="34">
        <f>G19+K19+O19+S19+X19</f>
        <v/>
      </c>
      <c r="AE19" s="42">
        <f>0</f>
        <v/>
      </c>
      <c r="AF19" s="42">
        <f>Z19*VARIABLES!$B$19</f>
        <v/>
      </c>
      <c r="AG19" s="42">
        <f>AA19*VARIABLES!$B$18</f>
        <v/>
      </c>
      <c r="AH19" s="42">
        <f>VARIABLES!$B$20</f>
        <v/>
      </c>
      <c r="AI19" s="42">
        <f>IF(MOD($A19,12)=0,VARIABLES!$B$21,0)</f>
        <v/>
      </c>
      <c r="AJ19" s="35">
        <f>AE19+AF19+AG19+AH19+AI19</f>
        <v/>
      </c>
      <c r="AK19" s="36">
        <f>IF($A19&lt;VARIABLES!$B$7,VARIABLES!$B$11,0)</f>
        <v/>
      </c>
      <c r="AL19" s="44">
        <f>AC19-AJ19-AK19</f>
        <v/>
      </c>
      <c r="AM19" s="44">
        <f>AM18+AL19</f>
        <v/>
      </c>
      <c r="AN19" s="38">
        <f>AN18+AK19</f>
        <v/>
      </c>
    </row>
    <row r="20">
      <c r="A20" s="28" t="n">
        <v>17</v>
      </c>
      <c r="B20" s="29">
        <f>TEXT(DATE(VARIABLES!$B$63+INT((VARIABLES!$B$64+$A20-2)/12),MOD(VARIABLES!$B$64+$A20-2,12)+1,1),"mmm-yy")</f>
        <v/>
      </c>
      <c r="C20" s="30">
        <f>IF($A20&lt;VARIABLES!$B$7,VARIABLES!$B$5/12,IF($A20&lt;VARIABLES!$B$8,VARIABLES!$B$6/12,VARIABLES!$B$9/12))</f>
        <v/>
      </c>
      <c r="D20" s="31">
        <f>IF($A20&lt;VARIABLES!$B$24,0,IF($A20=VARIABLES!$B$24,VARIABLES!$B$25+VARIABLES!$B$26,VARIABLES!$B$26))</f>
        <v/>
      </c>
      <c r="E20" s="31">
        <f>D20*VARIABLES!$B$27</f>
        <v/>
      </c>
      <c r="F20" s="31">
        <f>IF($A20&lt;VARIABLES!$B$24,0,(IF($A20=VARIABLES!$B$24,0,G19)+D20)*C20*VARIABLES!$B$28)</f>
        <v/>
      </c>
      <c r="G20" s="31">
        <f>IF($A20&lt;VARIABLES!$B$24,0,(IF($A20=VARIABLES!$B$24,0,G19)+D20)*(1+C20)-F20)</f>
        <v/>
      </c>
      <c r="H20" s="31">
        <f>IF($A20&lt;VARIABLES!$B$31,0,IF($A20=VARIABLES!$B$31,VARIABLES!$B$32+VARIABLES!$B$33,VARIABLES!$B$33))</f>
        <v/>
      </c>
      <c r="I20" s="31">
        <f>H20*VARIABLES!$B$34</f>
        <v/>
      </c>
      <c r="J20" s="31">
        <f>IF($A20&lt;VARIABLES!$B$31,0,(IF($A20=VARIABLES!$B$31,0,K19)+H20)*C20*VARIABLES!$B$35)</f>
        <v/>
      </c>
      <c r="K20" s="31">
        <f>IF($A20&lt;VARIABLES!$B$31,0,(IF($A20=VARIABLES!$B$31,0,K19)+H20)*(1+C20)-J20)</f>
        <v/>
      </c>
      <c r="L20" s="31">
        <f>IF($A20&lt;VARIABLES!$B$38,0,IF($A20=VARIABLES!$B$38,VARIABLES!$B$39+VARIABLES!$B$40,VARIABLES!$B$40))</f>
        <v/>
      </c>
      <c r="M20" s="31">
        <f>L20*VARIABLES!$B$41</f>
        <v/>
      </c>
      <c r="N20" s="31">
        <f>IF($A20&lt;VARIABLES!$B$38,0,(IF($A20=VARIABLES!$B$38,0,O19)+L20)*C20*VARIABLES!$B$42)</f>
        <v/>
      </c>
      <c r="O20" s="31">
        <f>IF($A20&lt;VARIABLES!$B$38,0,(IF($A20=VARIABLES!$B$38,0,O19)+L20)*(1+C20)-N20)</f>
        <v/>
      </c>
      <c r="P20" s="31">
        <f>IF($A20&lt;VARIABLES!$B$45,0,IF($A20=VARIABLES!$B$45,VARIABLES!$B$46+VARIABLES!$B$47,VARIABLES!$B$47))</f>
        <v/>
      </c>
      <c r="Q20" s="31">
        <f>P20*VARIABLES!$B$48</f>
        <v/>
      </c>
      <c r="R20" s="31">
        <f>IF($A20&lt;VARIABLES!$B$45,0,(IF($A20=VARIABLES!$B$45,0,S19)+P20)*C20*VARIABLES!$B$49)</f>
        <v/>
      </c>
      <c r="S20" s="31">
        <f>IF($A20&lt;VARIABLES!$B$45,0,(IF($A20=VARIABLES!$B$45,0,S19)+P20)*(1+C20)-R20)</f>
        <v/>
      </c>
      <c r="T20" s="32">
        <f>IF($A20&lt;VARIABLES!$B$53,0,MIN(VARIABLES!$B$52,INT(($A20-VARIABLES!$B$53)/VARIABLES!$B$54)+1)*VARIABLES!$B$55)</f>
        <v/>
      </c>
      <c r="U20" s="31">
        <f>T20*VARIABLES!$B$57+IF(AND($A20&gt;=VARIABLES!$B$53,MOD($A20-VARIABLES!$B$53,VARIABLES!$B$54)=0,INT(($A20-VARIABLES!$B$53)/VARIABLES!$B$54)&lt;VARIABLES!$B$52),VARIABLES!$B$55*VARIABLES!$B$56,0)</f>
        <v/>
      </c>
      <c r="V20" s="31">
        <f>U20*VARIABLES!$B$58</f>
        <v/>
      </c>
      <c r="W20" s="31">
        <f>IF($A20&lt;VARIABLES!$B$53,0,(IF($A20&lt;VARIABLES!$B$53+1,0,X19)+U20)*C20*VARIABLES!$B$59)</f>
        <v/>
      </c>
      <c r="X20" s="31">
        <f>IF($A20&lt;VARIABLES!$B$53,0,(IF($A20&lt;VARIABLES!$B$53+1,0,X19)+U20)*(1+C20)-W20)</f>
        <v/>
      </c>
      <c r="Y20" s="31">
        <f>D20+H20+L20+P20+U20</f>
        <v/>
      </c>
      <c r="Z20" s="31">
        <f>E20+I20+M20+Q20+V20</f>
        <v/>
      </c>
      <c r="AA20" s="31">
        <f>F20+J20+N20+R20+W20</f>
        <v/>
      </c>
      <c r="AB20" s="31">
        <f>Y20*VARIABLES!$B$14*VARIABLES!$B$15</f>
        <v/>
      </c>
      <c r="AC20" s="33">
        <f>Z20+AA20+AB20</f>
        <v/>
      </c>
      <c r="AD20" s="34">
        <f>G20+K20+O20+S20+X20</f>
        <v/>
      </c>
      <c r="AE20" s="31">
        <f>0</f>
        <v/>
      </c>
      <c r="AF20" s="31">
        <f>Z20*VARIABLES!$B$19</f>
        <v/>
      </c>
      <c r="AG20" s="31">
        <f>AA20*VARIABLES!$B$18</f>
        <v/>
      </c>
      <c r="AH20" s="31">
        <f>VARIABLES!$B$20</f>
        <v/>
      </c>
      <c r="AI20" s="31">
        <f>IF(MOD($A20,12)=0,VARIABLES!$B$21,0)</f>
        <v/>
      </c>
      <c r="AJ20" s="35">
        <f>AE20+AF20+AG20+AH20+AI20</f>
        <v/>
      </c>
      <c r="AK20" s="36">
        <f>IF($A20&lt;VARIABLES!$B$7,VARIABLES!$B$11,0)</f>
        <v/>
      </c>
      <c r="AL20" s="37">
        <f>AC20-AJ20-AK20</f>
        <v/>
      </c>
      <c r="AM20" s="37">
        <f>AM19+AL20</f>
        <v/>
      </c>
      <c r="AN20" s="38">
        <f>AN19+AK20</f>
        <v/>
      </c>
    </row>
    <row r="21">
      <c r="A21" s="39" t="n">
        <v>18</v>
      </c>
      <c r="B21" s="40">
        <f>TEXT(DATE(VARIABLES!$B$63+INT((VARIABLES!$B$64+$A21-2)/12),MOD(VARIABLES!$B$64+$A21-2,12)+1,1),"mmm-yy")</f>
        <v/>
      </c>
      <c r="C21" s="41">
        <f>IF($A21&lt;VARIABLES!$B$7,VARIABLES!$B$5/12,IF($A21&lt;VARIABLES!$B$8,VARIABLES!$B$6/12,VARIABLES!$B$9/12))</f>
        <v/>
      </c>
      <c r="D21" s="42">
        <f>IF($A21&lt;VARIABLES!$B$24,0,IF($A21=VARIABLES!$B$24,VARIABLES!$B$25+VARIABLES!$B$26,VARIABLES!$B$26))</f>
        <v/>
      </c>
      <c r="E21" s="42">
        <f>D21*VARIABLES!$B$27</f>
        <v/>
      </c>
      <c r="F21" s="42">
        <f>IF($A21&lt;VARIABLES!$B$24,0,(IF($A21=VARIABLES!$B$24,0,G20)+D21)*C21*VARIABLES!$B$28)</f>
        <v/>
      </c>
      <c r="G21" s="42">
        <f>IF($A21&lt;VARIABLES!$B$24,0,(IF($A21=VARIABLES!$B$24,0,G20)+D21)*(1+C21)-F21)</f>
        <v/>
      </c>
      <c r="H21" s="42">
        <f>IF($A21&lt;VARIABLES!$B$31,0,IF($A21=VARIABLES!$B$31,VARIABLES!$B$32+VARIABLES!$B$33,VARIABLES!$B$33))</f>
        <v/>
      </c>
      <c r="I21" s="42">
        <f>H21*VARIABLES!$B$34</f>
        <v/>
      </c>
      <c r="J21" s="42">
        <f>IF($A21&lt;VARIABLES!$B$31,0,(IF($A21=VARIABLES!$B$31,0,K20)+H21)*C21*VARIABLES!$B$35)</f>
        <v/>
      </c>
      <c r="K21" s="42">
        <f>IF($A21&lt;VARIABLES!$B$31,0,(IF($A21=VARIABLES!$B$31,0,K20)+H21)*(1+C21)-J21)</f>
        <v/>
      </c>
      <c r="L21" s="42">
        <f>IF($A21&lt;VARIABLES!$B$38,0,IF($A21=VARIABLES!$B$38,VARIABLES!$B$39+VARIABLES!$B$40,VARIABLES!$B$40))</f>
        <v/>
      </c>
      <c r="M21" s="42">
        <f>L21*VARIABLES!$B$41</f>
        <v/>
      </c>
      <c r="N21" s="42">
        <f>IF($A21&lt;VARIABLES!$B$38,0,(IF($A21=VARIABLES!$B$38,0,O20)+L21)*C21*VARIABLES!$B$42)</f>
        <v/>
      </c>
      <c r="O21" s="42">
        <f>IF($A21&lt;VARIABLES!$B$38,0,(IF($A21=VARIABLES!$B$38,0,O20)+L21)*(1+C21)-N21)</f>
        <v/>
      </c>
      <c r="P21" s="42">
        <f>IF($A21&lt;VARIABLES!$B$45,0,IF($A21=VARIABLES!$B$45,VARIABLES!$B$46+VARIABLES!$B$47,VARIABLES!$B$47))</f>
        <v/>
      </c>
      <c r="Q21" s="42">
        <f>P21*VARIABLES!$B$48</f>
        <v/>
      </c>
      <c r="R21" s="42">
        <f>IF($A21&lt;VARIABLES!$B$45,0,(IF($A21=VARIABLES!$B$45,0,S20)+P21)*C21*VARIABLES!$B$49)</f>
        <v/>
      </c>
      <c r="S21" s="42">
        <f>IF($A21&lt;VARIABLES!$B$45,0,(IF($A21=VARIABLES!$B$45,0,S20)+P21)*(1+C21)-R21)</f>
        <v/>
      </c>
      <c r="T21" s="43">
        <f>IF($A21&lt;VARIABLES!$B$53,0,MIN(VARIABLES!$B$52,INT(($A21-VARIABLES!$B$53)/VARIABLES!$B$54)+1)*VARIABLES!$B$55)</f>
        <v/>
      </c>
      <c r="U21" s="42">
        <f>T21*VARIABLES!$B$57+IF(AND($A21&gt;=VARIABLES!$B$53,MOD($A21-VARIABLES!$B$53,VARIABLES!$B$54)=0,INT(($A21-VARIABLES!$B$53)/VARIABLES!$B$54)&lt;VARIABLES!$B$52),VARIABLES!$B$55*VARIABLES!$B$56,0)</f>
        <v/>
      </c>
      <c r="V21" s="42">
        <f>U21*VARIABLES!$B$58</f>
        <v/>
      </c>
      <c r="W21" s="42">
        <f>IF($A21&lt;VARIABLES!$B$53,0,(IF($A21&lt;VARIABLES!$B$53+1,0,X20)+U21)*C21*VARIABLES!$B$59)</f>
        <v/>
      </c>
      <c r="X21" s="42">
        <f>IF($A21&lt;VARIABLES!$B$53,0,(IF($A21&lt;VARIABLES!$B$53+1,0,X20)+U21)*(1+C21)-W21)</f>
        <v/>
      </c>
      <c r="Y21" s="42">
        <f>D21+H21+L21+P21+U21</f>
        <v/>
      </c>
      <c r="Z21" s="42">
        <f>E21+I21+M21+Q21+V21</f>
        <v/>
      </c>
      <c r="AA21" s="42">
        <f>F21+J21+N21+R21+W21</f>
        <v/>
      </c>
      <c r="AB21" s="42">
        <f>Y21*VARIABLES!$B$14*VARIABLES!$B$15</f>
        <v/>
      </c>
      <c r="AC21" s="33">
        <f>Z21+AA21+AB21</f>
        <v/>
      </c>
      <c r="AD21" s="34">
        <f>G21+K21+O21+S21+X21</f>
        <v/>
      </c>
      <c r="AE21" s="42">
        <f>0</f>
        <v/>
      </c>
      <c r="AF21" s="42">
        <f>Z21*VARIABLES!$B$19</f>
        <v/>
      </c>
      <c r="AG21" s="42">
        <f>AA21*VARIABLES!$B$18</f>
        <v/>
      </c>
      <c r="AH21" s="42">
        <f>VARIABLES!$B$20</f>
        <v/>
      </c>
      <c r="AI21" s="42">
        <f>IF(MOD($A21,12)=0,VARIABLES!$B$21,0)</f>
        <v/>
      </c>
      <c r="AJ21" s="35">
        <f>AE21+AF21+AG21+AH21+AI21</f>
        <v/>
      </c>
      <c r="AK21" s="36">
        <f>IF($A21&lt;VARIABLES!$B$7,VARIABLES!$B$11,0)</f>
        <v/>
      </c>
      <c r="AL21" s="44">
        <f>AC21-AJ21-AK21</f>
        <v/>
      </c>
      <c r="AM21" s="44">
        <f>AM20+AL21</f>
        <v/>
      </c>
      <c r="AN21" s="38">
        <f>AN20+AK21</f>
        <v/>
      </c>
    </row>
    <row r="22">
      <c r="A22" s="28" t="n">
        <v>19</v>
      </c>
      <c r="B22" s="29">
        <f>TEXT(DATE(VARIABLES!$B$63+INT((VARIABLES!$B$64+$A22-2)/12),MOD(VARIABLES!$B$64+$A22-2,12)+1,1),"mmm-yy")</f>
        <v/>
      </c>
      <c r="C22" s="30">
        <f>IF($A22&lt;VARIABLES!$B$7,VARIABLES!$B$5/12,IF($A22&lt;VARIABLES!$B$8,VARIABLES!$B$6/12,VARIABLES!$B$9/12))</f>
        <v/>
      </c>
      <c r="D22" s="31">
        <f>IF($A22&lt;VARIABLES!$B$24,0,IF($A22=VARIABLES!$B$24,VARIABLES!$B$25+VARIABLES!$B$26,VARIABLES!$B$26))</f>
        <v/>
      </c>
      <c r="E22" s="31">
        <f>D22*VARIABLES!$B$27</f>
        <v/>
      </c>
      <c r="F22" s="31">
        <f>IF($A22&lt;VARIABLES!$B$24,0,(IF($A22=VARIABLES!$B$24,0,G21)+D22)*C22*VARIABLES!$B$28)</f>
        <v/>
      </c>
      <c r="G22" s="31">
        <f>IF($A22&lt;VARIABLES!$B$24,0,(IF($A22=VARIABLES!$B$24,0,G21)+D22)*(1+C22)-F22)</f>
        <v/>
      </c>
      <c r="H22" s="31">
        <f>IF($A22&lt;VARIABLES!$B$31,0,IF($A22=VARIABLES!$B$31,VARIABLES!$B$32+VARIABLES!$B$33,VARIABLES!$B$33))</f>
        <v/>
      </c>
      <c r="I22" s="31">
        <f>H22*VARIABLES!$B$34</f>
        <v/>
      </c>
      <c r="J22" s="31">
        <f>IF($A22&lt;VARIABLES!$B$31,0,(IF($A22=VARIABLES!$B$31,0,K21)+H22)*C22*VARIABLES!$B$35)</f>
        <v/>
      </c>
      <c r="K22" s="31">
        <f>IF($A22&lt;VARIABLES!$B$31,0,(IF($A22=VARIABLES!$B$31,0,K21)+H22)*(1+C22)-J22)</f>
        <v/>
      </c>
      <c r="L22" s="31">
        <f>IF($A22&lt;VARIABLES!$B$38,0,IF($A22=VARIABLES!$B$38,VARIABLES!$B$39+VARIABLES!$B$40,VARIABLES!$B$40))</f>
        <v/>
      </c>
      <c r="M22" s="31">
        <f>L22*VARIABLES!$B$41</f>
        <v/>
      </c>
      <c r="N22" s="31">
        <f>IF($A22&lt;VARIABLES!$B$38,0,(IF($A22=VARIABLES!$B$38,0,O21)+L22)*C22*VARIABLES!$B$42)</f>
        <v/>
      </c>
      <c r="O22" s="31">
        <f>IF($A22&lt;VARIABLES!$B$38,0,(IF($A22=VARIABLES!$B$38,0,O21)+L22)*(1+C22)-N22)</f>
        <v/>
      </c>
      <c r="P22" s="31">
        <f>IF($A22&lt;VARIABLES!$B$45,0,IF($A22=VARIABLES!$B$45,VARIABLES!$B$46+VARIABLES!$B$47,VARIABLES!$B$47))</f>
        <v/>
      </c>
      <c r="Q22" s="31">
        <f>P22*VARIABLES!$B$48</f>
        <v/>
      </c>
      <c r="R22" s="31">
        <f>IF($A22&lt;VARIABLES!$B$45,0,(IF($A22=VARIABLES!$B$45,0,S21)+P22)*C22*VARIABLES!$B$49)</f>
        <v/>
      </c>
      <c r="S22" s="31">
        <f>IF($A22&lt;VARIABLES!$B$45,0,(IF($A22=VARIABLES!$B$45,0,S21)+P22)*(1+C22)-R22)</f>
        <v/>
      </c>
      <c r="T22" s="32">
        <f>IF($A22&lt;VARIABLES!$B$53,0,MIN(VARIABLES!$B$52,INT(($A22-VARIABLES!$B$53)/VARIABLES!$B$54)+1)*VARIABLES!$B$55)</f>
        <v/>
      </c>
      <c r="U22" s="31">
        <f>T22*VARIABLES!$B$57+IF(AND($A22&gt;=VARIABLES!$B$53,MOD($A22-VARIABLES!$B$53,VARIABLES!$B$54)=0,INT(($A22-VARIABLES!$B$53)/VARIABLES!$B$54)&lt;VARIABLES!$B$52),VARIABLES!$B$55*VARIABLES!$B$56,0)</f>
        <v/>
      </c>
      <c r="V22" s="31">
        <f>U22*VARIABLES!$B$58</f>
        <v/>
      </c>
      <c r="W22" s="31">
        <f>IF($A22&lt;VARIABLES!$B$53,0,(IF($A22&lt;VARIABLES!$B$53+1,0,X21)+U22)*C22*VARIABLES!$B$59)</f>
        <v/>
      </c>
      <c r="X22" s="31">
        <f>IF($A22&lt;VARIABLES!$B$53,0,(IF($A22&lt;VARIABLES!$B$53+1,0,X21)+U22)*(1+C22)-W22)</f>
        <v/>
      </c>
      <c r="Y22" s="31">
        <f>D22+H22+L22+P22+U22</f>
        <v/>
      </c>
      <c r="Z22" s="31">
        <f>E22+I22+M22+Q22+V22</f>
        <v/>
      </c>
      <c r="AA22" s="31">
        <f>F22+J22+N22+R22+W22</f>
        <v/>
      </c>
      <c r="AB22" s="31">
        <f>Y22*VARIABLES!$B$14*VARIABLES!$B$15</f>
        <v/>
      </c>
      <c r="AC22" s="33">
        <f>Z22+AA22+AB22</f>
        <v/>
      </c>
      <c r="AD22" s="34">
        <f>G22+K22+O22+S22+X22</f>
        <v/>
      </c>
      <c r="AE22" s="31">
        <f>0</f>
        <v/>
      </c>
      <c r="AF22" s="31">
        <f>Z22*VARIABLES!$B$19</f>
        <v/>
      </c>
      <c r="AG22" s="31">
        <f>AA22*VARIABLES!$B$18</f>
        <v/>
      </c>
      <c r="AH22" s="31">
        <f>VARIABLES!$B$20</f>
        <v/>
      </c>
      <c r="AI22" s="31">
        <f>IF(MOD($A22,12)=0,VARIABLES!$B$21,0)</f>
        <v/>
      </c>
      <c r="AJ22" s="35">
        <f>AE22+AF22+AG22+AH22+AI22</f>
        <v/>
      </c>
      <c r="AK22" s="36">
        <f>IF($A22&lt;VARIABLES!$B$7,VARIABLES!$B$11,0)</f>
        <v/>
      </c>
      <c r="AL22" s="37">
        <f>AC22-AJ22-AK22</f>
        <v/>
      </c>
      <c r="AM22" s="37">
        <f>AM21+AL22</f>
        <v/>
      </c>
      <c r="AN22" s="38">
        <f>AN21+AK22</f>
        <v/>
      </c>
    </row>
    <row r="23">
      <c r="A23" s="39" t="n">
        <v>20</v>
      </c>
      <c r="B23" s="40">
        <f>TEXT(DATE(VARIABLES!$B$63+INT((VARIABLES!$B$64+$A23-2)/12),MOD(VARIABLES!$B$64+$A23-2,12)+1,1),"mmm-yy")</f>
        <v/>
      </c>
      <c r="C23" s="41">
        <f>IF($A23&lt;VARIABLES!$B$7,VARIABLES!$B$5/12,IF($A23&lt;VARIABLES!$B$8,VARIABLES!$B$6/12,VARIABLES!$B$9/12))</f>
        <v/>
      </c>
      <c r="D23" s="42">
        <f>IF($A23&lt;VARIABLES!$B$24,0,IF($A23=VARIABLES!$B$24,VARIABLES!$B$25+VARIABLES!$B$26,VARIABLES!$B$26))</f>
        <v/>
      </c>
      <c r="E23" s="42">
        <f>D23*VARIABLES!$B$27</f>
        <v/>
      </c>
      <c r="F23" s="42">
        <f>IF($A23&lt;VARIABLES!$B$24,0,(IF($A23=VARIABLES!$B$24,0,G22)+D23)*C23*VARIABLES!$B$28)</f>
        <v/>
      </c>
      <c r="G23" s="42">
        <f>IF($A23&lt;VARIABLES!$B$24,0,(IF($A23=VARIABLES!$B$24,0,G22)+D23)*(1+C23)-F23)</f>
        <v/>
      </c>
      <c r="H23" s="42">
        <f>IF($A23&lt;VARIABLES!$B$31,0,IF($A23=VARIABLES!$B$31,VARIABLES!$B$32+VARIABLES!$B$33,VARIABLES!$B$33))</f>
        <v/>
      </c>
      <c r="I23" s="42">
        <f>H23*VARIABLES!$B$34</f>
        <v/>
      </c>
      <c r="J23" s="42">
        <f>IF($A23&lt;VARIABLES!$B$31,0,(IF($A23=VARIABLES!$B$31,0,K22)+H23)*C23*VARIABLES!$B$35)</f>
        <v/>
      </c>
      <c r="K23" s="42">
        <f>IF($A23&lt;VARIABLES!$B$31,0,(IF($A23=VARIABLES!$B$31,0,K22)+H23)*(1+C23)-J23)</f>
        <v/>
      </c>
      <c r="L23" s="42">
        <f>IF($A23&lt;VARIABLES!$B$38,0,IF($A23=VARIABLES!$B$38,VARIABLES!$B$39+VARIABLES!$B$40,VARIABLES!$B$40))</f>
        <v/>
      </c>
      <c r="M23" s="42">
        <f>L23*VARIABLES!$B$41</f>
        <v/>
      </c>
      <c r="N23" s="42">
        <f>IF($A23&lt;VARIABLES!$B$38,0,(IF($A23=VARIABLES!$B$38,0,O22)+L23)*C23*VARIABLES!$B$42)</f>
        <v/>
      </c>
      <c r="O23" s="42">
        <f>IF($A23&lt;VARIABLES!$B$38,0,(IF($A23=VARIABLES!$B$38,0,O22)+L23)*(1+C23)-N23)</f>
        <v/>
      </c>
      <c r="P23" s="42">
        <f>IF($A23&lt;VARIABLES!$B$45,0,IF($A23=VARIABLES!$B$45,VARIABLES!$B$46+VARIABLES!$B$47,VARIABLES!$B$47))</f>
        <v/>
      </c>
      <c r="Q23" s="42">
        <f>P23*VARIABLES!$B$48</f>
        <v/>
      </c>
      <c r="R23" s="42">
        <f>IF($A23&lt;VARIABLES!$B$45,0,(IF($A23=VARIABLES!$B$45,0,S22)+P23)*C23*VARIABLES!$B$49)</f>
        <v/>
      </c>
      <c r="S23" s="42">
        <f>IF($A23&lt;VARIABLES!$B$45,0,(IF($A23=VARIABLES!$B$45,0,S22)+P23)*(1+C23)-R23)</f>
        <v/>
      </c>
      <c r="T23" s="43">
        <f>IF($A23&lt;VARIABLES!$B$53,0,MIN(VARIABLES!$B$52,INT(($A23-VARIABLES!$B$53)/VARIABLES!$B$54)+1)*VARIABLES!$B$55)</f>
        <v/>
      </c>
      <c r="U23" s="42">
        <f>T23*VARIABLES!$B$57+IF(AND($A23&gt;=VARIABLES!$B$53,MOD($A23-VARIABLES!$B$53,VARIABLES!$B$54)=0,INT(($A23-VARIABLES!$B$53)/VARIABLES!$B$54)&lt;VARIABLES!$B$52),VARIABLES!$B$55*VARIABLES!$B$56,0)</f>
        <v/>
      </c>
      <c r="V23" s="42">
        <f>U23*VARIABLES!$B$58</f>
        <v/>
      </c>
      <c r="W23" s="42">
        <f>IF($A23&lt;VARIABLES!$B$53,0,(IF($A23&lt;VARIABLES!$B$53+1,0,X22)+U23)*C23*VARIABLES!$B$59)</f>
        <v/>
      </c>
      <c r="X23" s="42">
        <f>IF($A23&lt;VARIABLES!$B$53,0,(IF($A23&lt;VARIABLES!$B$53+1,0,X22)+U23)*(1+C23)-W23)</f>
        <v/>
      </c>
      <c r="Y23" s="42">
        <f>D23+H23+L23+P23+U23</f>
        <v/>
      </c>
      <c r="Z23" s="42">
        <f>E23+I23+M23+Q23+V23</f>
        <v/>
      </c>
      <c r="AA23" s="42">
        <f>F23+J23+N23+R23+W23</f>
        <v/>
      </c>
      <c r="AB23" s="42">
        <f>Y23*VARIABLES!$B$14*VARIABLES!$B$15</f>
        <v/>
      </c>
      <c r="AC23" s="33">
        <f>Z23+AA23+AB23</f>
        <v/>
      </c>
      <c r="AD23" s="34">
        <f>G23+K23+O23+S23+X23</f>
        <v/>
      </c>
      <c r="AE23" s="42">
        <f>0</f>
        <v/>
      </c>
      <c r="AF23" s="42">
        <f>Z23*VARIABLES!$B$19</f>
        <v/>
      </c>
      <c r="AG23" s="42">
        <f>AA23*VARIABLES!$B$18</f>
        <v/>
      </c>
      <c r="AH23" s="42">
        <f>VARIABLES!$B$20</f>
        <v/>
      </c>
      <c r="AI23" s="42">
        <f>IF(MOD($A23,12)=0,VARIABLES!$B$21,0)</f>
        <v/>
      </c>
      <c r="AJ23" s="35">
        <f>AE23+AF23+AG23+AH23+AI23</f>
        <v/>
      </c>
      <c r="AK23" s="36">
        <f>IF($A23&lt;VARIABLES!$B$7,VARIABLES!$B$11,0)</f>
        <v/>
      </c>
      <c r="AL23" s="44">
        <f>AC23-AJ23-AK23</f>
        <v/>
      </c>
      <c r="AM23" s="44">
        <f>AM22+AL23</f>
        <v/>
      </c>
      <c r="AN23" s="38">
        <f>AN22+AK23</f>
        <v/>
      </c>
    </row>
    <row r="24">
      <c r="A24" s="28" t="n">
        <v>21</v>
      </c>
      <c r="B24" s="29">
        <f>TEXT(DATE(VARIABLES!$B$63+INT((VARIABLES!$B$64+$A24-2)/12),MOD(VARIABLES!$B$64+$A24-2,12)+1,1),"mmm-yy")</f>
        <v/>
      </c>
      <c r="C24" s="30">
        <f>IF($A24&lt;VARIABLES!$B$7,VARIABLES!$B$5/12,IF($A24&lt;VARIABLES!$B$8,VARIABLES!$B$6/12,VARIABLES!$B$9/12))</f>
        <v/>
      </c>
      <c r="D24" s="31">
        <f>IF($A24&lt;VARIABLES!$B$24,0,IF($A24=VARIABLES!$B$24,VARIABLES!$B$25+VARIABLES!$B$26,VARIABLES!$B$26))</f>
        <v/>
      </c>
      <c r="E24" s="31">
        <f>D24*VARIABLES!$B$27</f>
        <v/>
      </c>
      <c r="F24" s="31">
        <f>IF($A24&lt;VARIABLES!$B$24,0,(IF($A24=VARIABLES!$B$24,0,G23)+D24)*C24*VARIABLES!$B$28)</f>
        <v/>
      </c>
      <c r="G24" s="31">
        <f>IF($A24&lt;VARIABLES!$B$24,0,(IF($A24=VARIABLES!$B$24,0,G23)+D24)*(1+C24)-F24)</f>
        <v/>
      </c>
      <c r="H24" s="31">
        <f>IF($A24&lt;VARIABLES!$B$31,0,IF($A24=VARIABLES!$B$31,VARIABLES!$B$32+VARIABLES!$B$33,VARIABLES!$B$33))</f>
        <v/>
      </c>
      <c r="I24" s="31">
        <f>H24*VARIABLES!$B$34</f>
        <v/>
      </c>
      <c r="J24" s="31">
        <f>IF($A24&lt;VARIABLES!$B$31,0,(IF($A24=VARIABLES!$B$31,0,K23)+H24)*C24*VARIABLES!$B$35)</f>
        <v/>
      </c>
      <c r="K24" s="31">
        <f>IF($A24&lt;VARIABLES!$B$31,0,(IF($A24=VARIABLES!$B$31,0,K23)+H24)*(1+C24)-J24)</f>
        <v/>
      </c>
      <c r="L24" s="31">
        <f>IF($A24&lt;VARIABLES!$B$38,0,IF($A24=VARIABLES!$B$38,VARIABLES!$B$39+VARIABLES!$B$40,VARIABLES!$B$40))</f>
        <v/>
      </c>
      <c r="M24" s="31">
        <f>L24*VARIABLES!$B$41</f>
        <v/>
      </c>
      <c r="N24" s="31">
        <f>IF($A24&lt;VARIABLES!$B$38,0,(IF($A24=VARIABLES!$B$38,0,O23)+L24)*C24*VARIABLES!$B$42)</f>
        <v/>
      </c>
      <c r="O24" s="31">
        <f>IF($A24&lt;VARIABLES!$B$38,0,(IF($A24=VARIABLES!$B$38,0,O23)+L24)*(1+C24)-N24)</f>
        <v/>
      </c>
      <c r="P24" s="31">
        <f>IF($A24&lt;VARIABLES!$B$45,0,IF($A24=VARIABLES!$B$45,VARIABLES!$B$46+VARIABLES!$B$47,VARIABLES!$B$47))</f>
        <v/>
      </c>
      <c r="Q24" s="31">
        <f>P24*VARIABLES!$B$48</f>
        <v/>
      </c>
      <c r="R24" s="31">
        <f>IF($A24&lt;VARIABLES!$B$45,0,(IF($A24=VARIABLES!$B$45,0,S23)+P24)*C24*VARIABLES!$B$49)</f>
        <v/>
      </c>
      <c r="S24" s="31">
        <f>IF($A24&lt;VARIABLES!$B$45,0,(IF($A24=VARIABLES!$B$45,0,S23)+P24)*(1+C24)-R24)</f>
        <v/>
      </c>
      <c r="T24" s="32">
        <f>IF($A24&lt;VARIABLES!$B$53,0,MIN(VARIABLES!$B$52,INT(($A24-VARIABLES!$B$53)/VARIABLES!$B$54)+1)*VARIABLES!$B$55)</f>
        <v/>
      </c>
      <c r="U24" s="31">
        <f>T24*VARIABLES!$B$57+IF(AND($A24&gt;=VARIABLES!$B$53,MOD($A24-VARIABLES!$B$53,VARIABLES!$B$54)=0,INT(($A24-VARIABLES!$B$53)/VARIABLES!$B$54)&lt;VARIABLES!$B$52),VARIABLES!$B$55*VARIABLES!$B$56,0)</f>
        <v/>
      </c>
      <c r="V24" s="31">
        <f>U24*VARIABLES!$B$58</f>
        <v/>
      </c>
      <c r="W24" s="31">
        <f>IF($A24&lt;VARIABLES!$B$53,0,(IF($A24&lt;VARIABLES!$B$53+1,0,X23)+U24)*C24*VARIABLES!$B$59)</f>
        <v/>
      </c>
      <c r="X24" s="31">
        <f>IF($A24&lt;VARIABLES!$B$53,0,(IF($A24&lt;VARIABLES!$B$53+1,0,X23)+U24)*(1+C24)-W24)</f>
        <v/>
      </c>
      <c r="Y24" s="31">
        <f>D24+H24+L24+P24+U24</f>
        <v/>
      </c>
      <c r="Z24" s="31">
        <f>E24+I24+M24+Q24+V24</f>
        <v/>
      </c>
      <c r="AA24" s="31">
        <f>F24+J24+N24+R24+W24</f>
        <v/>
      </c>
      <c r="AB24" s="31">
        <f>Y24*VARIABLES!$B$14*VARIABLES!$B$15</f>
        <v/>
      </c>
      <c r="AC24" s="33">
        <f>Z24+AA24+AB24</f>
        <v/>
      </c>
      <c r="AD24" s="34">
        <f>G24+K24+O24+S24+X24</f>
        <v/>
      </c>
      <c r="AE24" s="31">
        <f>0</f>
        <v/>
      </c>
      <c r="AF24" s="31">
        <f>Z24*VARIABLES!$B$19</f>
        <v/>
      </c>
      <c r="AG24" s="31">
        <f>AA24*VARIABLES!$B$18</f>
        <v/>
      </c>
      <c r="AH24" s="31">
        <f>VARIABLES!$B$20</f>
        <v/>
      </c>
      <c r="AI24" s="31">
        <f>IF(MOD($A24,12)=0,VARIABLES!$B$21,0)</f>
        <v/>
      </c>
      <c r="AJ24" s="35">
        <f>AE24+AF24+AG24+AH24+AI24</f>
        <v/>
      </c>
      <c r="AK24" s="36">
        <f>IF($A24&lt;VARIABLES!$B$7,VARIABLES!$B$11,0)</f>
        <v/>
      </c>
      <c r="AL24" s="37">
        <f>AC24-AJ24-AK24</f>
        <v/>
      </c>
      <c r="AM24" s="37">
        <f>AM23+AL24</f>
        <v/>
      </c>
      <c r="AN24" s="38">
        <f>AN23+AK24</f>
        <v/>
      </c>
    </row>
    <row r="25">
      <c r="A25" s="39" t="n">
        <v>22</v>
      </c>
      <c r="B25" s="40">
        <f>TEXT(DATE(VARIABLES!$B$63+INT((VARIABLES!$B$64+$A25-2)/12),MOD(VARIABLES!$B$64+$A25-2,12)+1,1),"mmm-yy")</f>
        <v/>
      </c>
      <c r="C25" s="41">
        <f>IF($A25&lt;VARIABLES!$B$7,VARIABLES!$B$5/12,IF($A25&lt;VARIABLES!$B$8,VARIABLES!$B$6/12,VARIABLES!$B$9/12))</f>
        <v/>
      </c>
      <c r="D25" s="42">
        <f>IF($A25&lt;VARIABLES!$B$24,0,IF($A25=VARIABLES!$B$24,VARIABLES!$B$25+VARIABLES!$B$26,VARIABLES!$B$26))</f>
        <v/>
      </c>
      <c r="E25" s="42">
        <f>D25*VARIABLES!$B$27</f>
        <v/>
      </c>
      <c r="F25" s="42">
        <f>IF($A25&lt;VARIABLES!$B$24,0,(IF($A25=VARIABLES!$B$24,0,G24)+D25)*C25*VARIABLES!$B$28)</f>
        <v/>
      </c>
      <c r="G25" s="42">
        <f>IF($A25&lt;VARIABLES!$B$24,0,(IF($A25=VARIABLES!$B$24,0,G24)+D25)*(1+C25)-F25)</f>
        <v/>
      </c>
      <c r="H25" s="42">
        <f>IF($A25&lt;VARIABLES!$B$31,0,IF($A25=VARIABLES!$B$31,VARIABLES!$B$32+VARIABLES!$B$33,VARIABLES!$B$33))</f>
        <v/>
      </c>
      <c r="I25" s="42">
        <f>H25*VARIABLES!$B$34</f>
        <v/>
      </c>
      <c r="J25" s="42">
        <f>IF($A25&lt;VARIABLES!$B$31,0,(IF($A25=VARIABLES!$B$31,0,K24)+H25)*C25*VARIABLES!$B$35)</f>
        <v/>
      </c>
      <c r="K25" s="42">
        <f>IF($A25&lt;VARIABLES!$B$31,0,(IF($A25=VARIABLES!$B$31,0,K24)+H25)*(1+C25)-J25)</f>
        <v/>
      </c>
      <c r="L25" s="42">
        <f>IF($A25&lt;VARIABLES!$B$38,0,IF($A25=VARIABLES!$B$38,VARIABLES!$B$39+VARIABLES!$B$40,VARIABLES!$B$40))</f>
        <v/>
      </c>
      <c r="M25" s="42">
        <f>L25*VARIABLES!$B$41</f>
        <v/>
      </c>
      <c r="N25" s="42">
        <f>IF($A25&lt;VARIABLES!$B$38,0,(IF($A25=VARIABLES!$B$38,0,O24)+L25)*C25*VARIABLES!$B$42)</f>
        <v/>
      </c>
      <c r="O25" s="42">
        <f>IF($A25&lt;VARIABLES!$B$38,0,(IF($A25=VARIABLES!$B$38,0,O24)+L25)*(1+C25)-N25)</f>
        <v/>
      </c>
      <c r="P25" s="42">
        <f>IF($A25&lt;VARIABLES!$B$45,0,IF($A25=VARIABLES!$B$45,VARIABLES!$B$46+VARIABLES!$B$47,VARIABLES!$B$47))</f>
        <v/>
      </c>
      <c r="Q25" s="42">
        <f>P25*VARIABLES!$B$48</f>
        <v/>
      </c>
      <c r="R25" s="42">
        <f>IF($A25&lt;VARIABLES!$B$45,0,(IF($A25=VARIABLES!$B$45,0,S24)+P25)*C25*VARIABLES!$B$49)</f>
        <v/>
      </c>
      <c r="S25" s="42">
        <f>IF($A25&lt;VARIABLES!$B$45,0,(IF($A25=VARIABLES!$B$45,0,S24)+P25)*(1+C25)-R25)</f>
        <v/>
      </c>
      <c r="T25" s="43">
        <f>IF($A25&lt;VARIABLES!$B$53,0,MIN(VARIABLES!$B$52,INT(($A25-VARIABLES!$B$53)/VARIABLES!$B$54)+1)*VARIABLES!$B$55)</f>
        <v/>
      </c>
      <c r="U25" s="42">
        <f>T25*VARIABLES!$B$57+IF(AND($A25&gt;=VARIABLES!$B$53,MOD($A25-VARIABLES!$B$53,VARIABLES!$B$54)=0,INT(($A25-VARIABLES!$B$53)/VARIABLES!$B$54)&lt;VARIABLES!$B$52),VARIABLES!$B$55*VARIABLES!$B$56,0)</f>
        <v/>
      </c>
      <c r="V25" s="42">
        <f>U25*VARIABLES!$B$58</f>
        <v/>
      </c>
      <c r="W25" s="42">
        <f>IF($A25&lt;VARIABLES!$B$53,0,(IF($A25&lt;VARIABLES!$B$53+1,0,X24)+U25)*C25*VARIABLES!$B$59)</f>
        <v/>
      </c>
      <c r="X25" s="42">
        <f>IF($A25&lt;VARIABLES!$B$53,0,(IF($A25&lt;VARIABLES!$B$53+1,0,X24)+U25)*(1+C25)-W25)</f>
        <v/>
      </c>
      <c r="Y25" s="42">
        <f>D25+H25+L25+P25+U25</f>
        <v/>
      </c>
      <c r="Z25" s="42">
        <f>E25+I25+M25+Q25+V25</f>
        <v/>
      </c>
      <c r="AA25" s="42">
        <f>F25+J25+N25+R25+W25</f>
        <v/>
      </c>
      <c r="AB25" s="42">
        <f>Y25*VARIABLES!$B$14*VARIABLES!$B$15</f>
        <v/>
      </c>
      <c r="AC25" s="33">
        <f>Z25+AA25+AB25</f>
        <v/>
      </c>
      <c r="AD25" s="34">
        <f>G25+K25+O25+S25+X25</f>
        <v/>
      </c>
      <c r="AE25" s="42">
        <f>0</f>
        <v/>
      </c>
      <c r="AF25" s="42">
        <f>Z25*VARIABLES!$B$19</f>
        <v/>
      </c>
      <c r="AG25" s="42">
        <f>AA25*VARIABLES!$B$18</f>
        <v/>
      </c>
      <c r="AH25" s="42">
        <f>VARIABLES!$B$20</f>
        <v/>
      </c>
      <c r="AI25" s="42">
        <f>IF(MOD($A25,12)=0,VARIABLES!$B$21,0)</f>
        <v/>
      </c>
      <c r="AJ25" s="35">
        <f>AE25+AF25+AG25+AH25+AI25</f>
        <v/>
      </c>
      <c r="AK25" s="36">
        <f>IF($A25&lt;VARIABLES!$B$7,VARIABLES!$B$11,0)</f>
        <v/>
      </c>
      <c r="AL25" s="44">
        <f>AC25-AJ25-AK25</f>
        <v/>
      </c>
      <c r="AM25" s="44">
        <f>AM24+AL25</f>
        <v/>
      </c>
      <c r="AN25" s="38">
        <f>AN24+AK25</f>
        <v/>
      </c>
    </row>
    <row r="26">
      <c r="A26" s="28" t="n">
        <v>23</v>
      </c>
      <c r="B26" s="29">
        <f>TEXT(DATE(VARIABLES!$B$63+INT((VARIABLES!$B$64+$A26-2)/12),MOD(VARIABLES!$B$64+$A26-2,12)+1,1),"mmm-yy")</f>
        <v/>
      </c>
      <c r="C26" s="30">
        <f>IF($A26&lt;VARIABLES!$B$7,VARIABLES!$B$5/12,IF($A26&lt;VARIABLES!$B$8,VARIABLES!$B$6/12,VARIABLES!$B$9/12))</f>
        <v/>
      </c>
      <c r="D26" s="31">
        <f>IF($A26&lt;VARIABLES!$B$24,0,IF($A26=VARIABLES!$B$24,VARIABLES!$B$25+VARIABLES!$B$26,VARIABLES!$B$26))</f>
        <v/>
      </c>
      <c r="E26" s="31">
        <f>D26*VARIABLES!$B$27</f>
        <v/>
      </c>
      <c r="F26" s="31">
        <f>IF($A26&lt;VARIABLES!$B$24,0,(IF($A26=VARIABLES!$B$24,0,G25)+D26)*C26*VARIABLES!$B$28)</f>
        <v/>
      </c>
      <c r="G26" s="31">
        <f>IF($A26&lt;VARIABLES!$B$24,0,(IF($A26=VARIABLES!$B$24,0,G25)+D26)*(1+C26)-F26)</f>
        <v/>
      </c>
      <c r="H26" s="31">
        <f>IF($A26&lt;VARIABLES!$B$31,0,IF($A26=VARIABLES!$B$31,VARIABLES!$B$32+VARIABLES!$B$33,VARIABLES!$B$33))</f>
        <v/>
      </c>
      <c r="I26" s="31">
        <f>H26*VARIABLES!$B$34</f>
        <v/>
      </c>
      <c r="J26" s="31">
        <f>IF($A26&lt;VARIABLES!$B$31,0,(IF($A26=VARIABLES!$B$31,0,K25)+H26)*C26*VARIABLES!$B$35)</f>
        <v/>
      </c>
      <c r="K26" s="31">
        <f>IF($A26&lt;VARIABLES!$B$31,0,(IF($A26=VARIABLES!$B$31,0,K25)+H26)*(1+C26)-J26)</f>
        <v/>
      </c>
      <c r="L26" s="31">
        <f>IF($A26&lt;VARIABLES!$B$38,0,IF($A26=VARIABLES!$B$38,VARIABLES!$B$39+VARIABLES!$B$40,VARIABLES!$B$40))</f>
        <v/>
      </c>
      <c r="M26" s="31">
        <f>L26*VARIABLES!$B$41</f>
        <v/>
      </c>
      <c r="N26" s="31">
        <f>IF($A26&lt;VARIABLES!$B$38,0,(IF($A26=VARIABLES!$B$38,0,O25)+L26)*C26*VARIABLES!$B$42)</f>
        <v/>
      </c>
      <c r="O26" s="31">
        <f>IF($A26&lt;VARIABLES!$B$38,0,(IF($A26=VARIABLES!$B$38,0,O25)+L26)*(1+C26)-N26)</f>
        <v/>
      </c>
      <c r="P26" s="31">
        <f>IF($A26&lt;VARIABLES!$B$45,0,IF($A26=VARIABLES!$B$45,VARIABLES!$B$46+VARIABLES!$B$47,VARIABLES!$B$47))</f>
        <v/>
      </c>
      <c r="Q26" s="31">
        <f>P26*VARIABLES!$B$48</f>
        <v/>
      </c>
      <c r="R26" s="31">
        <f>IF($A26&lt;VARIABLES!$B$45,0,(IF($A26=VARIABLES!$B$45,0,S25)+P26)*C26*VARIABLES!$B$49)</f>
        <v/>
      </c>
      <c r="S26" s="31">
        <f>IF($A26&lt;VARIABLES!$B$45,0,(IF($A26=VARIABLES!$B$45,0,S25)+P26)*(1+C26)-R26)</f>
        <v/>
      </c>
      <c r="T26" s="32">
        <f>IF($A26&lt;VARIABLES!$B$53,0,MIN(VARIABLES!$B$52,INT(($A26-VARIABLES!$B$53)/VARIABLES!$B$54)+1)*VARIABLES!$B$55)</f>
        <v/>
      </c>
      <c r="U26" s="31">
        <f>T26*VARIABLES!$B$57+IF(AND($A26&gt;=VARIABLES!$B$53,MOD($A26-VARIABLES!$B$53,VARIABLES!$B$54)=0,INT(($A26-VARIABLES!$B$53)/VARIABLES!$B$54)&lt;VARIABLES!$B$52),VARIABLES!$B$55*VARIABLES!$B$56,0)</f>
        <v/>
      </c>
      <c r="V26" s="31">
        <f>U26*VARIABLES!$B$58</f>
        <v/>
      </c>
      <c r="W26" s="31">
        <f>IF($A26&lt;VARIABLES!$B$53,0,(IF($A26&lt;VARIABLES!$B$53+1,0,X25)+U26)*C26*VARIABLES!$B$59)</f>
        <v/>
      </c>
      <c r="X26" s="31">
        <f>IF($A26&lt;VARIABLES!$B$53,0,(IF($A26&lt;VARIABLES!$B$53+1,0,X25)+U26)*(1+C26)-W26)</f>
        <v/>
      </c>
      <c r="Y26" s="31">
        <f>D26+H26+L26+P26+U26</f>
        <v/>
      </c>
      <c r="Z26" s="31">
        <f>E26+I26+M26+Q26+V26</f>
        <v/>
      </c>
      <c r="AA26" s="31">
        <f>F26+J26+N26+R26+W26</f>
        <v/>
      </c>
      <c r="AB26" s="31">
        <f>Y26*VARIABLES!$B$14*VARIABLES!$B$15</f>
        <v/>
      </c>
      <c r="AC26" s="33">
        <f>Z26+AA26+AB26</f>
        <v/>
      </c>
      <c r="AD26" s="34">
        <f>G26+K26+O26+S26+X26</f>
        <v/>
      </c>
      <c r="AE26" s="31">
        <f>0</f>
        <v/>
      </c>
      <c r="AF26" s="31">
        <f>Z26*VARIABLES!$B$19</f>
        <v/>
      </c>
      <c r="AG26" s="31">
        <f>AA26*VARIABLES!$B$18</f>
        <v/>
      </c>
      <c r="AH26" s="31">
        <f>VARIABLES!$B$20</f>
        <v/>
      </c>
      <c r="AI26" s="31">
        <f>IF(MOD($A26,12)=0,VARIABLES!$B$21,0)</f>
        <v/>
      </c>
      <c r="AJ26" s="35">
        <f>AE26+AF26+AG26+AH26+AI26</f>
        <v/>
      </c>
      <c r="AK26" s="36">
        <f>IF($A26&lt;VARIABLES!$B$7,VARIABLES!$B$11,0)</f>
        <v/>
      </c>
      <c r="AL26" s="37">
        <f>AC26-AJ26-AK26</f>
        <v/>
      </c>
      <c r="AM26" s="37">
        <f>AM25+AL26</f>
        <v/>
      </c>
      <c r="AN26" s="38">
        <f>AN25+AK26</f>
        <v/>
      </c>
    </row>
    <row r="27">
      <c r="A27" s="39" t="n">
        <v>24</v>
      </c>
      <c r="B27" s="40">
        <f>TEXT(DATE(VARIABLES!$B$63+INT((VARIABLES!$B$64+$A27-2)/12),MOD(VARIABLES!$B$64+$A27-2,12)+1,1),"mmm-yy")</f>
        <v/>
      </c>
      <c r="C27" s="41">
        <f>IF($A27&lt;VARIABLES!$B$7,VARIABLES!$B$5/12,IF($A27&lt;VARIABLES!$B$8,VARIABLES!$B$6/12,VARIABLES!$B$9/12))</f>
        <v/>
      </c>
      <c r="D27" s="42">
        <f>IF($A27&lt;VARIABLES!$B$24,0,IF($A27=VARIABLES!$B$24,VARIABLES!$B$25+VARIABLES!$B$26,VARIABLES!$B$26))</f>
        <v/>
      </c>
      <c r="E27" s="42">
        <f>D27*VARIABLES!$B$27</f>
        <v/>
      </c>
      <c r="F27" s="42">
        <f>IF($A27&lt;VARIABLES!$B$24,0,(IF($A27=VARIABLES!$B$24,0,G26)+D27)*C27*VARIABLES!$B$28)</f>
        <v/>
      </c>
      <c r="G27" s="42">
        <f>IF($A27&lt;VARIABLES!$B$24,0,(IF($A27=VARIABLES!$B$24,0,G26)+D27)*(1+C27)-F27)</f>
        <v/>
      </c>
      <c r="H27" s="42">
        <f>IF($A27&lt;VARIABLES!$B$31,0,IF($A27=VARIABLES!$B$31,VARIABLES!$B$32+VARIABLES!$B$33,VARIABLES!$B$33))</f>
        <v/>
      </c>
      <c r="I27" s="42">
        <f>H27*VARIABLES!$B$34</f>
        <v/>
      </c>
      <c r="J27" s="42">
        <f>IF($A27&lt;VARIABLES!$B$31,0,(IF($A27=VARIABLES!$B$31,0,K26)+H27)*C27*VARIABLES!$B$35)</f>
        <v/>
      </c>
      <c r="K27" s="42">
        <f>IF($A27&lt;VARIABLES!$B$31,0,(IF($A27=VARIABLES!$B$31,0,K26)+H27)*(1+C27)-J27)</f>
        <v/>
      </c>
      <c r="L27" s="42">
        <f>IF($A27&lt;VARIABLES!$B$38,0,IF($A27=VARIABLES!$B$38,VARIABLES!$B$39+VARIABLES!$B$40,VARIABLES!$B$40))</f>
        <v/>
      </c>
      <c r="M27" s="42">
        <f>L27*VARIABLES!$B$41</f>
        <v/>
      </c>
      <c r="N27" s="42">
        <f>IF($A27&lt;VARIABLES!$B$38,0,(IF($A27=VARIABLES!$B$38,0,O26)+L27)*C27*VARIABLES!$B$42)</f>
        <v/>
      </c>
      <c r="O27" s="42">
        <f>IF($A27&lt;VARIABLES!$B$38,0,(IF($A27=VARIABLES!$B$38,0,O26)+L27)*(1+C27)-N27)</f>
        <v/>
      </c>
      <c r="P27" s="42">
        <f>IF($A27&lt;VARIABLES!$B$45,0,IF($A27=VARIABLES!$B$45,VARIABLES!$B$46+VARIABLES!$B$47,VARIABLES!$B$47))</f>
        <v/>
      </c>
      <c r="Q27" s="42">
        <f>P27*VARIABLES!$B$48</f>
        <v/>
      </c>
      <c r="R27" s="42">
        <f>IF($A27&lt;VARIABLES!$B$45,0,(IF($A27=VARIABLES!$B$45,0,S26)+P27)*C27*VARIABLES!$B$49)</f>
        <v/>
      </c>
      <c r="S27" s="42">
        <f>IF($A27&lt;VARIABLES!$B$45,0,(IF($A27=VARIABLES!$B$45,0,S26)+P27)*(1+C27)-R27)</f>
        <v/>
      </c>
      <c r="T27" s="43">
        <f>IF($A27&lt;VARIABLES!$B$53,0,MIN(VARIABLES!$B$52,INT(($A27-VARIABLES!$B$53)/VARIABLES!$B$54)+1)*VARIABLES!$B$55)</f>
        <v/>
      </c>
      <c r="U27" s="42">
        <f>T27*VARIABLES!$B$57+IF(AND($A27&gt;=VARIABLES!$B$53,MOD($A27-VARIABLES!$B$53,VARIABLES!$B$54)=0,INT(($A27-VARIABLES!$B$53)/VARIABLES!$B$54)&lt;VARIABLES!$B$52),VARIABLES!$B$55*VARIABLES!$B$56,0)</f>
        <v/>
      </c>
      <c r="V27" s="42">
        <f>U27*VARIABLES!$B$58</f>
        <v/>
      </c>
      <c r="W27" s="42">
        <f>IF($A27&lt;VARIABLES!$B$53,0,(IF($A27&lt;VARIABLES!$B$53+1,0,X26)+U27)*C27*VARIABLES!$B$59)</f>
        <v/>
      </c>
      <c r="X27" s="42">
        <f>IF($A27&lt;VARIABLES!$B$53,0,(IF($A27&lt;VARIABLES!$B$53+1,0,X26)+U27)*(1+C27)-W27)</f>
        <v/>
      </c>
      <c r="Y27" s="42">
        <f>D27+H27+L27+P27+U27</f>
        <v/>
      </c>
      <c r="Z27" s="42">
        <f>E27+I27+M27+Q27+V27</f>
        <v/>
      </c>
      <c r="AA27" s="42">
        <f>F27+J27+N27+R27+W27</f>
        <v/>
      </c>
      <c r="AB27" s="42">
        <f>Y27*VARIABLES!$B$14*VARIABLES!$B$15</f>
        <v/>
      </c>
      <c r="AC27" s="33">
        <f>Z27+AA27+AB27</f>
        <v/>
      </c>
      <c r="AD27" s="34">
        <f>G27+K27+O27+S27+X27</f>
        <v/>
      </c>
      <c r="AE27" s="42">
        <f>0</f>
        <v/>
      </c>
      <c r="AF27" s="42">
        <f>Z27*VARIABLES!$B$19</f>
        <v/>
      </c>
      <c r="AG27" s="42">
        <f>AA27*VARIABLES!$B$18</f>
        <v/>
      </c>
      <c r="AH27" s="42">
        <f>VARIABLES!$B$20</f>
        <v/>
      </c>
      <c r="AI27" s="42">
        <f>IF(MOD($A27,12)=0,VARIABLES!$B$21,0)</f>
        <v/>
      </c>
      <c r="AJ27" s="35">
        <f>AE27+AF27+AG27+AH27+AI27</f>
        <v/>
      </c>
      <c r="AK27" s="36">
        <f>IF($A27&lt;VARIABLES!$B$7,VARIABLES!$B$11,0)</f>
        <v/>
      </c>
      <c r="AL27" s="44">
        <f>AC27-AJ27-AK27</f>
        <v/>
      </c>
      <c r="AM27" s="44">
        <f>AM26+AL27</f>
        <v/>
      </c>
      <c r="AN27" s="38">
        <f>AN26+AK27</f>
        <v/>
      </c>
    </row>
    <row r="28">
      <c r="A28" s="28" t="n">
        <v>25</v>
      </c>
      <c r="B28" s="29">
        <f>TEXT(DATE(VARIABLES!$B$63+INT((VARIABLES!$B$64+$A28-2)/12),MOD(VARIABLES!$B$64+$A28-2,12)+1,1),"mmm-yy")</f>
        <v/>
      </c>
      <c r="C28" s="30">
        <f>IF($A28&lt;VARIABLES!$B$7,VARIABLES!$B$5/12,IF($A28&lt;VARIABLES!$B$8,VARIABLES!$B$6/12,VARIABLES!$B$9/12))</f>
        <v/>
      </c>
      <c r="D28" s="31">
        <f>IF($A28&lt;VARIABLES!$B$24,0,IF($A28=VARIABLES!$B$24,VARIABLES!$B$25+VARIABLES!$B$26,VARIABLES!$B$26))</f>
        <v/>
      </c>
      <c r="E28" s="31">
        <f>D28*VARIABLES!$B$27</f>
        <v/>
      </c>
      <c r="F28" s="31">
        <f>IF($A28&lt;VARIABLES!$B$24,0,(IF($A28=VARIABLES!$B$24,0,G27)+D28)*C28*VARIABLES!$B$28)</f>
        <v/>
      </c>
      <c r="G28" s="31">
        <f>IF($A28&lt;VARIABLES!$B$24,0,(IF($A28=VARIABLES!$B$24,0,G27)+D28)*(1+C28)-F28)</f>
        <v/>
      </c>
      <c r="H28" s="31">
        <f>IF($A28&lt;VARIABLES!$B$31,0,IF($A28=VARIABLES!$B$31,VARIABLES!$B$32+VARIABLES!$B$33,VARIABLES!$B$33))</f>
        <v/>
      </c>
      <c r="I28" s="31">
        <f>H28*VARIABLES!$B$34</f>
        <v/>
      </c>
      <c r="J28" s="31">
        <f>IF($A28&lt;VARIABLES!$B$31,0,(IF($A28=VARIABLES!$B$31,0,K27)+H28)*C28*VARIABLES!$B$35)</f>
        <v/>
      </c>
      <c r="K28" s="31">
        <f>IF($A28&lt;VARIABLES!$B$31,0,(IF($A28=VARIABLES!$B$31,0,K27)+H28)*(1+C28)-J28)</f>
        <v/>
      </c>
      <c r="L28" s="31">
        <f>IF($A28&lt;VARIABLES!$B$38,0,IF($A28=VARIABLES!$B$38,VARIABLES!$B$39+VARIABLES!$B$40,VARIABLES!$B$40))</f>
        <v/>
      </c>
      <c r="M28" s="31">
        <f>L28*VARIABLES!$B$41</f>
        <v/>
      </c>
      <c r="N28" s="31">
        <f>IF($A28&lt;VARIABLES!$B$38,0,(IF($A28=VARIABLES!$B$38,0,O27)+L28)*C28*VARIABLES!$B$42)</f>
        <v/>
      </c>
      <c r="O28" s="31">
        <f>IF($A28&lt;VARIABLES!$B$38,0,(IF($A28=VARIABLES!$B$38,0,O27)+L28)*(1+C28)-N28)</f>
        <v/>
      </c>
      <c r="P28" s="31">
        <f>IF($A28&lt;VARIABLES!$B$45,0,IF($A28=VARIABLES!$B$45,VARIABLES!$B$46+VARIABLES!$B$47,VARIABLES!$B$47))</f>
        <v/>
      </c>
      <c r="Q28" s="31">
        <f>P28*VARIABLES!$B$48</f>
        <v/>
      </c>
      <c r="R28" s="31">
        <f>IF($A28&lt;VARIABLES!$B$45,0,(IF($A28=VARIABLES!$B$45,0,S27)+P28)*C28*VARIABLES!$B$49)</f>
        <v/>
      </c>
      <c r="S28" s="31">
        <f>IF($A28&lt;VARIABLES!$B$45,0,(IF($A28=VARIABLES!$B$45,0,S27)+P28)*(1+C28)-R28)</f>
        <v/>
      </c>
      <c r="T28" s="32">
        <f>IF($A28&lt;VARIABLES!$B$53,0,MIN(VARIABLES!$B$52,INT(($A28-VARIABLES!$B$53)/VARIABLES!$B$54)+1)*VARIABLES!$B$55)</f>
        <v/>
      </c>
      <c r="U28" s="31">
        <f>T28*VARIABLES!$B$57+IF(AND($A28&gt;=VARIABLES!$B$53,MOD($A28-VARIABLES!$B$53,VARIABLES!$B$54)=0,INT(($A28-VARIABLES!$B$53)/VARIABLES!$B$54)&lt;VARIABLES!$B$52),VARIABLES!$B$55*VARIABLES!$B$56,0)</f>
        <v/>
      </c>
      <c r="V28" s="31">
        <f>U28*VARIABLES!$B$58</f>
        <v/>
      </c>
      <c r="W28" s="31">
        <f>IF($A28&lt;VARIABLES!$B$53,0,(IF($A28&lt;VARIABLES!$B$53+1,0,X27)+U28)*C28*VARIABLES!$B$59)</f>
        <v/>
      </c>
      <c r="X28" s="31">
        <f>IF($A28&lt;VARIABLES!$B$53,0,(IF($A28&lt;VARIABLES!$B$53+1,0,X27)+U28)*(1+C28)-W28)</f>
        <v/>
      </c>
      <c r="Y28" s="31">
        <f>D28+H28+L28+P28+U28</f>
        <v/>
      </c>
      <c r="Z28" s="31">
        <f>E28+I28+M28+Q28+V28</f>
        <v/>
      </c>
      <c r="AA28" s="31">
        <f>F28+J28+N28+R28+W28</f>
        <v/>
      </c>
      <c r="AB28" s="31">
        <f>Y28*VARIABLES!$B$14*VARIABLES!$B$15</f>
        <v/>
      </c>
      <c r="AC28" s="33">
        <f>Z28+AA28+AB28</f>
        <v/>
      </c>
      <c r="AD28" s="34">
        <f>G28+K28+O28+S28+X28</f>
        <v/>
      </c>
      <c r="AE28" s="31">
        <f>0</f>
        <v/>
      </c>
      <c r="AF28" s="31">
        <f>Z28*VARIABLES!$B$19</f>
        <v/>
      </c>
      <c r="AG28" s="31">
        <f>AA28*VARIABLES!$B$18</f>
        <v/>
      </c>
      <c r="AH28" s="31">
        <f>VARIABLES!$B$20</f>
        <v/>
      </c>
      <c r="AI28" s="31">
        <f>IF(MOD($A28,12)=0,VARIABLES!$B$21,0)</f>
        <v/>
      </c>
      <c r="AJ28" s="35">
        <f>AE28+AF28+AG28+AH28+AI28</f>
        <v/>
      </c>
      <c r="AK28" s="36">
        <f>IF($A28&lt;VARIABLES!$B$7,VARIABLES!$B$11,0)</f>
        <v/>
      </c>
      <c r="AL28" s="37">
        <f>AC28-AJ28-AK28</f>
        <v/>
      </c>
      <c r="AM28" s="37">
        <f>AM27+AL28</f>
        <v/>
      </c>
      <c r="AN28" s="38">
        <f>AN27+AK28</f>
        <v/>
      </c>
    </row>
    <row r="29">
      <c r="A29" s="39" t="n">
        <v>26</v>
      </c>
      <c r="B29" s="40">
        <f>TEXT(DATE(VARIABLES!$B$63+INT((VARIABLES!$B$64+$A29-2)/12),MOD(VARIABLES!$B$64+$A29-2,12)+1,1),"mmm-yy")</f>
        <v/>
      </c>
      <c r="C29" s="41">
        <f>IF($A29&lt;VARIABLES!$B$7,VARIABLES!$B$5/12,IF($A29&lt;VARIABLES!$B$8,VARIABLES!$B$6/12,VARIABLES!$B$9/12))</f>
        <v/>
      </c>
      <c r="D29" s="42">
        <f>IF($A29&lt;VARIABLES!$B$24,0,IF($A29=VARIABLES!$B$24,VARIABLES!$B$25+VARIABLES!$B$26,VARIABLES!$B$26))</f>
        <v/>
      </c>
      <c r="E29" s="42">
        <f>D29*VARIABLES!$B$27</f>
        <v/>
      </c>
      <c r="F29" s="42">
        <f>IF($A29&lt;VARIABLES!$B$24,0,(IF($A29=VARIABLES!$B$24,0,G28)+D29)*C29*VARIABLES!$B$28)</f>
        <v/>
      </c>
      <c r="G29" s="42">
        <f>IF($A29&lt;VARIABLES!$B$24,0,(IF($A29=VARIABLES!$B$24,0,G28)+D29)*(1+C29)-F29)</f>
        <v/>
      </c>
      <c r="H29" s="42">
        <f>IF($A29&lt;VARIABLES!$B$31,0,IF($A29=VARIABLES!$B$31,VARIABLES!$B$32+VARIABLES!$B$33,VARIABLES!$B$33))</f>
        <v/>
      </c>
      <c r="I29" s="42">
        <f>H29*VARIABLES!$B$34</f>
        <v/>
      </c>
      <c r="J29" s="42">
        <f>IF($A29&lt;VARIABLES!$B$31,0,(IF($A29=VARIABLES!$B$31,0,K28)+H29)*C29*VARIABLES!$B$35)</f>
        <v/>
      </c>
      <c r="K29" s="42">
        <f>IF($A29&lt;VARIABLES!$B$31,0,(IF($A29=VARIABLES!$B$31,0,K28)+H29)*(1+C29)-J29)</f>
        <v/>
      </c>
      <c r="L29" s="42">
        <f>IF($A29&lt;VARIABLES!$B$38,0,IF($A29=VARIABLES!$B$38,VARIABLES!$B$39+VARIABLES!$B$40,VARIABLES!$B$40))</f>
        <v/>
      </c>
      <c r="M29" s="42">
        <f>L29*VARIABLES!$B$41</f>
        <v/>
      </c>
      <c r="N29" s="42">
        <f>IF($A29&lt;VARIABLES!$B$38,0,(IF($A29=VARIABLES!$B$38,0,O28)+L29)*C29*VARIABLES!$B$42)</f>
        <v/>
      </c>
      <c r="O29" s="42">
        <f>IF($A29&lt;VARIABLES!$B$38,0,(IF($A29=VARIABLES!$B$38,0,O28)+L29)*(1+C29)-N29)</f>
        <v/>
      </c>
      <c r="P29" s="42">
        <f>IF($A29&lt;VARIABLES!$B$45,0,IF($A29=VARIABLES!$B$45,VARIABLES!$B$46+VARIABLES!$B$47,VARIABLES!$B$47))</f>
        <v/>
      </c>
      <c r="Q29" s="42">
        <f>P29*VARIABLES!$B$48</f>
        <v/>
      </c>
      <c r="R29" s="42">
        <f>IF($A29&lt;VARIABLES!$B$45,0,(IF($A29=VARIABLES!$B$45,0,S28)+P29)*C29*VARIABLES!$B$49)</f>
        <v/>
      </c>
      <c r="S29" s="42">
        <f>IF($A29&lt;VARIABLES!$B$45,0,(IF($A29=VARIABLES!$B$45,0,S28)+P29)*(1+C29)-R29)</f>
        <v/>
      </c>
      <c r="T29" s="43">
        <f>IF($A29&lt;VARIABLES!$B$53,0,MIN(VARIABLES!$B$52,INT(($A29-VARIABLES!$B$53)/VARIABLES!$B$54)+1)*VARIABLES!$B$55)</f>
        <v/>
      </c>
      <c r="U29" s="42">
        <f>T29*VARIABLES!$B$57+IF(AND($A29&gt;=VARIABLES!$B$53,MOD($A29-VARIABLES!$B$53,VARIABLES!$B$54)=0,INT(($A29-VARIABLES!$B$53)/VARIABLES!$B$54)&lt;VARIABLES!$B$52),VARIABLES!$B$55*VARIABLES!$B$56,0)</f>
        <v/>
      </c>
      <c r="V29" s="42">
        <f>U29*VARIABLES!$B$58</f>
        <v/>
      </c>
      <c r="W29" s="42">
        <f>IF($A29&lt;VARIABLES!$B$53,0,(IF($A29&lt;VARIABLES!$B$53+1,0,X28)+U29)*C29*VARIABLES!$B$59)</f>
        <v/>
      </c>
      <c r="X29" s="42">
        <f>IF($A29&lt;VARIABLES!$B$53,0,(IF($A29&lt;VARIABLES!$B$53+1,0,X28)+U29)*(1+C29)-W29)</f>
        <v/>
      </c>
      <c r="Y29" s="42">
        <f>D29+H29+L29+P29+U29</f>
        <v/>
      </c>
      <c r="Z29" s="42">
        <f>E29+I29+M29+Q29+V29</f>
        <v/>
      </c>
      <c r="AA29" s="42">
        <f>F29+J29+N29+R29+W29</f>
        <v/>
      </c>
      <c r="AB29" s="42">
        <f>Y29*VARIABLES!$B$14*VARIABLES!$B$15</f>
        <v/>
      </c>
      <c r="AC29" s="33">
        <f>Z29+AA29+AB29</f>
        <v/>
      </c>
      <c r="AD29" s="34">
        <f>G29+K29+O29+S29+X29</f>
        <v/>
      </c>
      <c r="AE29" s="42">
        <f>0</f>
        <v/>
      </c>
      <c r="AF29" s="42">
        <f>Z29*VARIABLES!$B$19</f>
        <v/>
      </c>
      <c r="AG29" s="42">
        <f>AA29*VARIABLES!$B$18</f>
        <v/>
      </c>
      <c r="AH29" s="42">
        <f>VARIABLES!$B$20</f>
        <v/>
      </c>
      <c r="AI29" s="42">
        <f>IF(MOD($A29,12)=0,VARIABLES!$B$21,0)</f>
        <v/>
      </c>
      <c r="AJ29" s="35">
        <f>AE29+AF29+AG29+AH29+AI29</f>
        <v/>
      </c>
      <c r="AK29" s="36">
        <f>IF($A29&lt;VARIABLES!$B$7,VARIABLES!$B$11,0)</f>
        <v/>
      </c>
      <c r="AL29" s="44">
        <f>AC29-AJ29-AK29</f>
        <v/>
      </c>
      <c r="AM29" s="44">
        <f>AM28+AL29</f>
        <v/>
      </c>
      <c r="AN29" s="38">
        <f>AN28+AK29</f>
        <v/>
      </c>
    </row>
    <row r="30">
      <c r="A30" s="28" t="n">
        <v>27</v>
      </c>
      <c r="B30" s="29">
        <f>TEXT(DATE(VARIABLES!$B$63+INT((VARIABLES!$B$64+$A30-2)/12),MOD(VARIABLES!$B$64+$A30-2,12)+1,1),"mmm-yy")</f>
        <v/>
      </c>
      <c r="C30" s="30">
        <f>IF($A30&lt;VARIABLES!$B$7,VARIABLES!$B$5/12,IF($A30&lt;VARIABLES!$B$8,VARIABLES!$B$6/12,VARIABLES!$B$9/12))</f>
        <v/>
      </c>
      <c r="D30" s="31">
        <f>IF($A30&lt;VARIABLES!$B$24,0,IF($A30=VARIABLES!$B$24,VARIABLES!$B$25+VARIABLES!$B$26,VARIABLES!$B$26))</f>
        <v/>
      </c>
      <c r="E30" s="31">
        <f>D30*VARIABLES!$B$27</f>
        <v/>
      </c>
      <c r="F30" s="31">
        <f>IF($A30&lt;VARIABLES!$B$24,0,(IF($A30=VARIABLES!$B$24,0,G29)+D30)*C30*VARIABLES!$B$28)</f>
        <v/>
      </c>
      <c r="G30" s="31">
        <f>IF($A30&lt;VARIABLES!$B$24,0,(IF($A30=VARIABLES!$B$24,0,G29)+D30)*(1+C30)-F30)</f>
        <v/>
      </c>
      <c r="H30" s="31">
        <f>IF($A30&lt;VARIABLES!$B$31,0,IF($A30=VARIABLES!$B$31,VARIABLES!$B$32+VARIABLES!$B$33,VARIABLES!$B$33))</f>
        <v/>
      </c>
      <c r="I30" s="31">
        <f>H30*VARIABLES!$B$34</f>
        <v/>
      </c>
      <c r="J30" s="31">
        <f>IF($A30&lt;VARIABLES!$B$31,0,(IF($A30=VARIABLES!$B$31,0,K29)+H30)*C30*VARIABLES!$B$35)</f>
        <v/>
      </c>
      <c r="K30" s="31">
        <f>IF($A30&lt;VARIABLES!$B$31,0,(IF($A30=VARIABLES!$B$31,0,K29)+H30)*(1+C30)-J30)</f>
        <v/>
      </c>
      <c r="L30" s="31">
        <f>IF($A30&lt;VARIABLES!$B$38,0,IF($A30=VARIABLES!$B$38,VARIABLES!$B$39+VARIABLES!$B$40,VARIABLES!$B$40))</f>
        <v/>
      </c>
      <c r="M30" s="31">
        <f>L30*VARIABLES!$B$41</f>
        <v/>
      </c>
      <c r="N30" s="31">
        <f>IF($A30&lt;VARIABLES!$B$38,0,(IF($A30=VARIABLES!$B$38,0,O29)+L30)*C30*VARIABLES!$B$42)</f>
        <v/>
      </c>
      <c r="O30" s="31">
        <f>IF($A30&lt;VARIABLES!$B$38,0,(IF($A30=VARIABLES!$B$38,0,O29)+L30)*(1+C30)-N30)</f>
        <v/>
      </c>
      <c r="P30" s="31">
        <f>IF($A30&lt;VARIABLES!$B$45,0,IF($A30=VARIABLES!$B$45,VARIABLES!$B$46+VARIABLES!$B$47,VARIABLES!$B$47))</f>
        <v/>
      </c>
      <c r="Q30" s="31">
        <f>P30*VARIABLES!$B$48</f>
        <v/>
      </c>
      <c r="R30" s="31">
        <f>IF($A30&lt;VARIABLES!$B$45,0,(IF($A30=VARIABLES!$B$45,0,S29)+P30)*C30*VARIABLES!$B$49)</f>
        <v/>
      </c>
      <c r="S30" s="31">
        <f>IF($A30&lt;VARIABLES!$B$45,0,(IF($A30=VARIABLES!$B$45,0,S29)+P30)*(1+C30)-R30)</f>
        <v/>
      </c>
      <c r="T30" s="32">
        <f>IF($A30&lt;VARIABLES!$B$53,0,MIN(VARIABLES!$B$52,INT(($A30-VARIABLES!$B$53)/VARIABLES!$B$54)+1)*VARIABLES!$B$55)</f>
        <v/>
      </c>
      <c r="U30" s="31">
        <f>T30*VARIABLES!$B$57+IF(AND($A30&gt;=VARIABLES!$B$53,MOD($A30-VARIABLES!$B$53,VARIABLES!$B$54)=0,INT(($A30-VARIABLES!$B$53)/VARIABLES!$B$54)&lt;VARIABLES!$B$52),VARIABLES!$B$55*VARIABLES!$B$56,0)</f>
        <v/>
      </c>
      <c r="V30" s="31">
        <f>U30*VARIABLES!$B$58</f>
        <v/>
      </c>
      <c r="W30" s="31">
        <f>IF($A30&lt;VARIABLES!$B$53,0,(IF($A30&lt;VARIABLES!$B$53+1,0,X29)+U30)*C30*VARIABLES!$B$59)</f>
        <v/>
      </c>
      <c r="X30" s="31">
        <f>IF($A30&lt;VARIABLES!$B$53,0,(IF($A30&lt;VARIABLES!$B$53+1,0,X29)+U30)*(1+C30)-W30)</f>
        <v/>
      </c>
      <c r="Y30" s="31">
        <f>D30+H30+L30+P30+U30</f>
        <v/>
      </c>
      <c r="Z30" s="31">
        <f>E30+I30+M30+Q30+V30</f>
        <v/>
      </c>
      <c r="AA30" s="31">
        <f>F30+J30+N30+R30+W30</f>
        <v/>
      </c>
      <c r="AB30" s="31">
        <f>Y30*VARIABLES!$B$14*VARIABLES!$B$15</f>
        <v/>
      </c>
      <c r="AC30" s="33">
        <f>Z30+AA30+AB30</f>
        <v/>
      </c>
      <c r="AD30" s="34">
        <f>G30+K30+O30+S30+X30</f>
        <v/>
      </c>
      <c r="AE30" s="31">
        <f>0</f>
        <v/>
      </c>
      <c r="AF30" s="31">
        <f>Z30*VARIABLES!$B$19</f>
        <v/>
      </c>
      <c r="AG30" s="31">
        <f>AA30*VARIABLES!$B$18</f>
        <v/>
      </c>
      <c r="AH30" s="31">
        <f>VARIABLES!$B$20</f>
        <v/>
      </c>
      <c r="AI30" s="31">
        <f>IF(MOD($A30,12)=0,VARIABLES!$B$21,0)</f>
        <v/>
      </c>
      <c r="AJ30" s="35">
        <f>AE30+AF30+AG30+AH30+AI30</f>
        <v/>
      </c>
      <c r="AK30" s="36">
        <f>IF($A30&lt;VARIABLES!$B$7,VARIABLES!$B$11,0)</f>
        <v/>
      </c>
      <c r="AL30" s="37">
        <f>AC30-AJ30-AK30</f>
        <v/>
      </c>
      <c r="AM30" s="37">
        <f>AM29+AL30</f>
        <v/>
      </c>
      <c r="AN30" s="38">
        <f>AN29+AK30</f>
        <v/>
      </c>
    </row>
    <row r="31">
      <c r="A31" s="39" t="n">
        <v>28</v>
      </c>
      <c r="B31" s="40">
        <f>TEXT(DATE(VARIABLES!$B$63+INT((VARIABLES!$B$64+$A31-2)/12),MOD(VARIABLES!$B$64+$A31-2,12)+1,1),"mmm-yy")</f>
        <v/>
      </c>
      <c r="C31" s="41">
        <f>IF($A31&lt;VARIABLES!$B$7,VARIABLES!$B$5/12,IF($A31&lt;VARIABLES!$B$8,VARIABLES!$B$6/12,VARIABLES!$B$9/12))</f>
        <v/>
      </c>
      <c r="D31" s="42">
        <f>IF($A31&lt;VARIABLES!$B$24,0,IF($A31=VARIABLES!$B$24,VARIABLES!$B$25+VARIABLES!$B$26,VARIABLES!$B$26))</f>
        <v/>
      </c>
      <c r="E31" s="42">
        <f>D31*VARIABLES!$B$27</f>
        <v/>
      </c>
      <c r="F31" s="42">
        <f>IF($A31&lt;VARIABLES!$B$24,0,(IF($A31=VARIABLES!$B$24,0,G30)+D31)*C31*VARIABLES!$B$28)</f>
        <v/>
      </c>
      <c r="G31" s="42">
        <f>IF($A31&lt;VARIABLES!$B$24,0,(IF($A31=VARIABLES!$B$24,0,G30)+D31)*(1+C31)-F31)</f>
        <v/>
      </c>
      <c r="H31" s="42">
        <f>IF($A31&lt;VARIABLES!$B$31,0,IF($A31=VARIABLES!$B$31,VARIABLES!$B$32+VARIABLES!$B$33,VARIABLES!$B$33))</f>
        <v/>
      </c>
      <c r="I31" s="42">
        <f>H31*VARIABLES!$B$34</f>
        <v/>
      </c>
      <c r="J31" s="42">
        <f>IF($A31&lt;VARIABLES!$B$31,0,(IF($A31=VARIABLES!$B$31,0,K30)+H31)*C31*VARIABLES!$B$35)</f>
        <v/>
      </c>
      <c r="K31" s="42">
        <f>IF($A31&lt;VARIABLES!$B$31,0,(IF($A31=VARIABLES!$B$31,0,K30)+H31)*(1+C31)-J31)</f>
        <v/>
      </c>
      <c r="L31" s="42">
        <f>IF($A31&lt;VARIABLES!$B$38,0,IF($A31=VARIABLES!$B$38,VARIABLES!$B$39+VARIABLES!$B$40,VARIABLES!$B$40))</f>
        <v/>
      </c>
      <c r="M31" s="42">
        <f>L31*VARIABLES!$B$41</f>
        <v/>
      </c>
      <c r="N31" s="42">
        <f>IF($A31&lt;VARIABLES!$B$38,0,(IF($A31=VARIABLES!$B$38,0,O30)+L31)*C31*VARIABLES!$B$42)</f>
        <v/>
      </c>
      <c r="O31" s="42">
        <f>IF($A31&lt;VARIABLES!$B$38,0,(IF($A31=VARIABLES!$B$38,0,O30)+L31)*(1+C31)-N31)</f>
        <v/>
      </c>
      <c r="P31" s="42">
        <f>IF($A31&lt;VARIABLES!$B$45,0,IF($A31=VARIABLES!$B$45,VARIABLES!$B$46+VARIABLES!$B$47,VARIABLES!$B$47))</f>
        <v/>
      </c>
      <c r="Q31" s="42">
        <f>P31*VARIABLES!$B$48</f>
        <v/>
      </c>
      <c r="R31" s="42">
        <f>IF($A31&lt;VARIABLES!$B$45,0,(IF($A31=VARIABLES!$B$45,0,S30)+P31)*C31*VARIABLES!$B$49)</f>
        <v/>
      </c>
      <c r="S31" s="42">
        <f>IF($A31&lt;VARIABLES!$B$45,0,(IF($A31=VARIABLES!$B$45,0,S30)+P31)*(1+C31)-R31)</f>
        <v/>
      </c>
      <c r="T31" s="43">
        <f>IF($A31&lt;VARIABLES!$B$53,0,MIN(VARIABLES!$B$52,INT(($A31-VARIABLES!$B$53)/VARIABLES!$B$54)+1)*VARIABLES!$B$55)</f>
        <v/>
      </c>
      <c r="U31" s="42">
        <f>T31*VARIABLES!$B$57+IF(AND($A31&gt;=VARIABLES!$B$53,MOD($A31-VARIABLES!$B$53,VARIABLES!$B$54)=0,INT(($A31-VARIABLES!$B$53)/VARIABLES!$B$54)&lt;VARIABLES!$B$52),VARIABLES!$B$55*VARIABLES!$B$56,0)</f>
        <v/>
      </c>
      <c r="V31" s="42">
        <f>U31*VARIABLES!$B$58</f>
        <v/>
      </c>
      <c r="W31" s="42">
        <f>IF($A31&lt;VARIABLES!$B$53,0,(IF($A31&lt;VARIABLES!$B$53+1,0,X30)+U31)*C31*VARIABLES!$B$59)</f>
        <v/>
      </c>
      <c r="X31" s="42">
        <f>IF($A31&lt;VARIABLES!$B$53,0,(IF($A31&lt;VARIABLES!$B$53+1,0,X30)+U31)*(1+C31)-W31)</f>
        <v/>
      </c>
      <c r="Y31" s="42">
        <f>D31+H31+L31+P31+U31</f>
        <v/>
      </c>
      <c r="Z31" s="42">
        <f>E31+I31+M31+Q31+V31</f>
        <v/>
      </c>
      <c r="AA31" s="42">
        <f>F31+J31+N31+R31+W31</f>
        <v/>
      </c>
      <c r="AB31" s="42">
        <f>Y31*VARIABLES!$B$14*VARIABLES!$B$15</f>
        <v/>
      </c>
      <c r="AC31" s="33">
        <f>Z31+AA31+AB31</f>
        <v/>
      </c>
      <c r="AD31" s="34">
        <f>G31+K31+O31+S31+X31</f>
        <v/>
      </c>
      <c r="AE31" s="42">
        <f>0</f>
        <v/>
      </c>
      <c r="AF31" s="42">
        <f>Z31*VARIABLES!$B$19</f>
        <v/>
      </c>
      <c r="AG31" s="42">
        <f>AA31*VARIABLES!$B$18</f>
        <v/>
      </c>
      <c r="AH31" s="42">
        <f>VARIABLES!$B$20</f>
        <v/>
      </c>
      <c r="AI31" s="42">
        <f>IF(MOD($A31,12)=0,VARIABLES!$B$21,0)</f>
        <v/>
      </c>
      <c r="AJ31" s="35">
        <f>AE31+AF31+AG31+AH31+AI31</f>
        <v/>
      </c>
      <c r="AK31" s="36">
        <f>IF($A31&lt;VARIABLES!$B$7,VARIABLES!$B$11,0)</f>
        <v/>
      </c>
      <c r="AL31" s="44">
        <f>AC31-AJ31-AK31</f>
        <v/>
      </c>
      <c r="AM31" s="44">
        <f>AM30+AL31</f>
        <v/>
      </c>
      <c r="AN31" s="38">
        <f>AN30+AK31</f>
        <v/>
      </c>
    </row>
    <row r="32">
      <c r="A32" s="28" t="n">
        <v>29</v>
      </c>
      <c r="B32" s="29">
        <f>TEXT(DATE(VARIABLES!$B$63+INT((VARIABLES!$B$64+$A32-2)/12),MOD(VARIABLES!$B$64+$A32-2,12)+1,1),"mmm-yy")</f>
        <v/>
      </c>
      <c r="C32" s="30">
        <f>IF($A32&lt;VARIABLES!$B$7,VARIABLES!$B$5/12,IF($A32&lt;VARIABLES!$B$8,VARIABLES!$B$6/12,VARIABLES!$B$9/12))</f>
        <v/>
      </c>
      <c r="D32" s="31">
        <f>IF($A32&lt;VARIABLES!$B$24,0,IF($A32=VARIABLES!$B$24,VARIABLES!$B$25+VARIABLES!$B$26,VARIABLES!$B$26))</f>
        <v/>
      </c>
      <c r="E32" s="31">
        <f>D32*VARIABLES!$B$27</f>
        <v/>
      </c>
      <c r="F32" s="31">
        <f>IF($A32&lt;VARIABLES!$B$24,0,(IF($A32=VARIABLES!$B$24,0,G31)+D32)*C32*VARIABLES!$B$28)</f>
        <v/>
      </c>
      <c r="G32" s="31">
        <f>IF($A32&lt;VARIABLES!$B$24,0,(IF($A32=VARIABLES!$B$24,0,G31)+D32)*(1+C32)-F32)</f>
        <v/>
      </c>
      <c r="H32" s="31">
        <f>IF($A32&lt;VARIABLES!$B$31,0,IF($A32=VARIABLES!$B$31,VARIABLES!$B$32+VARIABLES!$B$33,VARIABLES!$B$33))</f>
        <v/>
      </c>
      <c r="I32" s="31">
        <f>H32*VARIABLES!$B$34</f>
        <v/>
      </c>
      <c r="J32" s="31">
        <f>IF($A32&lt;VARIABLES!$B$31,0,(IF($A32=VARIABLES!$B$31,0,K31)+H32)*C32*VARIABLES!$B$35)</f>
        <v/>
      </c>
      <c r="K32" s="31">
        <f>IF($A32&lt;VARIABLES!$B$31,0,(IF($A32=VARIABLES!$B$31,0,K31)+H32)*(1+C32)-J32)</f>
        <v/>
      </c>
      <c r="L32" s="31">
        <f>IF($A32&lt;VARIABLES!$B$38,0,IF($A32=VARIABLES!$B$38,VARIABLES!$B$39+VARIABLES!$B$40,VARIABLES!$B$40))</f>
        <v/>
      </c>
      <c r="M32" s="31">
        <f>L32*VARIABLES!$B$41</f>
        <v/>
      </c>
      <c r="N32" s="31">
        <f>IF($A32&lt;VARIABLES!$B$38,0,(IF($A32=VARIABLES!$B$38,0,O31)+L32)*C32*VARIABLES!$B$42)</f>
        <v/>
      </c>
      <c r="O32" s="31">
        <f>IF($A32&lt;VARIABLES!$B$38,0,(IF($A32=VARIABLES!$B$38,0,O31)+L32)*(1+C32)-N32)</f>
        <v/>
      </c>
      <c r="P32" s="31">
        <f>IF($A32&lt;VARIABLES!$B$45,0,IF($A32=VARIABLES!$B$45,VARIABLES!$B$46+VARIABLES!$B$47,VARIABLES!$B$47))</f>
        <v/>
      </c>
      <c r="Q32" s="31">
        <f>P32*VARIABLES!$B$48</f>
        <v/>
      </c>
      <c r="R32" s="31">
        <f>IF($A32&lt;VARIABLES!$B$45,0,(IF($A32=VARIABLES!$B$45,0,S31)+P32)*C32*VARIABLES!$B$49)</f>
        <v/>
      </c>
      <c r="S32" s="31">
        <f>IF($A32&lt;VARIABLES!$B$45,0,(IF($A32=VARIABLES!$B$45,0,S31)+P32)*(1+C32)-R32)</f>
        <v/>
      </c>
      <c r="T32" s="32">
        <f>IF($A32&lt;VARIABLES!$B$53,0,MIN(VARIABLES!$B$52,INT(($A32-VARIABLES!$B$53)/VARIABLES!$B$54)+1)*VARIABLES!$B$55)</f>
        <v/>
      </c>
      <c r="U32" s="31">
        <f>T32*VARIABLES!$B$57+IF(AND($A32&gt;=VARIABLES!$B$53,MOD($A32-VARIABLES!$B$53,VARIABLES!$B$54)=0,INT(($A32-VARIABLES!$B$53)/VARIABLES!$B$54)&lt;VARIABLES!$B$52),VARIABLES!$B$55*VARIABLES!$B$56,0)</f>
        <v/>
      </c>
      <c r="V32" s="31">
        <f>U32*VARIABLES!$B$58</f>
        <v/>
      </c>
      <c r="W32" s="31">
        <f>IF($A32&lt;VARIABLES!$B$53,0,(IF($A32&lt;VARIABLES!$B$53+1,0,X31)+U32)*C32*VARIABLES!$B$59)</f>
        <v/>
      </c>
      <c r="X32" s="31">
        <f>IF($A32&lt;VARIABLES!$B$53,0,(IF($A32&lt;VARIABLES!$B$53+1,0,X31)+U32)*(1+C32)-W32)</f>
        <v/>
      </c>
      <c r="Y32" s="31">
        <f>D32+H32+L32+P32+U32</f>
        <v/>
      </c>
      <c r="Z32" s="31">
        <f>E32+I32+M32+Q32+V32</f>
        <v/>
      </c>
      <c r="AA32" s="31">
        <f>F32+J32+N32+R32+W32</f>
        <v/>
      </c>
      <c r="AB32" s="31">
        <f>Y32*VARIABLES!$B$14*VARIABLES!$B$15</f>
        <v/>
      </c>
      <c r="AC32" s="33">
        <f>Z32+AA32+AB32</f>
        <v/>
      </c>
      <c r="AD32" s="34">
        <f>G32+K32+O32+S32+X32</f>
        <v/>
      </c>
      <c r="AE32" s="31">
        <f>0</f>
        <v/>
      </c>
      <c r="AF32" s="31">
        <f>Z32*VARIABLES!$B$19</f>
        <v/>
      </c>
      <c r="AG32" s="31">
        <f>AA32*VARIABLES!$B$18</f>
        <v/>
      </c>
      <c r="AH32" s="31">
        <f>VARIABLES!$B$20</f>
        <v/>
      </c>
      <c r="AI32" s="31">
        <f>IF(MOD($A32,12)=0,VARIABLES!$B$21,0)</f>
        <v/>
      </c>
      <c r="AJ32" s="35">
        <f>AE32+AF32+AG32+AH32+AI32</f>
        <v/>
      </c>
      <c r="AK32" s="36">
        <f>IF($A32&lt;VARIABLES!$B$7,VARIABLES!$B$11,0)</f>
        <v/>
      </c>
      <c r="AL32" s="37">
        <f>AC32-AJ32-AK32</f>
        <v/>
      </c>
      <c r="AM32" s="37">
        <f>AM31+AL32</f>
        <v/>
      </c>
      <c r="AN32" s="38">
        <f>AN31+AK32</f>
        <v/>
      </c>
    </row>
    <row r="33">
      <c r="A33" s="39" t="n">
        <v>30</v>
      </c>
      <c r="B33" s="40">
        <f>TEXT(DATE(VARIABLES!$B$63+INT((VARIABLES!$B$64+$A33-2)/12),MOD(VARIABLES!$B$64+$A33-2,12)+1,1),"mmm-yy")</f>
        <v/>
      </c>
      <c r="C33" s="41">
        <f>IF($A33&lt;VARIABLES!$B$7,VARIABLES!$B$5/12,IF($A33&lt;VARIABLES!$B$8,VARIABLES!$B$6/12,VARIABLES!$B$9/12))</f>
        <v/>
      </c>
      <c r="D33" s="42">
        <f>IF($A33&lt;VARIABLES!$B$24,0,IF($A33=VARIABLES!$B$24,VARIABLES!$B$25+VARIABLES!$B$26,VARIABLES!$B$26))</f>
        <v/>
      </c>
      <c r="E33" s="42">
        <f>D33*VARIABLES!$B$27</f>
        <v/>
      </c>
      <c r="F33" s="42">
        <f>IF($A33&lt;VARIABLES!$B$24,0,(IF($A33=VARIABLES!$B$24,0,G32)+D33)*C33*VARIABLES!$B$28)</f>
        <v/>
      </c>
      <c r="G33" s="42">
        <f>IF($A33&lt;VARIABLES!$B$24,0,(IF($A33=VARIABLES!$B$24,0,G32)+D33)*(1+C33)-F33)</f>
        <v/>
      </c>
      <c r="H33" s="42">
        <f>IF($A33&lt;VARIABLES!$B$31,0,IF($A33=VARIABLES!$B$31,VARIABLES!$B$32+VARIABLES!$B$33,VARIABLES!$B$33))</f>
        <v/>
      </c>
      <c r="I33" s="42">
        <f>H33*VARIABLES!$B$34</f>
        <v/>
      </c>
      <c r="J33" s="42">
        <f>IF($A33&lt;VARIABLES!$B$31,0,(IF($A33=VARIABLES!$B$31,0,K32)+H33)*C33*VARIABLES!$B$35)</f>
        <v/>
      </c>
      <c r="K33" s="42">
        <f>IF($A33&lt;VARIABLES!$B$31,0,(IF($A33=VARIABLES!$B$31,0,K32)+H33)*(1+C33)-J33)</f>
        <v/>
      </c>
      <c r="L33" s="42">
        <f>IF($A33&lt;VARIABLES!$B$38,0,IF($A33=VARIABLES!$B$38,VARIABLES!$B$39+VARIABLES!$B$40,VARIABLES!$B$40))</f>
        <v/>
      </c>
      <c r="M33" s="42">
        <f>L33*VARIABLES!$B$41</f>
        <v/>
      </c>
      <c r="N33" s="42">
        <f>IF($A33&lt;VARIABLES!$B$38,0,(IF($A33=VARIABLES!$B$38,0,O32)+L33)*C33*VARIABLES!$B$42)</f>
        <v/>
      </c>
      <c r="O33" s="42">
        <f>IF($A33&lt;VARIABLES!$B$38,0,(IF($A33=VARIABLES!$B$38,0,O32)+L33)*(1+C33)-N33)</f>
        <v/>
      </c>
      <c r="P33" s="42">
        <f>IF($A33&lt;VARIABLES!$B$45,0,IF($A33=VARIABLES!$B$45,VARIABLES!$B$46+VARIABLES!$B$47,VARIABLES!$B$47))</f>
        <v/>
      </c>
      <c r="Q33" s="42">
        <f>P33*VARIABLES!$B$48</f>
        <v/>
      </c>
      <c r="R33" s="42">
        <f>IF($A33&lt;VARIABLES!$B$45,0,(IF($A33=VARIABLES!$B$45,0,S32)+P33)*C33*VARIABLES!$B$49)</f>
        <v/>
      </c>
      <c r="S33" s="42">
        <f>IF($A33&lt;VARIABLES!$B$45,0,(IF($A33=VARIABLES!$B$45,0,S32)+P33)*(1+C33)-R33)</f>
        <v/>
      </c>
      <c r="T33" s="43">
        <f>IF($A33&lt;VARIABLES!$B$53,0,MIN(VARIABLES!$B$52,INT(($A33-VARIABLES!$B$53)/VARIABLES!$B$54)+1)*VARIABLES!$B$55)</f>
        <v/>
      </c>
      <c r="U33" s="42">
        <f>T33*VARIABLES!$B$57+IF(AND($A33&gt;=VARIABLES!$B$53,MOD($A33-VARIABLES!$B$53,VARIABLES!$B$54)=0,INT(($A33-VARIABLES!$B$53)/VARIABLES!$B$54)&lt;VARIABLES!$B$52),VARIABLES!$B$55*VARIABLES!$B$56,0)</f>
        <v/>
      </c>
      <c r="V33" s="42">
        <f>U33*VARIABLES!$B$58</f>
        <v/>
      </c>
      <c r="W33" s="42">
        <f>IF($A33&lt;VARIABLES!$B$53,0,(IF($A33&lt;VARIABLES!$B$53+1,0,X32)+U33)*C33*VARIABLES!$B$59)</f>
        <v/>
      </c>
      <c r="X33" s="42">
        <f>IF($A33&lt;VARIABLES!$B$53,0,(IF($A33&lt;VARIABLES!$B$53+1,0,X32)+U33)*(1+C33)-W33)</f>
        <v/>
      </c>
      <c r="Y33" s="42">
        <f>D33+H33+L33+P33+U33</f>
        <v/>
      </c>
      <c r="Z33" s="42">
        <f>E33+I33+M33+Q33+V33</f>
        <v/>
      </c>
      <c r="AA33" s="42">
        <f>F33+J33+N33+R33+W33</f>
        <v/>
      </c>
      <c r="AB33" s="42">
        <f>Y33*VARIABLES!$B$14*VARIABLES!$B$15</f>
        <v/>
      </c>
      <c r="AC33" s="33">
        <f>Z33+AA33+AB33</f>
        <v/>
      </c>
      <c r="AD33" s="34">
        <f>G33+K33+O33+S33+X33</f>
        <v/>
      </c>
      <c r="AE33" s="42">
        <f>0</f>
        <v/>
      </c>
      <c r="AF33" s="42">
        <f>Z33*VARIABLES!$B$19</f>
        <v/>
      </c>
      <c r="AG33" s="42">
        <f>AA33*VARIABLES!$B$18</f>
        <v/>
      </c>
      <c r="AH33" s="42">
        <f>VARIABLES!$B$20</f>
        <v/>
      </c>
      <c r="AI33" s="42">
        <f>IF(MOD($A33,12)=0,VARIABLES!$B$21,0)</f>
        <v/>
      </c>
      <c r="AJ33" s="35">
        <f>AE33+AF33+AG33+AH33+AI33</f>
        <v/>
      </c>
      <c r="AK33" s="36">
        <f>IF($A33&lt;VARIABLES!$B$7,VARIABLES!$B$11,0)</f>
        <v/>
      </c>
      <c r="AL33" s="44">
        <f>AC33-AJ33-AK33</f>
        <v/>
      </c>
      <c r="AM33" s="44">
        <f>AM32+AL33</f>
        <v/>
      </c>
      <c r="AN33" s="38">
        <f>AN32+AK33</f>
        <v/>
      </c>
    </row>
    <row r="34">
      <c r="A34" s="28" t="n">
        <v>31</v>
      </c>
      <c r="B34" s="29">
        <f>TEXT(DATE(VARIABLES!$B$63+INT((VARIABLES!$B$64+$A34-2)/12),MOD(VARIABLES!$B$64+$A34-2,12)+1,1),"mmm-yy")</f>
        <v/>
      </c>
      <c r="C34" s="30">
        <f>IF($A34&lt;VARIABLES!$B$7,VARIABLES!$B$5/12,IF($A34&lt;VARIABLES!$B$8,VARIABLES!$B$6/12,VARIABLES!$B$9/12))</f>
        <v/>
      </c>
      <c r="D34" s="31">
        <f>IF($A34&lt;VARIABLES!$B$24,0,IF($A34=VARIABLES!$B$24,VARIABLES!$B$25+VARIABLES!$B$26,VARIABLES!$B$26))</f>
        <v/>
      </c>
      <c r="E34" s="31">
        <f>D34*VARIABLES!$B$27</f>
        <v/>
      </c>
      <c r="F34" s="31">
        <f>IF($A34&lt;VARIABLES!$B$24,0,(IF($A34=VARIABLES!$B$24,0,G33)+D34)*C34*VARIABLES!$B$28)</f>
        <v/>
      </c>
      <c r="G34" s="31">
        <f>IF($A34&lt;VARIABLES!$B$24,0,(IF($A34=VARIABLES!$B$24,0,G33)+D34)*(1+C34)-F34)</f>
        <v/>
      </c>
      <c r="H34" s="31">
        <f>IF($A34&lt;VARIABLES!$B$31,0,IF($A34=VARIABLES!$B$31,VARIABLES!$B$32+VARIABLES!$B$33,VARIABLES!$B$33))</f>
        <v/>
      </c>
      <c r="I34" s="31">
        <f>H34*VARIABLES!$B$34</f>
        <v/>
      </c>
      <c r="J34" s="31">
        <f>IF($A34&lt;VARIABLES!$B$31,0,(IF($A34=VARIABLES!$B$31,0,K33)+H34)*C34*VARIABLES!$B$35)</f>
        <v/>
      </c>
      <c r="K34" s="31">
        <f>IF($A34&lt;VARIABLES!$B$31,0,(IF($A34=VARIABLES!$B$31,0,K33)+H34)*(1+C34)-J34)</f>
        <v/>
      </c>
      <c r="L34" s="31">
        <f>IF($A34&lt;VARIABLES!$B$38,0,IF($A34=VARIABLES!$B$38,VARIABLES!$B$39+VARIABLES!$B$40,VARIABLES!$B$40))</f>
        <v/>
      </c>
      <c r="M34" s="31">
        <f>L34*VARIABLES!$B$41</f>
        <v/>
      </c>
      <c r="N34" s="31">
        <f>IF($A34&lt;VARIABLES!$B$38,0,(IF($A34=VARIABLES!$B$38,0,O33)+L34)*C34*VARIABLES!$B$42)</f>
        <v/>
      </c>
      <c r="O34" s="31">
        <f>IF($A34&lt;VARIABLES!$B$38,0,(IF($A34=VARIABLES!$B$38,0,O33)+L34)*(1+C34)-N34)</f>
        <v/>
      </c>
      <c r="P34" s="31">
        <f>IF($A34&lt;VARIABLES!$B$45,0,IF($A34=VARIABLES!$B$45,VARIABLES!$B$46+VARIABLES!$B$47,VARIABLES!$B$47))</f>
        <v/>
      </c>
      <c r="Q34" s="31">
        <f>P34*VARIABLES!$B$48</f>
        <v/>
      </c>
      <c r="R34" s="31">
        <f>IF($A34&lt;VARIABLES!$B$45,0,(IF($A34=VARIABLES!$B$45,0,S33)+P34)*C34*VARIABLES!$B$49)</f>
        <v/>
      </c>
      <c r="S34" s="31">
        <f>IF($A34&lt;VARIABLES!$B$45,0,(IF($A34=VARIABLES!$B$45,0,S33)+P34)*(1+C34)-R34)</f>
        <v/>
      </c>
      <c r="T34" s="32">
        <f>IF($A34&lt;VARIABLES!$B$53,0,MIN(VARIABLES!$B$52,INT(($A34-VARIABLES!$B$53)/VARIABLES!$B$54)+1)*VARIABLES!$B$55)</f>
        <v/>
      </c>
      <c r="U34" s="31">
        <f>T34*VARIABLES!$B$57+IF(AND($A34&gt;=VARIABLES!$B$53,MOD($A34-VARIABLES!$B$53,VARIABLES!$B$54)=0,INT(($A34-VARIABLES!$B$53)/VARIABLES!$B$54)&lt;VARIABLES!$B$52),VARIABLES!$B$55*VARIABLES!$B$56,0)</f>
        <v/>
      </c>
      <c r="V34" s="31">
        <f>U34*VARIABLES!$B$58</f>
        <v/>
      </c>
      <c r="W34" s="31">
        <f>IF($A34&lt;VARIABLES!$B$53,0,(IF($A34&lt;VARIABLES!$B$53+1,0,X33)+U34)*C34*VARIABLES!$B$59)</f>
        <v/>
      </c>
      <c r="X34" s="31">
        <f>IF($A34&lt;VARIABLES!$B$53,0,(IF($A34&lt;VARIABLES!$B$53+1,0,X33)+U34)*(1+C34)-W34)</f>
        <v/>
      </c>
      <c r="Y34" s="31">
        <f>D34+H34+L34+P34+U34</f>
        <v/>
      </c>
      <c r="Z34" s="31">
        <f>E34+I34+M34+Q34+V34</f>
        <v/>
      </c>
      <c r="AA34" s="31">
        <f>F34+J34+N34+R34+W34</f>
        <v/>
      </c>
      <c r="AB34" s="31">
        <f>Y34*VARIABLES!$B$14*VARIABLES!$B$15</f>
        <v/>
      </c>
      <c r="AC34" s="33">
        <f>Z34+AA34+AB34</f>
        <v/>
      </c>
      <c r="AD34" s="34">
        <f>G34+K34+O34+S34+X34</f>
        <v/>
      </c>
      <c r="AE34" s="31">
        <f>0</f>
        <v/>
      </c>
      <c r="AF34" s="31">
        <f>Z34*VARIABLES!$B$19</f>
        <v/>
      </c>
      <c r="AG34" s="31">
        <f>AA34*VARIABLES!$B$18</f>
        <v/>
      </c>
      <c r="AH34" s="31">
        <f>VARIABLES!$B$20</f>
        <v/>
      </c>
      <c r="AI34" s="31">
        <f>IF(MOD($A34,12)=0,VARIABLES!$B$21,0)</f>
        <v/>
      </c>
      <c r="AJ34" s="35">
        <f>AE34+AF34+AG34+AH34+AI34</f>
        <v/>
      </c>
      <c r="AK34" s="36">
        <f>IF($A34&lt;VARIABLES!$B$7,VARIABLES!$B$11,0)</f>
        <v/>
      </c>
      <c r="AL34" s="37">
        <f>AC34-AJ34-AK34</f>
        <v/>
      </c>
      <c r="AM34" s="37">
        <f>AM33+AL34</f>
        <v/>
      </c>
      <c r="AN34" s="38">
        <f>AN33+AK34</f>
        <v/>
      </c>
    </row>
    <row r="35">
      <c r="A35" s="39" t="n">
        <v>32</v>
      </c>
      <c r="B35" s="40">
        <f>TEXT(DATE(VARIABLES!$B$63+INT((VARIABLES!$B$64+$A35-2)/12),MOD(VARIABLES!$B$64+$A35-2,12)+1,1),"mmm-yy")</f>
        <v/>
      </c>
      <c r="C35" s="41">
        <f>IF($A35&lt;VARIABLES!$B$7,VARIABLES!$B$5/12,IF($A35&lt;VARIABLES!$B$8,VARIABLES!$B$6/12,VARIABLES!$B$9/12))</f>
        <v/>
      </c>
      <c r="D35" s="42">
        <f>IF($A35&lt;VARIABLES!$B$24,0,IF($A35=VARIABLES!$B$24,VARIABLES!$B$25+VARIABLES!$B$26,VARIABLES!$B$26))</f>
        <v/>
      </c>
      <c r="E35" s="42">
        <f>D35*VARIABLES!$B$27</f>
        <v/>
      </c>
      <c r="F35" s="42">
        <f>IF($A35&lt;VARIABLES!$B$24,0,(IF($A35=VARIABLES!$B$24,0,G34)+D35)*C35*VARIABLES!$B$28)</f>
        <v/>
      </c>
      <c r="G35" s="42">
        <f>IF($A35&lt;VARIABLES!$B$24,0,(IF($A35=VARIABLES!$B$24,0,G34)+D35)*(1+C35)-F35)</f>
        <v/>
      </c>
      <c r="H35" s="42">
        <f>IF($A35&lt;VARIABLES!$B$31,0,IF($A35=VARIABLES!$B$31,VARIABLES!$B$32+VARIABLES!$B$33,VARIABLES!$B$33))</f>
        <v/>
      </c>
      <c r="I35" s="42">
        <f>H35*VARIABLES!$B$34</f>
        <v/>
      </c>
      <c r="J35" s="42">
        <f>IF($A35&lt;VARIABLES!$B$31,0,(IF($A35=VARIABLES!$B$31,0,K34)+H35)*C35*VARIABLES!$B$35)</f>
        <v/>
      </c>
      <c r="K35" s="42">
        <f>IF($A35&lt;VARIABLES!$B$31,0,(IF($A35=VARIABLES!$B$31,0,K34)+H35)*(1+C35)-J35)</f>
        <v/>
      </c>
      <c r="L35" s="42">
        <f>IF($A35&lt;VARIABLES!$B$38,0,IF($A35=VARIABLES!$B$38,VARIABLES!$B$39+VARIABLES!$B$40,VARIABLES!$B$40))</f>
        <v/>
      </c>
      <c r="M35" s="42">
        <f>L35*VARIABLES!$B$41</f>
        <v/>
      </c>
      <c r="N35" s="42">
        <f>IF($A35&lt;VARIABLES!$B$38,0,(IF($A35=VARIABLES!$B$38,0,O34)+L35)*C35*VARIABLES!$B$42)</f>
        <v/>
      </c>
      <c r="O35" s="42">
        <f>IF($A35&lt;VARIABLES!$B$38,0,(IF($A35=VARIABLES!$B$38,0,O34)+L35)*(1+C35)-N35)</f>
        <v/>
      </c>
      <c r="P35" s="42">
        <f>IF($A35&lt;VARIABLES!$B$45,0,IF($A35=VARIABLES!$B$45,VARIABLES!$B$46+VARIABLES!$B$47,VARIABLES!$B$47))</f>
        <v/>
      </c>
      <c r="Q35" s="42">
        <f>P35*VARIABLES!$B$48</f>
        <v/>
      </c>
      <c r="R35" s="42">
        <f>IF($A35&lt;VARIABLES!$B$45,0,(IF($A35=VARIABLES!$B$45,0,S34)+P35)*C35*VARIABLES!$B$49)</f>
        <v/>
      </c>
      <c r="S35" s="42">
        <f>IF($A35&lt;VARIABLES!$B$45,0,(IF($A35=VARIABLES!$B$45,0,S34)+P35)*(1+C35)-R35)</f>
        <v/>
      </c>
      <c r="T35" s="43">
        <f>IF($A35&lt;VARIABLES!$B$53,0,MIN(VARIABLES!$B$52,INT(($A35-VARIABLES!$B$53)/VARIABLES!$B$54)+1)*VARIABLES!$B$55)</f>
        <v/>
      </c>
      <c r="U35" s="42">
        <f>T35*VARIABLES!$B$57+IF(AND($A35&gt;=VARIABLES!$B$53,MOD($A35-VARIABLES!$B$53,VARIABLES!$B$54)=0,INT(($A35-VARIABLES!$B$53)/VARIABLES!$B$54)&lt;VARIABLES!$B$52),VARIABLES!$B$55*VARIABLES!$B$56,0)</f>
        <v/>
      </c>
      <c r="V35" s="42">
        <f>U35*VARIABLES!$B$58</f>
        <v/>
      </c>
      <c r="W35" s="42">
        <f>IF($A35&lt;VARIABLES!$B$53,0,(IF($A35&lt;VARIABLES!$B$53+1,0,X34)+U35)*C35*VARIABLES!$B$59)</f>
        <v/>
      </c>
      <c r="X35" s="42">
        <f>IF($A35&lt;VARIABLES!$B$53,0,(IF($A35&lt;VARIABLES!$B$53+1,0,X34)+U35)*(1+C35)-W35)</f>
        <v/>
      </c>
      <c r="Y35" s="42">
        <f>D35+H35+L35+P35+U35</f>
        <v/>
      </c>
      <c r="Z35" s="42">
        <f>E35+I35+M35+Q35+V35</f>
        <v/>
      </c>
      <c r="AA35" s="42">
        <f>F35+J35+N35+R35+W35</f>
        <v/>
      </c>
      <c r="AB35" s="42">
        <f>Y35*VARIABLES!$B$14*VARIABLES!$B$15</f>
        <v/>
      </c>
      <c r="AC35" s="33">
        <f>Z35+AA35+AB35</f>
        <v/>
      </c>
      <c r="AD35" s="34">
        <f>G35+K35+O35+S35+X35</f>
        <v/>
      </c>
      <c r="AE35" s="42">
        <f>0</f>
        <v/>
      </c>
      <c r="AF35" s="42">
        <f>Z35*VARIABLES!$B$19</f>
        <v/>
      </c>
      <c r="AG35" s="42">
        <f>AA35*VARIABLES!$B$18</f>
        <v/>
      </c>
      <c r="AH35" s="42">
        <f>VARIABLES!$B$20</f>
        <v/>
      </c>
      <c r="AI35" s="42">
        <f>IF(MOD($A35,12)=0,VARIABLES!$B$21,0)</f>
        <v/>
      </c>
      <c r="AJ35" s="35">
        <f>AE35+AF35+AG35+AH35+AI35</f>
        <v/>
      </c>
      <c r="AK35" s="36">
        <f>IF($A35&lt;VARIABLES!$B$7,VARIABLES!$B$11,0)</f>
        <v/>
      </c>
      <c r="AL35" s="44">
        <f>AC35-AJ35-AK35</f>
        <v/>
      </c>
      <c r="AM35" s="44">
        <f>AM34+AL35</f>
        <v/>
      </c>
      <c r="AN35" s="38">
        <f>AN34+AK35</f>
        <v/>
      </c>
    </row>
    <row r="36">
      <c r="A36" s="28" t="n">
        <v>33</v>
      </c>
      <c r="B36" s="29">
        <f>TEXT(DATE(VARIABLES!$B$63+INT((VARIABLES!$B$64+$A36-2)/12),MOD(VARIABLES!$B$64+$A36-2,12)+1,1),"mmm-yy")</f>
        <v/>
      </c>
      <c r="C36" s="30">
        <f>IF($A36&lt;VARIABLES!$B$7,VARIABLES!$B$5/12,IF($A36&lt;VARIABLES!$B$8,VARIABLES!$B$6/12,VARIABLES!$B$9/12))</f>
        <v/>
      </c>
      <c r="D36" s="31">
        <f>IF($A36&lt;VARIABLES!$B$24,0,IF($A36=VARIABLES!$B$24,VARIABLES!$B$25+VARIABLES!$B$26,VARIABLES!$B$26))</f>
        <v/>
      </c>
      <c r="E36" s="31">
        <f>D36*VARIABLES!$B$27</f>
        <v/>
      </c>
      <c r="F36" s="31">
        <f>IF($A36&lt;VARIABLES!$B$24,0,(IF($A36=VARIABLES!$B$24,0,G35)+D36)*C36*VARIABLES!$B$28)</f>
        <v/>
      </c>
      <c r="G36" s="31">
        <f>IF($A36&lt;VARIABLES!$B$24,0,(IF($A36=VARIABLES!$B$24,0,G35)+D36)*(1+C36)-F36)</f>
        <v/>
      </c>
      <c r="H36" s="31">
        <f>IF($A36&lt;VARIABLES!$B$31,0,IF($A36=VARIABLES!$B$31,VARIABLES!$B$32+VARIABLES!$B$33,VARIABLES!$B$33))</f>
        <v/>
      </c>
      <c r="I36" s="31">
        <f>H36*VARIABLES!$B$34</f>
        <v/>
      </c>
      <c r="J36" s="31">
        <f>IF($A36&lt;VARIABLES!$B$31,0,(IF($A36=VARIABLES!$B$31,0,K35)+H36)*C36*VARIABLES!$B$35)</f>
        <v/>
      </c>
      <c r="K36" s="31">
        <f>IF($A36&lt;VARIABLES!$B$31,0,(IF($A36=VARIABLES!$B$31,0,K35)+H36)*(1+C36)-J36)</f>
        <v/>
      </c>
      <c r="L36" s="31">
        <f>IF($A36&lt;VARIABLES!$B$38,0,IF($A36=VARIABLES!$B$38,VARIABLES!$B$39+VARIABLES!$B$40,VARIABLES!$B$40))</f>
        <v/>
      </c>
      <c r="M36" s="31">
        <f>L36*VARIABLES!$B$41</f>
        <v/>
      </c>
      <c r="N36" s="31">
        <f>IF($A36&lt;VARIABLES!$B$38,0,(IF($A36=VARIABLES!$B$38,0,O35)+L36)*C36*VARIABLES!$B$42)</f>
        <v/>
      </c>
      <c r="O36" s="31">
        <f>IF($A36&lt;VARIABLES!$B$38,0,(IF($A36=VARIABLES!$B$38,0,O35)+L36)*(1+C36)-N36)</f>
        <v/>
      </c>
      <c r="P36" s="31">
        <f>IF($A36&lt;VARIABLES!$B$45,0,IF($A36=VARIABLES!$B$45,VARIABLES!$B$46+VARIABLES!$B$47,VARIABLES!$B$47))</f>
        <v/>
      </c>
      <c r="Q36" s="31">
        <f>P36*VARIABLES!$B$48</f>
        <v/>
      </c>
      <c r="R36" s="31">
        <f>IF($A36&lt;VARIABLES!$B$45,0,(IF($A36=VARIABLES!$B$45,0,S35)+P36)*C36*VARIABLES!$B$49)</f>
        <v/>
      </c>
      <c r="S36" s="31">
        <f>IF($A36&lt;VARIABLES!$B$45,0,(IF($A36=VARIABLES!$B$45,0,S35)+P36)*(1+C36)-R36)</f>
        <v/>
      </c>
      <c r="T36" s="32">
        <f>IF($A36&lt;VARIABLES!$B$53,0,MIN(VARIABLES!$B$52,INT(($A36-VARIABLES!$B$53)/VARIABLES!$B$54)+1)*VARIABLES!$B$55)</f>
        <v/>
      </c>
      <c r="U36" s="31">
        <f>T36*VARIABLES!$B$57+IF(AND($A36&gt;=VARIABLES!$B$53,MOD($A36-VARIABLES!$B$53,VARIABLES!$B$54)=0,INT(($A36-VARIABLES!$B$53)/VARIABLES!$B$54)&lt;VARIABLES!$B$52),VARIABLES!$B$55*VARIABLES!$B$56,0)</f>
        <v/>
      </c>
      <c r="V36" s="31">
        <f>U36*VARIABLES!$B$58</f>
        <v/>
      </c>
      <c r="W36" s="31">
        <f>IF($A36&lt;VARIABLES!$B$53,0,(IF($A36&lt;VARIABLES!$B$53+1,0,X35)+U36)*C36*VARIABLES!$B$59)</f>
        <v/>
      </c>
      <c r="X36" s="31">
        <f>IF($A36&lt;VARIABLES!$B$53,0,(IF($A36&lt;VARIABLES!$B$53+1,0,X35)+U36)*(1+C36)-W36)</f>
        <v/>
      </c>
      <c r="Y36" s="31">
        <f>D36+H36+L36+P36+U36</f>
        <v/>
      </c>
      <c r="Z36" s="31">
        <f>E36+I36+M36+Q36+V36</f>
        <v/>
      </c>
      <c r="AA36" s="31">
        <f>F36+J36+N36+R36+W36</f>
        <v/>
      </c>
      <c r="AB36" s="31">
        <f>Y36*VARIABLES!$B$14*VARIABLES!$B$15</f>
        <v/>
      </c>
      <c r="AC36" s="33">
        <f>Z36+AA36+AB36</f>
        <v/>
      </c>
      <c r="AD36" s="34">
        <f>G36+K36+O36+S36+X36</f>
        <v/>
      </c>
      <c r="AE36" s="31">
        <f>0</f>
        <v/>
      </c>
      <c r="AF36" s="31">
        <f>Z36*VARIABLES!$B$19</f>
        <v/>
      </c>
      <c r="AG36" s="31">
        <f>AA36*VARIABLES!$B$18</f>
        <v/>
      </c>
      <c r="AH36" s="31">
        <f>VARIABLES!$B$20</f>
        <v/>
      </c>
      <c r="AI36" s="31">
        <f>IF(MOD($A36,12)=0,VARIABLES!$B$21,0)</f>
        <v/>
      </c>
      <c r="AJ36" s="35">
        <f>AE36+AF36+AG36+AH36+AI36</f>
        <v/>
      </c>
      <c r="AK36" s="36">
        <f>IF($A36&lt;VARIABLES!$B$7,VARIABLES!$B$11,0)</f>
        <v/>
      </c>
      <c r="AL36" s="37">
        <f>AC36-AJ36-AK36</f>
        <v/>
      </c>
      <c r="AM36" s="37">
        <f>AM35+AL36</f>
        <v/>
      </c>
      <c r="AN36" s="38">
        <f>AN35+AK36</f>
        <v/>
      </c>
    </row>
    <row r="37">
      <c r="A37" s="39" t="n">
        <v>34</v>
      </c>
      <c r="B37" s="40">
        <f>TEXT(DATE(VARIABLES!$B$63+INT((VARIABLES!$B$64+$A37-2)/12),MOD(VARIABLES!$B$64+$A37-2,12)+1,1),"mmm-yy")</f>
        <v/>
      </c>
      <c r="C37" s="41">
        <f>IF($A37&lt;VARIABLES!$B$7,VARIABLES!$B$5/12,IF($A37&lt;VARIABLES!$B$8,VARIABLES!$B$6/12,VARIABLES!$B$9/12))</f>
        <v/>
      </c>
      <c r="D37" s="42">
        <f>IF($A37&lt;VARIABLES!$B$24,0,IF($A37=VARIABLES!$B$24,VARIABLES!$B$25+VARIABLES!$B$26,VARIABLES!$B$26))</f>
        <v/>
      </c>
      <c r="E37" s="42">
        <f>D37*VARIABLES!$B$27</f>
        <v/>
      </c>
      <c r="F37" s="42">
        <f>IF($A37&lt;VARIABLES!$B$24,0,(IF($A37=VARIABLES!$B$24,0,G36)+D37)*C37*VARIABLES!$B$28)</f>
        <v/>
      </c>
      <c r="G37" s="42">
        <f>IF($A37&lt;VARIABLES!$B$24,0,(IF($A37=VARIABLES!$B$24,0,G36)+D37)*(1+C37)-F37)</f>
        <v/>
      </c>
      <c r="H37" s="42">
        <f>IF($A37&lt;VARIABLES!$B$31,0,IF($A37=VARIABLES!$B$31,VARIABLES!$B$32+VARIABLES!$B$33,VARIABLES!$B$33))</f>
        <v/>
      </c>
      <c r="I37" s="42">
        <f>H37*VARIABLES!$B$34</f>
        <v/>
      </c>
      <c r="J37" s="42">
        <f>IF($A37&lt;VARIABLES!$B$31,0,(IF($A37=VARIABLES!$B$31,0,K36)+H37)*C37*VARIABLES!$B$35)</f>
        <v/>
      </c>
      <c r="K37" s="42">
        <f>IF($A37&lt;VARIABLES!$B$31,0,(IF($A37=VARIABLES!$B$31,0,K36)+H37)*(1+C37)-J37)</f>
        <v/>
      </c>
      <c r="L37" s="42">
        <f>IF($A37&lt;VARIABLES!$B$38,0,IF($A37=VARIABLES!$B$38,VARIABLES!$B$39+VARIABLES!$B$40,VARIABLES!$B$40))</f>
        <v/>
      </c>
      <c r="M37" s="42">
        <f>L37*VARIABLES!$B$41</f>
        <v/>
      </c>
      <c r="N37" s="42">
        <f>IF($A37&lt;VARIABLES!$B$38,0,(IF($A37=VARIABLES!$B$38,0,O36)+L37)*C37*VARIABLES!$B$42)</f>
        <v/>
      </c>
      <c r="O37" s="42">
        <f>IF($A37&lt;VARIABLES!$B$38,0,(IF($A37=VARIABLES!$B$38,0,O36)+L37)*(1+C37)-N37)</f>
        <v/>
      </c>
      <c r="P37" s="42">
        <f>IF($A37&lt;VARIABLES!$B$45,0,IF($A37=VARIABLES!$B$45,VARIABLES!$B$46+VARIABLES!$B$47,VARIABLES!$B$47))</f>
        <v/>
      </c>
      <c r="Q37" s="42">
        <f>P37*VARIABLES!$B$48</f>
        <v/>
      </c>
      <c r="R37" s="42">
        <f>IF($A37&lt;VARIABLES!$B$45,0,(IF($A37=VARIABLES!$B$45,0,S36)+P37)*C37*VARIABLES!$B$49)</f>
        <v/>
      </c>
      <c r="S37" s="42">
        <f>IF($A37&lt;VARIABLES!$B$45,0,(IF($A37=VARIABLES!$B$45,0,S36)+P37)*(1+C37)-R37)</f>
        <v/>
      </c>
      <c r="T37" s="43">
        <f>IF($A37&lt;VARIABLES!$B$53,0,MIN(VARIABLES!$B$52,INT(($A37-VARIABLES!$B$53)/VARIABLES!$B$54)+1)*VARIABLES!$B$55)</f>
        <v/>
      </c>
      <c r="U37" s="42">
        <f>T37*VARIABLES!$B$57+IF(AND($A37&gt;=VARIABLES!$B$53,MOD($A37-VARIABLES!$B$53,VARIABLES!$B$54)=0,INT(($A37-VARIABLES!$B$53)/VARIABLES!$B$54)&lt;VARIABLES!$B$52),VARIABLES!$B$55*VARIABLES!$B$56,0)</f>
        <v/>
      </c>
      <c r="V37" s="42">
        <f>U37*VARIABLES!$B$58</f>
        <v/>
      </c>
      <c r="W37" s="42">
        <f>IF($A37&lt;VARIABLES!$B$53,0,(IF($A37&lt;VARIABLES!$B$53+1,0,X36)+U37)*C37*VARIABLES!$B$59)</f>
        <v/>
      </c>
      <c r="X37" s="42">
        <f>IF($A37&lt;VARIABLES!$B$53,0,(IF($A37&lt;VARIABLES!$B$53+1,0,X36)+U37)*(1+C37)-W37)</f>
        <v/>
      </c>
      <c r="Y37" s="42">
        <f>D37+H37+L37+P37+U37</f>
        <v/>
      </c>
      <c r="Z37" s="42">
        <f>E37+I37+M37+Q37+V37</f>
        <v/>
      </c>
      <c r="AA37" s="42">
        <f>F37+J37+N37+R37+W37</f>
        <v/>
      </c>
      <c r="AB37" s="42">
        <f>Y37*VARIABLES!$B$14*VARIABLES!$B$15</f>
        <v/>
      </c>
      <c r="AC37" s="33">
        <f>Z37+AA37+AB37</f>
        <v/>
      </c>
      <c r="AD37" s="34">
        <f>G37+K37+O37+S37+X37</f>
        <v/>
      </c>
      <c r="AE37" s="42">
        <f>0</f>
        <v/>
      </c>
      <c r="AF37" s="42">
        <f>Z37*VARIABLES!$B$19</f>
        <v/>
      </c>
      <c r="AG37" s="42">
        <f>AA37*VARIABLES!$B$18</f>
        <v/>
      </c>
      <c r="AH37" s="42">
        <f>VARIABLES!$B$20</f>
        <v/>
      </c>
      <c r="AI37" s="42">
        <f>IF(MOD($A37,12)=0,VARIABLES!$B$21,0)</f>
        <v/>
      </c>
      <c r="AJ37" s="35">
        <f>AE37+AF37+AG37+AH37+AI37</f>
        <v/>
      </c>
      <c r="AK37" s="36">
        <f>IF($A37&lt;VARIABLES!$B$7,VARIABLES!$B$11,0)</f>
        <v/>
      </c>
      <c r="AL37" s="44">
        <f>AC37-AJ37-AK37</f>
        <v/>
      </c>
      <c r="AM37" s="44">
        <f>AM36+AL37</f>
        <v/>
      </c>
      <c r="AN37" s="38">
        <f>AN36+AK37</f>
        <v/>
      </c>
    </row>
    <row r="38">
      <c r="A38" s="28" t="n">
        <v>35</v>
      </c>
      <c r="B38" s="29">
        <f>TEXT(DATE(VARIABLES!$B$63+INT((VARIABLES!$B$64+$A38-2)/12),MOD(VARIABLES!$B$64+$A38-2,12)+1,1),"mmm-yy")</f>
        <v/>
      </c>
      <c r="C38" s="30">
        <f>IF($A38&lt;VARIABLES!$B$7,VARIABLES!$B$5/12,IF($A38&lt;VARIABLES!$B$8,VARIABLES!$B$6/12,VARIABLES!$B$9/12))</f>
        <v/>
      </c>
      <c r="D38" s="31">
        <f>IF($A38&lt;VARIABLES!$B$24,0,IF($A38=VARIABLES!$B$24,VARIABLES!$B$25+VARIABLES!$B$26,VARIABLES!$B$26))</f>
        <v/>
      </c>
      <c r="E38" s="31">
        <f>D38*VARIABLES!$B$27</f>
        <v/>
      </c>
      <c r="F38" s="31">
        <f>IF($A38&lt;VARIABLES!$B$24,0,(IF($A38=VARIABLES!$B$24,0,G37)+D38)*C38*VARIABLES!$B$28)</f>
        <v/>
      </c>
      <c r="G38" s="31">
        <f>IF($A38&lt;VARIABLES!$B$24,0,(IF($A38=VARIABLES!$B$24,0,G37)+D38)*(1+C38)-F38)</f>
        <v/>
      </c>
      <c r="H38" s="31">
        <f>IF($A38&lt;VARIABLES!$B$31,0,IF($A38=VARIABLES!$B$31,VARIABLES!$B$32+VARIABLES!$B$33,VARIABLES!$B$33))</f>
        <v/>
      </c>
      <c r="I38" s="31">
        <f>H38*VARIABLES!$B$34</f>
        <v/>
      </c>
      <c r="J38" s="31">
        <f>IF($A38&lt;VARIABLES!$B$31,0,(IF($A38=VARIABLES!$B$31,0,K37)+H38)*C38*VARIABLES!$B$35)</f>
        <v/>
      </c>
      <c r="K38" s="31">
        <f>IF($A38&lt;VARIABLES!$B$31,0,(IF($A38=VARIABLES!$B$31,0,K37)+H38)*(1+C38)-J38)</f>
        <v/>
      </c>
      <c r="L38" s="31">
        <f>IF($A38&lt;VARIABLES!$B$38,0,IF($A38=VARIABLES!$B$38,VARIABLES!$B$39+VARIABLES!$B$40,VARIABLES!$B$40))</f>
        <v/>
      </c>
      <c r="M38" s="31">
        <f>L38*VARIABLES!$B$41</f>
        <v/>
      </c>
      <c r="N38" s="31">
        <f>IF($A38&lt;VARIABLES!$B$38,0,(IF($A38=VARIABLES!$B$38,0,O37)+L38)*C38*VARIABLES!$B$42)</f>
        <v/>
      </c>
      <c r="O38" s="31">
        <f>IF($A38&lt;VARIABLES!$B$38,0,(IF($A38=VARIABLES!$B$38,0,O37)+L38)*(1+C38)-N38)</f>
        <v/>
      </c>
      <c r="P38" s="31">
        <f>IF($A38&lt;VARIABLES!$B$45,0,IF($A38=VARIABLES!$B$45,VARIABLES!$B$46+VARIABLES!$B$47,VARIABLES!$B$47))</f>
        <v/>
      </c>
      <c r="Q38" s="31">
        <f>P38*VARIABLES!$B$48</f>
        <v/>
      </c>
      <c r="R38" s="31">
        <f>IF($A38&lt;VARIABLES!$B$45,0,(IF($A38=VARIABLES!$B$45,0,S37)+P38)*C38*VARIABLES!$B$49)</f>
        <v/>
      </c>
      <c r="S38" s="31">
        <f>IF($A38&lt;VARIABLES!$B$45,0,(IF($A38=VARIABLES!$B$45,0,S37)+P38)*(1+C38)-R38)</f>
        <v/>
      </c>
      <c r="T38" s="32">
        <f>IF($A38&lt;VARIABLES!$B$53,0,MIN(VARIABLES!$B$52,INT(($A38-VARIABLES!$B$53)/VARIABLES!$B$54)+1)*VARIABLES!$B$55)</f>
        <v/>
      </c>
      <c r="U38" s="31">
        <f>T38*VARIABLES!$B$57+IF(AND($A38&gt;=VARIABLES!$B$53,MOD($A38-VARIABLES!$B$53,VARIABLES!$B$54)=0,INT(($A38-VARIABLES!$B$53)/VARIABLES!$B$54)&lt;VARIABLES!$B$52),VARIABLES!$B$55*VARIABLES!$B$56,0)</f>
        <v/>
      </c>
      <c r="V38" s="31">
        <f>U38*VARIABLES!$B$58</f>
        <v/>
      </c>
      <c r="W38" s="31">
        <f>IF($A38&lt;VARIABLES!$B$53,0,(IF($A38&lt;VARIABLES!$B$53+1,0,X37)+U38)*C38*VARIABLES!$B$59)</f>
        <v/>
      </c>
      <c r="X38" s="31">
        <f>IF($A38&lt;VARIABLES!$B$53,0,(IF($A38&lt;VARIABLES!$B$53+1,0,X37)+U38)*(1+C38)-W38)</f>
        <v/>
      </c>
      <c r="Y38" s="31">
        <f>D38+H38+L38+P38+U38</f>
        <v/>
      </c>
      <c r="Z38" s="31">
        <f>E38+I38+M38+Q38+V38</f>
        <v/>
      </c>
      <c r="AA38" s="31">
        <f>F38+J38+N38+R38+W38</f>
        <v/>
      </c>
      <c r="AB38" s="31">
        <f>Y38*VARIABLES!$B$14*VARIABLES!$B$15</f>
        <v/>
      </c>
      <c r="AC38" s="33">
        <f>Z38+AA38+AB38</f>
        <v/>
      </c>
      <c r="AD38" s="34">
        <f>G38+K38+O38+S38+X38</f>
        <v/>
      </c>
      <c r="AE38" s="31">
        <f>0</f>
        <v/>
      </c>
      <c r="AF38" s="31">
        <f>Z38*VARIABLES!$B$19</f>
        <v/>
      </c>
      <c r="AG38" s="31">
        <f>AA38*VARIABLES!$B$18</f>
        <v/>
      </c>
      <c r="AH38" s="31">
        <f>VARIABLES!$B$20</f>
        <v/>
      </c>
      <c r="AI38" s="31">
        <f>IF(MOD($A38,12)=0,VARIABLES!$B$21,0)</f>
        <v/>
      </c>
      <c r="AJ38" s="35">
        <f>AE38+AF38+AG38+AH38+AI38</f>
        <v/>
      </c>
      <c r="AK38" s="36">
        <f>IF($A38&lt;VARIABLES!$B$7,VARIABLES!$B$11,0)</f>
        <v/>
      </c>
      <c r="AL38" s="37">
        <f>AC38-AJ38-AK38</f>
        <v/>
      </c>
      <c r="AM38" s="37">
        <f>AM37+AL38</f>
        <v/>
      </c>
      <c r="AN38" s="38">
        <f>AN37+AK38</f>
        <v/>
      </c>
    </row>
    <row r="39">
      <c r="A39" s="39" t="n">
        <v>36</v>
      </c>
      <c r="B39" s="40">
        <f>TEXT(DATE(VARIABLES!$B$63+INT((VARIABLES!$B$64+$A39-2)/12),MOD(VARIABLES!$B$64+$A39-2,12)+1,1),"mmm-yy")</f>
        <v/>
      </c>
      <c r="C39" s="41">
        <f>IF($A39&lt;VARIABLES!$B$7,VARIABLES!$B$5/12,IF($A39&lt;VARIABLES!$B$8,VARIABLES!$B$6/12,VARIABLES!$B$9/12))</f>
        <v/>
      </c>
      <c r="D39" s="42">
        <f>IF($A39&lt;VARIABLES!$B$24,0,IF($A39=VARIABLES!$B$24,VARIABLES!$B$25+VARIABLES!$B$26,VARIABLES!$B$26))</f>
        <v/>
      </c>
      <c r="E39" s="42">
        <f>D39*VARIABLES!$B$27</f>
        <v/>
      </c>
      <c r="F39" s="42">
        <f>IF($A39&lt;VARIABLES!$B$24,0,(IF($A39=VARIABLES!$B$24,0,G38)+D39)*C39*VARIABLES!$B$28)</f>
        <v/>
      </c>
      <c r="G39" s="42">
        <f>IF($A39&lt;VARIABLES!$B$24,0,(IF($A39=VARIABLES!$B$24,0,G38)+D39)*(1+C39)-F39)</f>
        <v/>
      </c>
      <c r="H39" s="42">
        <f>IF($A39&lt;VARIABLES!$B$31,0,IF($A39=VARIABLES!$B$31,VARIABLES!$B$32+VARIABLES!$B$33,VARIABLES!$B$33))</f>
        <v/>
      </c>
      <c r="I39" s="42">
        <f>H39*VARIABLES!$B$34</f>
        <v/>
      </c>
      <c r="J39" s="42">
        <f>IF($A39&lt;VARIABLES!$B$31,0,(IF($A39=VARIABLES!$B$31,0,K38)+H39)*C39*VARIABLES!$B$35)</f>
        <v/>
      </c>
      <c r="K39" s="42">
        <f>IF($A39&lt;VARIABLES!$B$31,0,(IF($A39=VARIABLES!$B$31,0,K38)+H39)*(1+C39)-J39)</f>
        <v/>
      </c>
      <c r="L39" s="42">
        <f>IF($A39&lt;VARIABLES!$B$38,0,IF($A39=VARIABLES!$B$38,VARIABLES!$B$39+VARIABLES!$B$40,VARIABLES!$B$40))</f>
        <v/>
      </c>
      <c r="M39" s="42">
        <f>L39*VARIABLES!$B$41</f>
        <v/>
      </c>
      <c r="N39" s="42">
        <f>IF($A39&lt;VARIABLES!$B$38,0,(IF($A39=VARIABLES!$B$38,0,O38)+L39)*C39*VARIABLES!$B$42)</f>
        <v/>
      </c>
      <c r="O39" s="42">
        <f>IF($A39&lt;VARIABLES!$B$38,0,(IF($A39=VARIABLES!$B$38,0,O38)+L39)*(1+C39)-N39)</f>
        <v/>
      </c>
      <c r="P39" s="42">
        <f>IF($A39&lt;VARIABLES!$B$45,0,IF($A39=VARIABLES!$B$45,VARIABLES!$B$46+VARIABLES!$B$47,VARIABLES!$B$47))</f>
        <v/>
      </c>
      <c r="Q39" s="42">
        <f>P39*VARIABLES!$B$48</f>
        <v/>
      </c>
      <c r="R39" s="42">
        <f>IF($A39&lt;VARIABLES!$B$45,0,(IF($A39=VARIABLES!$B$45,0,S38)+P39)*C39*VARIABLES!$B$49)</f>
        <v/>
      </c>
      <c r="S39" s="42">
        <f>IF($A39&lt;VARIABLES!$B$45,0,(IF($A39=VARIABLES!$B$45,0,S38)+P39)*(1+C39)-R39)</f>
        <v/>
      </c>
      <c r="T39" s="43">
        <f>IF($A39&lt;VARIABLES!$B$53,0,MIN(VARIABLES!$B$52,INT(($A39-VARIABLES!$B$53)/VARIABLES!$B$54)+1)*VARIABLES!$B$55)</f>
        <v/>
      </c>
      <c r="U39" s="42">
        <f>T39*VARIABLES!$B$57+IF(AND($A39&gt;=VARIABLES!$B$53,MOD($A39-VARIABLES!$B$53,VARIABLES!$B$54)=0,INT(($A39-VARIABLES!$B$53)/VARIABLES!$B$54)&lt;VARIABLES!$B$52),VARIABLES!$B$55*VARIABLES!$B$56,0)</f>
        <v/>
      </c>
      <c r="V39" s="42">
        <f>U39*VARIABLES!$B$58</f>
        <v/>
      </c>
      <c r="W39" s="42">
        <f>IF($A39&lt;VARIABLES!$B$53,0,(IF($A39&lt;VARIABLES!$B$53+1,0,X38)+U39)*C39*VARIABLES!$B$59)</f>
        <v/>
      </c>
      <c r="X39" s="42">
        <f>IF($A39&lt;VARIABLES!$B$53,0,(IF($A39&lt;VARIABLES!$B$53+1,0,X38)+U39)*(1+C39)-W39)</f>
        <v/>
      </c>
      <c r="Y39" s="42">
        <f>D39+H39+L39+P39+U39</f>
        <v/>
      </c>
      <c r="Z39" s="42">
        <f>E39+I39+M39+Q39+V39</f>
        <v/>
      </c>
      <c r="AA39" s="42">
        <f>F39+J39+N39+R39+W39</f>
        <v/>
      </c>
      <c r="AB39" s="42">
        <f>Y39*VARIABLES!$B$14*VARIABLES!$B$15</f>
        <v/>
      </c>
      <c r="AC39" s="33">
        <f>Z39+AA39+AB39</f>
        <v/>
      </c>
      <c r="AD39" s="34">
        <f>G39+K39+O39+S39+X39</f>
        <v/>
      </c>
      <c r="AE39" s="42">
        <f>0</f>
        <v/>
      </c>
      <c r="AF39" s="42">
        <f>Z39*VARIABLES!$B$19</f>
        <v/>
      </c>
      <c r="AG39" s="42">
        <f>AA39*VARIABLES!$B$18</f>
        <v/>
      </c>
      <c r="AH39" s="42">
        <f>VARIABLES!$B$20</f>
        <v/>
      </c>
      <c r="AI39" s="42">
        <f>IF(MOD($A39,12)=0,VARIABLES!$B$21,0)</f>
        <v/>
      </c>
      <c r="AJ39" s="35">
        <f>AE39+AF39+AG39+AH39+AI39</f>
        <v/>
      </c>
      <c r="AK39" s="36">
        <f>IF($A39&lt;VARIABLES!$B$7,VARIABLES!$B$11,0)</f>
        <v/>
      </c>
      <c r="AL39" s="44">
        <f>AC39-AJ39-AK39</f>
        <v/>
      </c>
      <c r="AM39" s="44">
        <f>AM38+AL39</f>
        <v/>
      </c>
      <c r="AN39" s="38">
        <f>AN38+AK39</f>
        <v/>
      </c>
    </row>
    <row r="40">
      <c r="A40" s="28" t="n">
        <v>37</v>
      </c>
      <c r="B40" s="29">
        <f>TEXT(DATE(VARIABLES!$B$63+INT((VARIABLES!$B$64+$A40-2)/12),MOD(VARIABLES!$B$64+$A40-2,12)+1,1),"mmm-yy")</f>
        <v/>
      </c>
      <c r="C40" s="30">
        <f>IF($A40&lt;VARIABLES!$B$7,VARIABLES!$B$5/12,IF($A40&lt;VARIABLES!$B$8,VARIABLES!$B$6/12,VARIABLES!$B$9/12))</f>
        <v/>
      </c>
      <c r="D40" s="31">
        <f>IF($A40&lt;VARIABLES!$B$24,0,IF($A40=VARIABLES!$B$24,VARIABLES!$B$25+VARIABLES!$B$26,VARIABLES!$B$26))</f>
        <v/>
      </c>
      <c r="E40" s="31">
        <f>D40*VARIABLES!$B$27</f>
        <v/>
      </c>
      <c r="F40" s="31">
        <f>IF($A40&lt;VARIABLES!$B$24,0,(IF($A40=VARIABLES!$B$24,0,G39)+D40)*C40*VARIABLES!$B$28)</f>
        <v/>
      </c>
      <c r="G40" s="31">
        <f>IF($A40&lt;VARIABLES!$B$24,0,(IF($A40=VARIABLES!$B$24,0,G39)+D40)*(1+C40)-F40)</f>
        <v/>
      </c>
      <c r="H40" s="31">
        <f>IF($A40&lt;VARIABLES!$B$31,0,IF($A40=VARIABLES!$B$31,VARIABLES!$B$32+VARIABLES!$B$33,VARIABLES!$B$33))</f>
        <v/>
      </c>
      <c r="I40" s="31">
        <f>H40*VARIABLES!$B$34</f>
        <v/>
      </c>
      <c r="J40" s="31">
        <f>IF($A40&lt;VARIABLES!$B$31,0,(IF($A40=VARIABLES!$B$31,0,K39)+H40)*C40*VARIABLES!$B$35)</f>
        <v/>
      </c>
      <c r="K40" s="31">
        <f>IF($A40&lt;VARIABLES!$B$31,0,(IF($A40=VARIABLES!$B$31,0,K39)+H40)*(1+C40)-J40)</f>
        <v/>
      </c>
      <c r="L40" s="31">
        <f>IF($A40&lt;VARIABLES!$B$38,0,IF($A40=VARIABLES!$B$38,VARIABLES!$B$39+VARIABLES!$B$40,VARIABLES!$B$40))</f>
        <v/>
      </c>
      <c r="M40" s="31">
        <f>L40*VARIABLES!$B$41</f>
        <v/>
      </c>
      <c r="N40" s="31">
        <f>IF($A40&lt;VARIABLES!$B$38,0,(IF($A40=VARIABLES!$B$38,0,O39)+L40)*C40*VARIABLES!$B$42)</f>
        <v/>
      </c>
      <c r="O40" s="31">
        <f>IF($A40&lt;VARIABLES!$B$38,0,(IF($A40=VARIABLES!$B$38,0,O39)+L40)*(1+C40)-N40)</f>
        <v/>
      </c>
      <c r="P40" s="31">
        <f>IF($A40&lt;VARIABLES!$B$45,0,IF($A40=VARIABLES!$B$45,VARIABLES!$B$46+VARIABLES!$B$47,VARIABLES!$B$47))</f>
        <v/>
      </c>
      <c r="Q40" s="31">
        <f>P40*VARIABLES!$B$48</f>
        <v/>
      </c>
      <c r="R40" s="31">
        <f>IF($A40&lt;VARIABLES!$B$45,0,(IF($A40=VARIABLES!$B$45,0,S39)+P40)*C40*VARIABLES!$B$49)</f>
        <v/>
      </c>
      <c r="S40" s="31">
        <f>IF($A40&lt;VARIABLES!$B$45,0,(IF($A40=VARIABLES!$B$45,0,S39)+P40)*(1+C40)-R40)</f>
        <v/>
      </c>
      <c r="T40" s="32">
        <f>IF($A40&lt;VARIABLES!$B$53,0,MIN(VARIABLES!$B$52,INT(($A40-VARIABLES!$B$53)/VARIABLES!$B$54)+1)*VARIABLES!$B$55)</f>
        <v/>
      </c>
      <c r="U40" s="31">
        <f>T40*VARIABLES!$B$57+IF(AND($A40&gt;=VARIABLES!$B$53,MOD($A40-VARIABLES!$B$53,VARIABLES!$B$54)=0,INT(($A40-VARIABLES!$B$53)/VARIABLES!$B$54)&lt;VARIABLES!$B$52),VARIABLES!$B$55*VARIABLES!$B$56,0)</f>
        <v/>
      </c>
      <c r="V40" s="31">
        <f>U40*VARIABLES!$B$58</f>
        <v/>
      </c>
      <c r="W40" s="31">
        <f>IF($A40&lt;VARIABLES!$B$53,0,(IF($A40&lt;VARIABLES!$B$53+1,0,X39)+U40)*C40*VARIABLES!$B$59)</f>
        <v/>
      </c>
      <c r="X40" s="31">
        <f>IF($A40&lt;VARIABLES!$B$53,0,(IF($A40&lt;VARIABLES!$B$53+1,0,X39)+U40)*(1+C40)-W40)</f>
        <v/>
      </c>
      <c r="Y40" s="31">
        <f>D40+H40+L40+P40+U40</f>
        <v/>
      </c>
      <c r="Z40" s="31">
        <f>E40+I40+M40+Q40+V40</f>
        <v/>
      </c>
      <c r="AA40" s="31">
        <f>F40+J40+N40+R40+W40</f>
        <v/>
      </c>
      <c r="AB40" s="31">
        <f>Y40*VARIABLES!$B$14*VARIABLES!$B$15</f>
        <v/>
      </c>
      <c r="AC40" s="33">
        <f>Z40+AA40+AB40</f>
        <v/>
      </c>
      <c r="AD40" s="34">
        <f>G40+K40+O40+S40+X40</f>
        <v/>
      </c>
      <c r="AE40" s="31">
        <f>0</f>
        <v/>
      </c>
      <c r="AF40" s="31">
        <f>Z40*VARIABLES!$B$19</f>
        <v/>
      </c>
      <c r="AG40" s="31">
        <f>AA40*VARIABLES!$B$18</f>
        <v/>
      </c>
      <c r="AH40" s="31">
        <f>VARIABLES!$B$20</f>
        <v/>
      </c>
      <c r="AI40" s="31">
        <f>IF(MOD($A40,12)=0,VARIABLES!$B$21,0)</f>
        <v/>
      </c>
      <c r="AJ40" s="35">
        <f>AE40+AF40+AG40+AH40+AI40</f>
        <v/>
      </c>
      <c r="AK40" s="36">
        <f>IF($A40&lt;VARIABLES!$B$7,VARIABLES!$B$11,0)</f>
        <v/>
      </c>
      <c r="AL40" s="37">
        <f>AC40-AJ40-AK40</f>
        <v/>
      </c>
      <c r="AM40" s="37">
        <f>AM39+AL40</f>
        <v/>
      </c>
      <c r="AN40" s="38">
        <f>AN39+AK40</f>
        <v/>
      </c>
    </row>
    <row r="41">
      <c r="A41" s="39" t="n">
        <v>38</v>
      </c>
      <c r="B41" s="40">
        <f>TEXT(DATE(VARIABLES!$B$63+INT((VARIABLES!$B$64+$A41-2)/12),MOD(VARIABLES!$B$64+$A41-2,12)+1,1),"mmm-yy")</f>
        <v/>
      </c>
      <c r="C41" s="41">
        <f>IF($A41&lt;VARIABLES!$B$7,VARIABLES!$B$5/12,IF($A41&lt;VARIABLES!$B$8,VARIABLES!$B$6/12,VARIABLES!$B$9/12))</f>
        <v/>
      </c>
      <c r="D41" s="42">
        <f>IF($A41&lt;VARIABLES!$B$24,0,IF($A41=VARIABLES!$B$24,VARIABLES!$B$25+VARIABLES!$B$26,VARIABLES!$B$26))</f>
        <v/>
      </c>
      <c r="E41" s="42">
        <f>D41*VARIABLES!$B$27</f>
        <v/>
      </c>
      <c r="F41" s="42">
        <f>IF($A41&lt;VARIABLES!$B$24,0,(IF($A41=VARIABLES!$B$24,0,G40)+D41)*C41*VARIABLES!$B$28)</f>
        <v/>
      </c>
      <c r="G41" s="42">
        <f>IF($A41&lt;VARIABLES!$B$24,0,(IF($A41=VARIABLES!$B$24,0,G40)+D41)*(1+C41)-F41)</f>
        <v/>
      </c>
      <c r="H41" s="42">
        <f>IF($A41&lt;VARIABLES!$B$31,0,IF($A41=VARIABLES!$B$31,VARIABLES!$B$32+VARIABLES!$B$33,VARIABLES!$B$33))</f>
        <v/>
      </c>
      <c r="I41" s="42">
        <f>H41*VARIABLES!$B$34</f>
        <v/>
      </c>
      <c r="J41" s="42">
        <f>IF($A41&lt;VARIABLES!$B$31,0,(IF($A41=VARIABLES!$B$31,0,K40)+H41)*C41*VARIABLES!$B$35)</f>
        <v/>
      </c>
      <c r="K41" s="42">
        <f>IF($A41&lt;VARIABLES!$B$31,0,(IF($A41=VARIABLES!$B$31,0,K40)+H41)*(1+C41)-J41)</f>
        <v/>
      </c>
      <c r="L41" s="42">
        <f>IF($A41&lt;VARIABLES!$B$38,0,IF($A41=VARIABLES!$B$38,VARIABLES!$B$39+VARIABLES!$B$40,VARIABLES!$B$40))</f>
        <v/>
      </c>
      <c r="M41" s="42">
        <f>L41*VARIABLES!$B$41</f>
        <v/>
      </c>
      <c r="N41" s="42">
        <f>IF($A41&lt;VARIABLES!$B$38,0,(IF($A41=VARIABLES!$B$38,0,O40)+L41)*C41*VARIABLES!$B$42)</f>
        <v/>
      </c>
      <c r="O41" s="42">
        <f>IF($A41&lt;VARIABLES!$B$38,0,(IF($A41=VARIABLES!$B$38,0,O40)+L41)*(1+C41)-N41)</f>
        <v/>
      </c>
      <c r="P41" s="42">
        <f>IF($A41&lt;VARIABLES!$B$45,0,IF($A41=VARIABLES!$B$45,VARIABLES!$B$46+VARIABLES!$B$47,VARIABLES!$B$47))</f>
        <v/>
      </c>
      <c r="Q41" s="42">
        <f>P41*VARIABLES!$B$48</f>
        <v/>
      </c>
      <c r="R41" s="42">
        <f>IF($A41&lt;VARIABLES!$B$45,0,(IF($A41=VARIABLES!$B$45,0,S40)+P41)*C41*VARIABLES!$B$49)</f>
        <v/>
      </c>
      <c r="S41" s="42">
        <f>IF($A41&lt;VARIABLES!$B$45,0,(IF($A41=VARIABLES!$B$45,0,S40)+P41)*(1+C41)-R41)</f>
        <v/>
      </c>
      <c r="T41" s="43">
        <f>IF($A41&lt;VARIABLES!$B$53,0,MIN(VARIABLES!$B$52,INT(($A41-VARIABLES!$B$53)/VARIABLES!$B$54)+1)*VARIABLES!$B$55)</f>
        <v/>
      </c>
      <c r="U41" s="42">
        <f>T41*VARIABLES!$B$57+IF(AND($A41&gt;=VARIABLES!$B$53,MOD($A41-VARIABLES!$B$53,VARIABLES!$B$54)=0,INT(($A41-VARIABLES!$B$53)/VARIABLES!$B$54)&lt;VARIABLES!$B$52),VARIABLES!$B$55*VARIABLES!$B$56,0)</f>
        <v/>
      </c>
      <c r="V41" s="42">
        <f>U41*VARIABLES!$B$58</f>
        <v/>
      </c>
      <c r="W41" s="42">
        <f>IF($A41&lt;VARIABLES!$B$53,0,(IF($A41&lt;VARIABLES!$B$53+1,0,X40)+U41)*C41*VARIABLES!$B$59)</f>
        <v/>
      </c>
      <c r="X41" s="42">
        <f>IF($A41&lt;VARIABLES!$B$53,0,(IF($A41&lt;VARIABLES!$B$53+1,0,X40)+U41)*(1+C41)-W41)</f>
        <v/>
      </c>
      <c r="Y41" s="42">
        <f>D41+H41+L41+P41+U41</f>
        <v/>
      </c>
      <c r="Z41" s="42">
        <f>E41+I41+M41+Q41+V41</f>
        <v/>
      </c>
      <c r="AA41" s="42">
        <f>F41+J41+N41+R41+W41</f>
        <v/>
      </c>
      <c r="AB41" s="42">
        <f>Y41*VARIABLES!$B$14*VARIABLES!$B$15</f>
        <v/>
      </c>
      <c r="AC41" s="33">
        <f>Z41+AA41+AB41</f>
        <v/>
      </c>
      <c r="AD41" s="34">
        <f>G41+K41+O41+S41+X41</f>
        <v/>
      </c>
      <c r="AE41" s="42">
        <f>0</f>
        <v/>
      </c>
      <c r="AF41" s="42">
        <f>Z41*VARIABLES!$B$19</f>
        <v/>
      </c>
      <c r="AG41" s="42">
        <f>AA41*VARIABLES!$B$18</f>
        <v/>
      </c>
      <c r="AH41" s="42">
        <f>VARIABLES!$B$20</f>
        <v/>
      </c>
      <c r="AI41" s="42">
        <f>IF(MOD($A41,12)=0,VARIABLES!$B$21,0)</f>
        <v/>
      </c>
      <c r="AJ41" s="35">
        <f>AE41+AF41+AG41+AH41+AI41</f>
        <v/>
      </c>
      <c r="AK41" s="36">
        <f>IF($A41&lt;VARIABLES!$B$7,VARIABLES!$B$11,0)</f>
        <v/>
      </c>
      <c r="AL41" s="44">
        <f>AC41-AJ41-AK41</f>
        <v/>
      </c>
      <c r="AM41" s="44">
        <f>AM40+AL41</f>
        <v/>
      </c>
      <c r="AN41" s="38">
        <f>AN40+AK41</f>
        <v/>
      </c>
    </row>
    <row r="42">
      <c r="A42" s="28" t="n">
        <v>39</v>
      </c>
      <c r="B42" s="29">
        <f>TEXT(DATE(VARIABLES!$B$63+INT((VARIABLES!$B$64+$A42-2)/12),MOD(VARIABLES!$B$64+$A42-2,12)+1,1),"mmm-yy")</f>
        <v/>
      </c>
      <c r="C42" s="30">
        <f>IF($A42&lt;VARIABLES!$B$7,VARIABLES!$B$5/12,IF($A42&lt;VARIABLES!$B$8,VARIABLES!$B$6/12,VARIABLES!$B$9/12))</f>
        <v/>
      </c>
      <c r="D42" s="31">
        <f>IF($A42&lt;VARIABLES!$B$24,0,IF($A42=VARIABLES!$B$24,VARIABLES!$B$25+VARIABLES!$B$26,VARIABLES!$B$26))</f>
        <v/>
      </c>
      <c r="E42" s="31">
        <f>D42*VARIABLES!$B$27</f>
        <v/>
      </c>
      <c r="F42" s="31">
        <f>IF($A42&lt;VARIABLES!$B$24,0,(IF($A42=VARIABLES!$B$24,0,G41)+D42)*C42*VARIABLES!$B$28)</f>
        <v/>
      </c>
      <c r="G42" s="31">
        <f>IF($A42&lt;VARIABLES!$B$24,0,(IF($A42=VARIABLES!$B$24,0,G41)+D42)*(1+C42)-F42)</f>
        <v/>
      </c>
      <c r="H42" s="31">
        <f>IF($A42&lt;VARIABLES!$B$31,0,IF($A42=VARIABLES!$B$31,VARIABLES!$B$32+VARIABLES!$B$33,VARIABLES!$B$33))</f>
        <v/>
      </c>
      <c r="I42" s="31">
        <f>H42*VARIABLES!$B$34</f>
        <v/>
      </c>
      <c r="J42" s="31">
        <f>IF($A42&lt;VARIABLES!$B$31,0,(IF($A42=VARIABLES!$B$31,0,K41)+H42)*C42*VARIABLES!$B$35)</f>
        <v/>
      </c>
      <c r="K42" s="31">
        <f>IF($A42&lt;VARIABLES!$B$31,0,(IF($A42=VARIABLES!$B$31,0,K41)+H42)*(1+C42)-J42)</f>
        <v/>
      </c>
      <c r="L42" s="31">
        <f>IF($A42&lt;VARIABLES!$B$38,0,IF($A42=VARIABLES!$B$38,VARIABLES!$B$39+VARIABLES!$B$40,VARIABLES!$B$40))</f>
        <v/>
      </c>
      <c r="M42" s="31">
        <f>L42*VARIABLES!$B$41</f>
        <v/>
      </c>
      <c r="N42" s="31">
        <f>IF($A42&lt;VARIABLES!$B$38,0,(IF($A42=VARIABLES!$B$38,0,O41)+L42)*C42*VARIABLES!$B$42)</f>
        <v/>
      </c>
      <c r="O42" s="31">
        <f>IF($A42&lt;VARIABLES!$B$38,0,(IF($A42=VARIABLES!$B$38,0,O41)+L42)*(1+C42)-N42)</f>
        <v/>
      </c>
      <c r="P42" s="31">
        <f>IF($A42&lt;VARIABLES!$B$45,0,IF($A42=VARIABLES!$B$45,VARIABLES!$B$46+VARIABLES!$B$47,VARIABLES!$B$47))</f>
        <v/>
      </c>
      <c r="Q42" s="31">
        <f>P42*VARIABLES!$B$48</f>
        <v/>
      </c>
      <c r="R42" s="31">
        <f>IF($A42&lt;VARIABLES!$B$45,0,(IF($A42=VARIABLES!$B$45,0,S41)+P42)*C42*VARIABLES!$B$49)</f>
        <v/>
      </c>
      <c r="S42" s="31">
        <f>IF($A42&lt;VARIABLES!$B$45,0,(IF($A42=VARIABLES!$B$45,0,S41)+P42)*(1+C42)-R42)</f>
        <v/>
      </c>
      <c r="T42" s="32">
        <f>IF($A42&lt;VARIABLES!$B$53,0,MIN(VARIABLES!$B$52,INT(($A42-VARIABLES!$B$53)/VARIABLES!$B$54)+1)*VARIABLES!$B$55)</f>
        <v/>
      </c>
      <c r="U42" s="31">
        <f>T42*VARIABLES!$B$57+IF(AND($A42&gt;=VARIABLES!$B$53,MOD($A42-VARIABLES!$B$53,VARIABLES!$B$54)=0,INT(($A42-VARIABLES!$B$53)/VARIABLES!$B$54)&lt;VARIABLES!$B$52),VARIABLES!$B$55*VARIABLES!$B$56,0)</f>
        <v/>
      </c>
      <c r="V42" s="31">
        <f>U42*VARIABLES!$B$58</f>
        <v/>
      </c>
      <c r="W42" s="31">
        <f>IF($A42&lt;VARIABLES!$B$53,0,(IF($A42&lt;VARIABLES!$B$53+1,0,X41)+U42)*C42*VARIABLES!$B$59)</f>
        <v/>
      </c>
      <c r="X42" s="31">
        <f>IF($A42&lt;VARIABLES!$B$53,0,(IF($A42&lt;VARIABLES!$B$53+1,0,X41)+U42)*(1+C42)-W42)</f>
        <v/>
      </c>
      <c r="Y42" s="31">
        <f>D42+H42+L42+P42+U42</f>
        <v/>
      </c>
      <c r="Z42" s="31">
        <f>E42+I42+M42+Q42+V42</f>
        <v/>
      </c>
      <c r="AA42" s="31">
        <f>F42+J42+N42+R42+W42</f>
        <v/>
      </c>
      <c r="AB42" s="31">
        <f>Y42*VARIABLES!$B$14*VARIABLES!$B$15</f>
        <v/>
      </c>
      <c r="AC42" s="33">
        <f>Z42+AA42+AB42</f>
        <v/>
      </c>
      <c r="AD42" s="34">
        <f>G42+K42+O42+S42+X42</f>
        <v/>
      </c>
      <c r="AE42" s="31">
        <f>0</f>
        <v/>
      </c>
      <c r="AF42" s="31">
        <f>Z42*VARIABLES!$B$19</f>
        <v/>
      </c>
      <c r="AG42" s="31">
        <f>AA42*VARIABLES!$B$18</f>
        <v/>
      </c>
      <c r="AH42" s="31">
        <f>VARIABLES!$B$20</f>
        <v/>
      </c>
      <c r="AI42" s="31">
        <f>IF(MOD($A42,12)=0,VARIABLES!$B$21,0)</f>
        <v/>
      </c>
      <c r="AJ42" s="35">
        <f>AE42+AF42+AG42+AH42+AI42</f>
        <v/>
      </c>
      <c r="AK42" s="36">
        <f>IF($A42&lt;VARIABLES!$B$7,VARIABLES!$B$11,0)</f>
        <v/>
      </c>
      <c r="AL42" s="37">
        <f>AC42-AJ42-AK42</f>
        <v/>
      </c>
      <c r="AM42" s="37">
        <f>AM41+AL42</f>
        <v/>
      </c>
      <c r="AN42" s="38">
        <f>AN41+AK42</f>
        <v/>
      </c>
    </row>
    <row r="43">
      <c r="A43" s="39" t="n">
        <v>40</v>
      </c>
      <c r="B43" s="40">
        <f>TEXT(DATE(VARIABLES!$B$63+INT((VARIABLES!$B$64+$A43-2)/12),MOD(VARIABLES!$B$64+$A43-2,12)+1,1),"mmm-yy")</f>
        <v/>
      </c>
      <c r="C43" s="41">
        <f>IF($A43&lt;VARIABLES!$B$7,VARIABLES!$B$5/12,IF($A43&lt;VARIABLES!$B$8,VARIABLES!$B$6/12,VARIABLES!$B$9/12))</f>
        <v/>
      </c>
      <c r="D43" s="42">
        <f>IF($A43&lt;VARIABLES!$B$24,0,IF($A43=VARIABLES!$B$24,VARIABLES!$B$25+VARIABLES!$B$26,VARIABLES!$B$26))</f>
        <v/>
      </c>
      <c r="E43" s="42">
        <f>D43*VARIABLES!$B$27</f>
        <v/>
      </c>
      <c r="F43" s="42">
        <f>IF($A43&lt;VARIABLES!$B$24,0,(IF($A43=VARIABLES!$B$24,0,G42)+D43)*C43*VARIABLES!$B$28)</f>
        <v/>
      </c>
      <c r="G43" s="42">
        <f>IF($A43&lt;VARIABLES!$B$24,0,(IF($A43=VARIABLES!$B$24,0,G42)+D43)*(1+C43)-F43)</f>
        <v/>
      </c>
      <c r="H43" s="42">
        <f>IF($A43&lt;VARIABLES!$B$31,0,IF($A43=VARIABLES!$B$31,VARIABLES!$B$32+VARIABLES!$B$33,VARIABLES!$B$33))</f>
        <v/>
      </c>
      <c r="I43" s="42">
        <f>H43*VARIABLES!$B$34</f>
        <v/>
      </c>
      <c r="J43" s="42">
        <f>IF($A43&lt;VARIABLES!$B$31,0,(IF($A43=VARIABLES!$B$31,0,K42)+H43)*C43*VARIABLES!$B$35)</f>
        <v/>
      </c>
      <c r="K43" s="42">
        <f>IF($A43&lt;VARIABLES!$B$31,0,(IF($A43=VARIABLES!$B$31,0,K42)+H43)*(1+C43)-J43)</f>
        <v/>
      </c>
      <c r="L43" s="42">
        <f>IF($A43&lt;VARIABLES!$B$38,0,IF($A43=VARIABLES!$B$38,VARIABLES!$B$39+VARIABLES!$B$40,VARIABLES!$B$40))</f>
        <v/>
      </c>
      <c r="M43" s="42">
        <f>L43*VARIABLES!$B$41</f>
        <v/>
      </c>
      <c r="N43" s="42">
        <f>IF($A43&lt;VARIABLES!$B$38,0,(IF($A43=VARIABLES!$B$38,0,O42)+L43)*C43*VARIABLES!$B$42)</f>
        <v/>
      </c>
      <c r="O43" s="42">
        <f>IF($A43&lt;VARIABLES!$B$38,0,(IF($A43=VARIABLES!$B$38,0,O42)+L43)*(1+C43)-N43)</f>
        <v/>
      </c>
      <c r="P43" s="42">
        <f>IF($A43&lt;VARIABLES!$B$45,0,IF($A43=VARIABLES!$B$45,VARIABLES!$B$46+VARIABLES!$B$47,VARIABLES!$B$47))</f>
        <v/>
      </c>
      <c r="Q43" s="42">
        <f>P43*VARIABLES!$B$48</f>
        <v/>
      </c>
      <c r="R43" s="42">
        <f>IF($A43&lt;VARIABLES!$B$45,0,(IF($A43=VARIABLES!$B$45,0,S42)+P43)*C43*VARIABLES!$B$49)</f>
        <v/>
      </c>
      <c r="S43" s="42">
        <f>IF($A43&lt;VARIABLES!$B$45,0,(IF($A43=VARIABLES!$B$45,0,S42)+P43)*(1+C43)-R43)</f>
        <v/>
      </c>
      <c r="T43" s="43">
        <f>IF($A43&lt;VARIABLES!$B$53,0,MIN(VARIABLES!$B$52,INT(($A43-VARIABLES!$B$53)/VARIABLES!$B$54)+1)*VARIABLES!$B$55)</f>
        <v/>
      </c>
      <c r="U43" s="42">
        <f>T43*VARIABLES!$B$57+IF(AND($A43&gt;=VARIABLES!$B$53,MOD($A43-VARIABLES!$B$53,VARIABLES!$B$54)=0,INT(($A43-VARIABLES!$B$53)/VARIABLES!$B$54)&lt;VARIABLES!$B$52),VARIABLES!$B$55*VARIABLES!$B$56,0)</f>
        <v/>
      </c>
      <c r="V43" s="42">
        <f>U43*VARIABLES!$B$58</f>
        <v/>
      </c>
      <c r="W43" s="42">
        <f>IF($A43&lt;VARIABLES!$B$53,0,(IF($A43&lt;VARIABLES!$B$53+1,0,X42)+U43)*C43*VARIABLES!$B$59)</f>
        <v/>
      </c>
      <c r="X43" s="42">
        <f>IF($A43&lt;VARIABLES!$B$53,0,(IF($A43&lt;VARIABLES!$B$53+1,0,X42)+U43)*(1+C43)-W43)</f>
        <v/>
      </c>
      <c r="Y43" s="42">
        <f>D43+H43+L43+P43+U43</f>
        <v/>
      </c>
      <c r="Z43" s="42">
        <f>E43+I43+M43+Q43+V43</f>
        <v/>
      </c>
      <c r="AA43" s="42">
        <f>F43+J43+N43+R43+W43</f>
        <v/>
      </c>
      <c r="AB43" s="42">
        <f>Y43*VARIABLES!$B$14*VARIABLES!$B$15</f>
        <v/>
      </c>
      <c r="AC43" s="33">
        <f>Z43+AA43+AB43</f>
        <v/>
      </c>
      <c r="AD43" s="34">
        <f>G43+K43+O43+S43+X43</f>
        <v/>
      </c>
      <c r="AE43" s="42">
        <f>0</f>
        <v/>
      </c>
      <c r="AF43" s="42">
        <f>Z43*VARIABLES!$B$19</f>
        <v/>
      </c>
      <c r="AG43" s="42">
        <f>AA43*VARIABLES!$B$18</f>
        <v/>
      </c>
      <c r="AH43" s="42">
        <f>VARIABLES!$B$20</f>
        <v/>
      </c>
      <c r="AI43" s="42">
        <f>IF(MOD($A43,12)=0,VARIABLES!$B$21,0)</f>
        <v/>
      </c>
      <c r="AJ43" s="35">
        <f>AE43+AF43+AG43+AH43+AI43</f>
        <v/>
      </c>
      <c r="AK43" s="36">
        <f>IF($A43&lt;VARIABLES!$B$7,VARIABLES!$B$11,0)</f>
        <v/>
      </c>
      <c r="AL43" s="44">
        <f>AC43-AJ43-AK43</f>
        <v/>
      </c>
      <c r="AM43" s="44">
        <f>AM42+AL43</f>
        <v/>
      </c>
      <c r="AN43" s="38">
        <f>AN42+AK43</f>
        <v/>
      </c>
    </row>
    <row r="44">
      <c r="A44" s="28" t="n">
        <v>41</v>
      </c>
      <c r="B44" s="29">
        <f>TEXT(DATE(VARIABLES!$B$63+INT((VARIABLES!$B$64+$A44-2)/12),MOD(VARIABLES!$B$64+$A44-2,12)+1,1),"mmm-yy")</f>
        <v/>
      </c>
      <c r="C44" s="30">
        <f>IF($A44&lt;VARIABLES!$B$7,VARIABLES!$B$5/12,IF($A44&lt;VARIABLES!$B$8,VARIABLES!$B$6/12,VARIABLES!$B$9/12))</f>
        <v/>
      </c>
      <c r="D44" s="31">
        <f>IF($A44&lt;VARIABLES!$B$24,0,IF($A44=VARIABLES!$B$24,VARIABLES!$B$25+VARIABLES!$B$26,VARIABLES!$B$26))</f>
        <v/>
      </c>
      <c r="E44" s="31">
        <f>D44*VARIABLES!$B$27</f>
        <v/>
      </c>
      <c r="F44" s="31">
        <f>IF($A44&lt;VARIABLES!$B$24,0,(IF($A44=VARIABLES!$B$24,0,G43)+D44)*C44*VARIABLES!$B$28)</f>
        <v/>
      </c>
      <c r="G44" s="31">
        <f>IF($A44&lt;VARIABLES!$B$24,0,(IF($A44=VARIABLES!$B$24,0,G43)+D44)*(1+C44)-F44)</f>
        <v/>
      </c>
      <c r="H44" s="31">
        <f>IF($A44&lt;VARIABLES!$B$31,0,IF($A44=VARIABLES!$B$31,VARIABLES!$B$32+VARIABLES!$B$33,VARIABLES!$B$33))</f>
        <v/>
      </c>
      <c r="I44" s="31">
        <f>H44*VARIABLES!$B$34</f>
        <v/>
      </c>
      <c r="J44" s="31">
        <f>IF($A44&lt;VARIABLES!$B$31,0,(IF($A44=VARIABLES!$B$31,0,K43)+H44)*C44*VARIABLES!$B$35)</f>
        <v/>
      </c>
      <c r="K44" s="31">
        <f>IF($A44&lt;VARIABLES!$B$31,0,(IF($A44=VARIABLES!$B$31,0,K43)+H44)*(1+C44)-J44)</f>
        <v/>
      </c>
      <c r="L44" s="31">
        <f>IF($A44&lt;VARIABLES!$B$38,0,IF($A44=VARIABLES!$B$38,VARIABLES!$B$39+VARIABLES!$B$40,VARIABLES!$B$40))</f>
        <v/>
      </c>
      <c r="M44" s="31">
        <f>L44*VARIABLES!$B$41</f>
        <v/>
      </c>
      <c r="N44" s="31">
        <f>IF($A44&lt;VARIABLES!$B$38,0,(IF($A44=VARIABLES!$B$38,0,O43)+L44)*C44*VARIABLES!$B$42)</f>
        <v/>
      </c>
      <c r="O44" s="31">
        <f>IF($A44&lt;VARIABLES!$B$38,0,(IF($A44=VARIABLES!$B$38,0,O43)+L44)*(1+C44)-N44)</f>
        <v/>
      </c>
      <c r="P44" s="31">
        <f>IF($A44&lt;VARIABLES!$B$45,0,IF($A44=VARIABLES!$B$45,VARIABLES!$B$46+VARIABLES!$B$47,VARIABLES!$B$47))</f>
        <v/>
      </c>
      <c r="Q44" s="31">
        <f>P44*VARIABLES!$B$48</f>
        <v/>
      </c>
      <c r="R44" s="31">
        <f>IF($A44&lt;VARIABLES!$B$45,0,(IF($A44=VARIABLES!$B$45,0,S43)+P44)*C44*VARIABLES!$B$49)</f>
        <v/>
      </c>
      <c r="S44" s="31">
        <f>IF($A44&lt;VARIABLES!$B$45,0,(IF($A44=VARIABLES!$B$45,0,S43)+P44)*(1+C44)-R44)</f>
        <v/>
      </c>
      <c r="T44" s="32">
        <f>IF($A44&lt;VARIABLES!$B$53,0,MIN(VARIABLES!$B$52,INT(($A44-VARIABLES!$B$53)/VARIABLES!$B$54)+1)*VARIABLES!$B$55)</f>
        <v/>
      </c>
      <c r="U44" s="31">
        <f>T44*VARIABLES!$B$57+IF(AND($A44&gt;=VARIABLES!$B$53,MOD($A44-VARIABLES!$B$53,VARIABLES!$B$54)=0,INT(($A44-VARIABLES!$B$53)/VARIABLES!$B$54)&lt;VARIABLES!$B$52),VARIABLES!$B$55*VARIABLES!$B$56,0)</f>
        <v/>
      </c>
      <c r="V44" s="31">
        <f>U44*VARIABLES!$B$58</f>
        <v/>
      </c>
      <c r="W44" s="31">
        <f>IF($A44&lt;VARIABLES!$B$53,0,(IF($A44&lt;VARIABLES!$B$53+1,0,X43)+U44)*C44*VARIABLES!$B$59)</f>
        <v/>
      </c>
      <c r="X44" s="31">
        <f>IF($A44&lt;VARIABLES!$B$53,0,(IF($A44&lt;VARIABLES!$B$53+1,0,X43)+U44)*(1+C44)-W44)</f>
        <v/>
      </c>
      <c r="Y44" s="31">
        <f>D44+H44+L44+P44+U44</f>
        <v/>
      </c>
      <c r="Z44" s="31">
        <f>E44+I44+M44+Q44+V44</f>
        <v/>
      </c>
      <c r="AA44" s="31">
        <f>F44+J44+N44+R44+W44</f>
        <v/>
      </c>
      <c r="AB44" s="31">
        <f>Y44*VARIABLES!$B$14*VARIABLES!$B$15</f>
        <v/>
      </c>
      <c r="AC44" s="33">
        <f>Z44+AA44+AB44</f>
        <v/>
      </c>
      <c r="AD44" s="34">
        <f>G44+K44+O44+S44+X44</f>
        <v/>
      </c>
      <c r="AE44" s="31">
        <f>0</f>
        <v/>
      </c>
      <c r="AF44" s="31">
        <f>Z44*VARIABLES!$B$19</f>
        <v/>
      </c>
      <c r="AG44" s="31">
        <f>AA44*VARIABLES!$B$18</f>
        <v/>
      </c>
      <c r="AH44" s="31">
        <f>VARIABLES!$B$20</f>
        <v/>
      </c>
      <c r="AI44" s="31">
        <f>IF(MOD($A44,12)=0,VARIABLES!$B$21,0)</f>
        <v/>
      </c>
      <c r="AJ44" s="35">
        <f>AE44+AF44+AG44+AH44+AI44</f>
        <v/>
      </c>
      <c r="AK44" s="36">
        <f>IF($A44&lt;VARIABLES!$B$7,VARIABLES!$B$11,0)</f>
        <v/>
      </c>
      <c r="AL44" s="37">
        <f>AC44-AJ44-AK44</f>
        <v/>
      </c>
      <c r="AM44" s="37">
        <f>AM43+AL44</f>
        <v/>
      </c>
      <c r="AN44" s="38">
        <f>AN43+AK44</f>
        <v/>
      </c>
    </row>
    <row r="45">
      <c r="A45" s="39" t="n">
        <v>42</v>
      </c>
      <c r="B45" s="40">
        <f>TEXT(DATE(VARIABLES!$B$63+INT((VARIABLES!$B$64+$A45-2)/12),MOD(VARIABLES!$B$64+$A45-2,12)+1,1),"mmm-yy")</f>
        <v/>
      </c>
      <c r="C45" s="41">
        <f>IF($A45&lt;VARIABLES!$B$7,VARIABLES!$B$5/12,IF($A45&lt;VARIABLES!$B$8,VARIABLES!$B$6/12,VARIABLES!$B$9/12))</f>
        <v/>
      </c>
      <c r="D45" s="42">
        <f>IF($A45&lt;VARIABLES!$B$24,0,IF($A45=VARIABLES!$B$24,VARIABLES!$B$25+VARIABLES!$B$26,VARIABLES!$B$26))</f>
        <v/>
      </c>
      <c r="E45" s="42">
        <f>D45*VARIABLES!$B$27</f>
        <v/>
      </c>
      <c r="F45" s="42">
        <f>IF($A45&lt;VARIABLES!$B$24,0,(IF($A45=VARIABLES!$B$24,0,G44)+D45)*C45*VARIABLES!$B$28)</f>
        <v/>
      </c>
      <c r="G45" s="42">
        <f>IF($A45&lt;VARIABLES!$B$24,0,(IF($A45=VARIABLES!$B$24,0,G44)+D45)*(1+C45)-F45)</f>
        <v/>
      </c>
      <c r="H45" s="42">
        <f>IF($A45&lt;VARIABLES!$B$31,0,IF($A45=VARIABLES!$B$31,VARIABLES!$B$32+VARIABLES!$B$33,VARIABLES!$B$33))</f>
        <v/>
      </c>
      <c r="I45" s="42">
        <f>H45*VARIABLES!$B$34</f>
        <v/>
      </c>
      <c r="J45" s="42">
        <f>IF($A45&lt;VARIABLES!$B$31,0,(IF($A45=VARIABLES!$B$31,0,K44)+H45)*C45*VARIABLES!$B$35)</f>
        <v/>
      </c>
      <c r="K45" s="42">
        <f>IF($A45&lt;VARIABLES!$B$31,0,(IF($A45=VARIABLES!$B$31,0,K44)+H45)*(1+C45)-J45)</f>
        <v/>
      </c>
      <c r="L45" s="42">
        <f>IF($A45&lt;VARIABLES!$B$38,0,IF($A45=VARIABLES!$B$38,VARIABLES!$B$39+VARIABLES!$B$40,VARIABLES!$B$40))</f>
        <v/>
      </c>
      <c r="M45" s="42">
        <f>L45*VARIABLES!$B$41</f>
        <v/>
      </c>
      <c r="N45" s="42">
        <f>IF($A45&lt;VARIABLES!$B$38,0,(IF($A45=VARIABLES!$B$38,0,O44)+L45)*C45*VARIABLES!$B$42)</f>
        <v/>
      </c>
      <c r="O45" s="42">
        <f>IF($A45&lt;VARIABLES!$B$38,0,(IF($A45=VARIABLES!$B$38,0,O44)+L45)*(1+C45)-N45)</f>
        <v/>
      </c>
      <c r="P45" s="42">
        <f>IF($A45&lt;VARIABLES!$B$45,0,IF($A45=VARIABLES!$B$45,VARIABLES!$B$46+VARIABLES!$B$47,VARIABLES!$B$47))</f>
        <v/>
      </c>
      <c r="Q45" s="42">
        <f>P45*VARIABLES!$B$48</f>
        <v/>
      </c>
      <c r="R45" s="42">
        <f>IF($A45&lt;VARIABLES!$B$45,0,(IF($A45=VARIABLES!$B$45,0,S44)+P45)*C45*VARIABLES!$B$49)</f>
        <v/>
      </c>
      <c r="S45" s="42">
        <f>IF($A45&lt;VARIABLES!$B$45,0,(IF($A45=VARIABLES!$B$45,0,S44)+P45)*(1+C45)-R45)</f>
        <v/>
      </c>
      <c r="T45" s="43">
        <f>IF($A45&lt;VARIABLES!$B$53,0,MIN(VARIABLES!$B$52,INT(($A45-VARIABLES!$B$53)/VARIABLES!$B$54)+1)*VARIABLES!$B$55)</f>
        <v/>
      </c>
      <c r="U45" s="42">
        <f>T45*VARIABLES!$B$57+IF(AND($A45&gt;=VARIABLES!$B$53,MOD($A45-VARIABLES!$B$53,VARIABLES!$B$54)=0,INT(($A45-VARIABLES!$B$53)/VARIABLES!$B$54)&lt;VARIABLES!$B$52),VARIABLES!$B$55*VARIABLES!$B$56,0)</f>
        <v/>
      </c>
      <c r="V45" s="42">
        <f>U45*VARIABLES!$B$58</f>
        <v/>
      </c>
      <c r="W45" s="42">
        <f>IF($A45&lt;VARIABLES!$B$53,0,(IF($A45&lt;VARIABLES!$B$53+1,0,X44)+U45)*C45*VARIABLES!$B$59)</f>
        <v/>
      </c>
      <c r="X45" s="42">
        <f>IF($A45&lt;VARIABLES!$B$53,0,(IF($A45&lt;VARIABLES!$B$53+1,0,X44)+U45)*(1+C45)-W45)</f>
        <v/>
      </c>
      <c r="Y45" s="42">
        <f>D45+H45+L45+P45+U45</f>
        <v/>
      </c>
      <c r="Z45" s="42">
        <f>E45+I45+M45+Q45+V45</f>
        <v/>
      </c>
      <c r="AA45" s="42">
        <f>F45+J45+N45+R45+W45</f>
        <v/>
      </c>
      <c r="AB45" s="42">
        <f>Y45*VARIABLES!$B$14*VARIABLES!$B$15</f>
        <v/>
      </c>
      <c r="AC45" s="33">
        <f>Z45+AA45+AB45</f>
        <v/>
      </c>
      <c r="AD45" s="34">
        <f>G45+K45+O45+S45+X45</f>
        <v/>
      </c>
      <c r="AE45" s="42">
        <f>0</f>
        <v/>
      </c>
      <c r="AF45" s="42">
        <f>Z45*VARIABLES!$B$19</f>
        <v/>
      </c>
      <c r="AG45" s="42">
        <f>AA45*VARIABLES!$B$18</f>
        <v/>
      </c>
      <c r="AH45" s="42">
        <f>VARIABLES!$B$20</f>
        <v/>
      </c>
      <c r="AI45" s="42">
        <f>IF(MOD($A45,12)=0,VARIABLES!$B$21,0)</f>
        <v/>
      </c>
      <c r="AJ45" s="35">
        <f>AE45+AF45+AG45+AH45+AI45</f>
        <v/>
      </c>
      <c r="AK45" s="36">
        <f>IF($A45&lt;VARIABLES!$B$7,VARIABLES!$B$11,0)</f>
        <v/>
      </c>
      <c r="AL45" s="44">
        <f>AC45-AJ45-AK45</f>
        <v/>
      </c>
      <c r="AM45" s="44">
        <f>AM44+AL45</f>
        <v/>
      </c>
      <c r="AN45" s="38">
        <f>AN44+AK45</f>
        <v/>
      </c>
    </row>
    <row r="46">
      <c r="A46" s="28" t="n">
        <v>43</v>
      </c>
      <c r="B46" s="29">
        <f>TEXT(DATE(VARIABLES!$B$63+INT((VARIABLES!$B$64+$A46-2)/12),MOD(VARIABLES!$B$64+$A46-2,12)+1,1),"mmm-yy")</f>
        <v/>
      </c>
      <c r="C46" s="30">
        <f>IF($A46&lt;VARIABLES!$B$7,VARIABLES!$B$5/12,IF($A46&lt;VARIABLES!$B$8,VARIABLES!$B$6/12,VARIABLES!$B$9/12))</f>
        <v/>
      </c>
      <c r="D46" s="31">
        <f>IF($A46&lt;VARIABLES!$B$24,0,IF($A46=VARIABLES!$B$24,VARIABLES!$B$25+VARIABLES!$B$26,VARIABLES!$B$26))</f>
        <v/>
      </c>
      <c r="E46" s="31">
        <f>D46*VARIABLES!$B$27</f>
        <v/>
      </c>
      <c r="F46" s="31">
        <f>IF($A46&lt;VARIABLES!$B$24,0,(IF($A46=VARIABLES!$B$24,0,G45)+D46)*C46*VARIABLES!$B$28)</f>
        <v/>
      </c>
      <c r="G46" s="31">
        <f>IF($A46&lt;VARIABLES!$B$24,0,(IF($A46=VARIABLES!$B$24,0,G45)+D46)*(1+C46)-F46)</f>
        <v/>
      </c>
      <c r="H46" s="31">
        <f>IF($A46&lt;VARIABLES!$B$31,0,IF($A46=VARIABLES!$B$31,VARIABLES!$B$32+VARIABLES!$B$33,VARIABLES!$B$33))</f>
        <v/>
      </c>
      <c r="I46" s="31">
        <f>H46*VARIABLES!$B$34</f>
        <v/>
      </c>
      <c r="J46" s="31">
        <f>IF($A46&lt;VARIABLES!$B$31,0,(IF($A46=VARIABLES!$B$31,0,K45)+H46)*C46*VARIABLES!$B$35)</f>
        <v/>
      </c>
      <c r="K46" s="31">
        <f>IF($A46&lt;VARIABLES!$B$31,0,(IF($A46=VARIABLES!$B$31,0,K45)+H46)*(1+C46)-J46)</f>
        <v/>
      </c>
      <c r="L46" s="31">
        <f>IF($A46&lt;VARIABLES!$B$38,0,IF($A46=VARIABLES!$B$38,VARIABLES!$B$39+VARIABLES!$B$40,VARIABLES!$B$40))</f>
        <v/>
      </c>
      <c r="M46" s="31">
        <f>L46*VARIABLES!$B$41</f>
        <v/>
      </c>
      <c r="N46" s="31">
        <f>IF($A46&lt;VARIABLES!$B$38,0,(IF($A46=VARIABLES!$B$38,0,O45)+L46)*C46*VARIABLES!$B$42)</f>
        <v/>
      </c>
      <c r="O46" s="31">
        <f>IF($A46&lt;VARIABLES!$B$38,0,(IF($A46=VARIABLES!$B$38,0,O45)+L46)*(1+C46)-N46)</f>
        <v/>
      </c>
      <c r="P46" s="31">
        <f>IF($A46&lt;VARIABLES!$B$45,0,IF($A46=VARIABLES!$B$45,VARIABLES!$B$46+VARIABLES!$B$47,VARIABLES!$B$47))</f>
        <v/>
      </c>
      <c r="Q46" s="31">
        <f>P46*VARIABLES!$B$48</f>
        <v/>
      </c>
      <c r="R46" s="31">
        <f>IF($A46&lt;VARIABLES!$B$45,0,(IF($A46=VARIABLES!$B$45,0,S45)+P46)*C46*VARIABLES!$B$49)</f>
        <v/>
      </c>
      <c r="S46" s="31">
        <f>IF($A46&lt;VARIABLES!$B$45,0,(IF($A46=VARIABLES!$B$45,0,S45)+P46)*(1+C46)-R46)</f>
        <v/>
      </c>
      <c r="T46" s="32">
        <f>IF($A46&lt;VARIABLES!$B$53,0,MIN(VARIABLES!$B$52,INT(($A46-VARIABLES!$B$53)/VARIABLES!$B$54)+1)*VARIABLES!$B$55)</f>
        <v/>
      </c>
      <c r="U46" s="31">
        <f>T46*VARIABLES!$B$57+IF(AND($A46&gt;=VARIABLES!$B$53,MOD($A46-VARIABLES!$B$53,VARIABLES!$B$54)=0,INT(($A46-VARIABLES!$B$53)/VARIABLES!$B$54)&lt;VARIABLES!$B$52),VARIABLES!$B$55*VARIABLES!$B$56,0)</f>
        <v/>
      </c>
      <c r="V46" s="31">
        <f>U46*VARIABLES!$B$58</f>
        <v/>
      </c>
      <c r="W46" s="31">
        <f>IF($A46&lt;VARIABLES!$B$53,0,(IF($A46&lt;VARIABLES!$B$53+1,0,X45)+U46)*C46*VARIABLES!$B$59)</f>
        <v/>
      </c>
      <c r="X46" s="31">
        <f>IF($A46&lt;VARIABLES!$B$53,0,(IF($A46&lt;VARIABLES!$B$53+1,0,X45)+U46)*(1+C46)-W46)</f>
        <v/>
      </c>
      <c r="Y46" s="31">
        <f>D46+H46+L46+P46+U46</f>
        <v/>
      </c>
      <c r="Z46" s="31">
        <f>E46+I46+M46+Q46+V46</f>
        <v/>
      </c>
      <c r="AA46" s="31">
        <f>F46+J46+N46+R46+W46</f>
        <v/>
      </c>
      <c r="AB46" s="31">
        <f>Y46*VARIABLES!$B$14*VARIABLES!$B$15</f>
        <v/>
      </c>
      <c r="AC46" s="33">
        <f>Z46+AA46+AB46</f>
        <v/>
      </c>
      <c r="AD46" s="34">
        <f>G46+K46+O46+S46+X46</f>
        <v/>
      </c>
      <c r="AE46" s="31">
        <f>0</f>
        <v/>
      </c>
      <c r="AF46" s="31">
        <f>Z46*VARIABLES!$B$19</f>
        <v/>
      </c>
      <c r="AG46" s="31">
        <f>AA46*VARIABLES!$B$18</f>
        <v/>
      </c>
      <c r="AH46" s="31">
        <f>VARIABLES!$B$20</f>
        <v/>
      </c>
      <c r="AI46" s="31">
        <f>IF(MOD($A46,12)=0,VARIABLES!$B$21,0)</f>
        <v/>
      </c>
      <c r="AJ46" s="35">
        <f>AE46+AF46+AG46+AH46+AI46</f>
        <v/>
      </c>
      <c r="AK46" s="36">
        <f>IF($A46&lt;VARIABLES!$B$7,VARIABLES!$B$11,0)</f>
        <v/>
      </c>
      <c r="AL46" s="37">
        <f>AC46-AJ46-AK46</f>
        <v/>
      </c>
      <c r="AM46" s="37">
        <f>AM45+AL46</f>
        <v/>
      </c>
      <c r="AN46" s="38">
        <f>AN45+AK46</f>
        <v/>
      </c>
    </row>
    <row r="47">
      <c r="A47" s="39" t="n">
        <v>44</v>
      </c>
      <c r="B47" s="40">
        <f>TEXT(DATE(VARIABLES!$B$63+INT((VARIABLES!$B$64+$A47-2)/12),MOD(VARIABLES!$B$64+$A47-2,12)+1,1),"mmm-yy")</f>
        <v/>
      </c>
      <c r="C47" s="41">
        <f>IF($A47&lt;VARIABLES!$B$7,VARIABLES!$B$5/12,IF($A47&lt;VARIABLES!$B$8,VARIABLES!$B$6/12,VARIABLES!$B$9/12))</f>
        <v/>
      </c>
      <c r="D47" s="42">
        <f>IF($A47&lt;VARIABLES!$B$24,0,IF($A47=VARIABLES!$B$24,VARIABLES!$B$25+VARIABLES!$B$26,VARIABLES!$B$26))</f>
        <v/>
      </c>
      <c r="E47" s="42">
        <f>D47*VARIABLES!$B$27</f>
        <v/>
      </c>
      <c r="F47" s="42">
        <f>IF($A47&lt;VARIABLES!$B$24,0,(IF($A47=VARIABLES!$B$24,0,G46)+D47)*C47*VARIABLES!$B$28)</f>
        <v/>
      </c>
      <c r="G47" s="42">
        <f>IF($A47&lt;VARIABLES!$B$24,0,(IF($A47=VARIABLES!$B$24,0,G46)+D47)*(1+C47)-F47)</f>
        <v/>
      </c>
      <c r="H47" s="42">
        <f>IF($A47&lt;VARIABLES!$B$31,0,IF($A47=VARIABLES!$B$31,VARIABLES!$B$32+VARIABLES!$B$33,VARIABLES!$B$33))</f>
        <v/>
      </c>
      <c r="I47" s="42">
        <f>H47*VARIABLES!$B$34</f>
        <v/>
      </c>
      <c r="J47" s="42">
        <f>IF($A47&lt;VARIABLES!$B$31,0,(IF($A47=VARIABLES!$B$31,0,K46)+H47)*C47*VARIABLES!$B$35)</f>
        <v/>
      </c>
      <c r="K47" s="42">
        <f>IF($A47&lt;VARIABLES!$B$31,0,(IF($A47=VARIABLES!$B$31,0,K46)+H47)*(1+C47)-J47)</f>
        <v/>
      </c>
      <c r="L47" s="42">
        <f>IF($A47&lt;VARIABLES!$B$38,0,IF($A47=VARIABLES!$B$38,VARIABLES!$B$39+VARIABLES!$B$40,VARIABLES!$B$40))</f>
        <v/>
      </c>
      <c r="M47" s="42">
        <f>L47*VARIABLES!$B$41</f>
        <v/>
      </c>
      <c r="N47" s="42">
        <f>IF($A47&lt;VARIABLES!$B$38,0,(IF($A47=VARIABLES!$B$38,0,O46)+L47)*C47*VARIABLES!$B$42)</f>
        <v/>
      </c>
      <c r="O47" s="42">
        <f>IF($A47&lt;VARIABLES!$B$38,0,(IF($A47=VARIABLES!$B$38,0,O46)+L47)*(1+C47)-N47)</f>
        <v/>
      </c>
      <c r="P47" s="42">
        <f>IF($A47&lt;VARIABLES!$B$45,0,IF($A47=VARIABLES!$B$45,VARIABLES!$B$46+VARIABLES!$B$47,VARIABLES!$B$47))</f>
        <v/>
      </c>
      <c r="Q47" s="42">
        <f>P47*VARIABLES!$B$48</f>
        <v/>
      </c>
      <c r="R47" s="42">
        <f>IF($A47&lt;VARIABLES!$B$45,0,(IF($A47=VARIABLES!$B$45,0,S46)+P47)*C47*VARIABLES!$B$49)</f>
        <v/>
      </c>
      <c r="S47" s="42">
        <f>IF($A47&lt;VARIABLES!$B$45,0,(IF($A47=VARIABLES!$B$45,0,S46)+P47)*(1+C47)-R47)</f>
        <v/>
      </c>
      <c r="T47" s="43">
        <f>IF($A47&lt;VARIABLES!$B$53,0,MIN(VARIABLES!$B$52,INT(($A47-VARIABLES!$B$53)/VARIABLES!$B$54)+1)*VARIABLES!$B$55)</f>
        <v/>
      </c>
      <c r="U47" s="42">
        <f>T47*VARIABLES!$B$57+IF(AND($A47&gt;=VARIABLES!$B$53,MOD($A47-VARIABLES!$B$53,VARIABLES!$B$54)=0,INT(($A47-VARIABLES!$B$53)/VARIABLES!$B$54)&lt;VARIABLES!$B$52),VARIABLES!$B$55*VARIABLES!$B$56,0)</f>
        <v/>
      </c>
      <c r="V47" s="42">
        <f>U47*VARIABLES!$B$58</f>
        <v/>
      </c>
      <c r="W47" s="42">
        <f>IF($A47&lt;VARIABLES!$B$53,0,(IF($A47&lt;VARIABLES!$B$53+1,0,X46)+U47)*C47*VARIABLES!$B$59)</f>
        <v/>
      </c>
      <c r="X47" s="42">
        <f>IF($A47&lt;VARIABLES!$B$53,0,(IF($A47&lt;VARIABLES!$B$53+1,0,X46)+U47)*(1+C47)-W47)</f>
        <v/>
      </c>
      <c r="Y47" s="42">
        <f>D47+H47+L47+P47+U47</f>
        <v/>
      </c>
      <c r="Z47" s="42">
        <f>E47+I47+M47+Q47+V47</f>
        <v/>
      </c>
      <c r="AA47" s="42">
        <f>F47+J47+N47+R47+W47</f>
        <v/>
      </c>
      <c r="AB47" s="42">
        <f>Y47*VARIABLES!$B$14*VARIABLES!$B$15</f>
        <v/>
      </c>
      <c r="AC47" s="33">
        <f>Z47+AA47+AB47</f>
        <v/>
      </c>
      <c r="AD47" s="34">
        <f>G47+K47+O47+S47+X47</f>
        <v/>
      </c>
      <c r="AE47" s="42">
        <f>0</f>
        <v/>
      </c>
      <c r="AF47" s="42">
        <f>Z47*VARIABLES!$B$19</f>
        <v/>
      </c>
      <c r="AG47" s="42">
        <f>AA47*VARIABLES!$B$18</f>
        <v/>
      </c>
      <c r="AH47" s="42">
        <f>VARIABLES!$B$20</f>
        <v/>
      </c>
      <c r="AI47" s="42">
        <f>IF(MOD($A47,12)=0,VARIABLES!$B$21,0)</f>
        <v/>
      </c>
      <c r="AJ47" s="35">
        <f>AE47+AF47+AG47+AH47+AI47</f>
        <v/>
      </c>
      <c r="AK47" s="36">
        <f>IF($A47&lt;VARIABLES!$B$7,VARIABLES!$B$11,0)</f>
        <v/>
      </c>
      <c r="AL47" s="44">
        <f>AC47-AJ47-AK47</f>
        <v/>
      </c>
      <c r="AM47" s="44">
        <f>AM46+AL47</f>
        <v/>
      </c>
      <c r="AN47" s="38">
        <f>AN46+AK47</f>
        <v/>
      </c>
    </row>
    <row r="48">
      <c r="A48" s="28" t="n">
        <v>45</v>
      </c>
      <c r="B48" s="29">
        <f>TEXT(DATE(VARIABLES!$B$63+INT((VARIABLES!$B$64+$A48-2)/12),MOD(VARIABLES!$B$64+$A48-2,12)+1,1),"mmm-yy")</f>
        <v/>
      </c>
      <c r="C48" s="30">
        <f>IF($A48&lt;VARIABLES!$B$7,VARIABLES!$B$5/12,IF($A48&lt;VARIABLES!$B$8,VARIABLES!$B$6/12,VARIABLES!$B$9/12))</f>
        <v/>
      </c>
      <c r="D48" s="31">
        <f>IF($A48&lt;VARIABLES!$B$24,0,IF($A48=VARIABLES!$B$24,VARIABLES!$B$25+VARIABLES!$B$26,VARIABLES!$B$26))</f>
        <v/>
      </c>
      <c r="E48" s="31">
        <f>D48*VARIABLES!$B$27</f>
        <v/>
      </c>
      <c r="F48" s="31">
        <f>IF($A48&lt;VARIABLES!$B$24,0,(IF($A48=VARIABLES!$B$24,0,G47)+D48)*C48*VARIABLES!$B$28)</f>
        <v/>
      </c>
      <c r="G48" s="31">
        <f>IF($A48&lt;VARIABLES!$B$24,0,(IF($A48=VARIABLES!$B$24,0,G47)+D48)*(1+C48)-F48)</f>
        <v/>
      </c>
      <c r="H48" s="31">
        <f>IF($A48&lt;VARIABLES!$B$31,0,IF($A48=VARIABLES!$B$31,VARIABLES!$B$32+VARIABLES!$B$33,VARIABLES!$B$33))</f>
        <v/>
      </c>
      <c r="I48" s="31">
        <f>H48*VARIABLES!$B$34</f>
        <v/>
      </c>
      <c r="J48" s="31">
        <f>IF($A48&lt;VARIABLES!$B$31,0,(IF($A48=VARIABLES!$B$31,0,K47)+H48)*C48*VARIABLES!$B$35)</f>
        <v/>
      </c>
      <c r="K48" s="31">
        <f>IF($A48&lt;VARIABLES!$B$31,0,(IF($A48=VARIABLES!$B$31,0,K47)+H48)*(1+C48)-J48)</f>
        <v/>
      </c>
      <c r="L48" s="31">
        <f>IF($A48&lt;VARIABLES!$B$38,0,IF($A48=VARIABLES!$B$38,VARIABLES!$B$39+VARIABLES!$B$40,VARIABLES!$B$40))</f>
        <v/>
      </c>
      <c r="M48" s="31">
        <f>L48*VARIABLES!$B$41</f>
        <v/>
      </c>
      <c r="N48" s="31">
        <f>IF($A48&lt;VARIABLES!$B$38,0,(IF($A48=VARIABLES!$B$38,0,O47)+L48)*C48*VARIABLES!$B$42)</f>
        <v/>
      </c>
      <c r="O48" s="31">
        <f>IF($A48&lt;VARIABLES!$B$38,0,(IF($A48=VARIABLES!$B$38,0,O47)+L48)*(1+C48)-N48)</f>
        <v/>
      </c>
      <c r="P48" s="31">
        <f>IF($A48&lt;VARIABLES!$B$45,0,IF($A48=VARIABLES!$B$45,VARIABLES!$B$46+VARIABLES!$B$47,VARIABLES!$B$47))</f>
        <v/>
      </c>
      <c r="Q48" s="31">
        <f>P48*VARIABLES!$B$48</f>
        <v/>
      </c>
      <c r="R48" s="31">
        <f>IF($A48&lt;VARIABLES!$B$45,0,(IF($A48=VARIABLES!$B$45,0,S47)+P48)*C48*VARIABLES!$B$49)</f>
        <v/>
      </c>
      <c r="S48" s="31">
        <f>IF($A48&lt;VARIABLES!$B$45,0,(IF($A48=VARIABLES!$B$45,0,S47)+P48)*(1+C48)-R48)</f>
        <v/>
      </c>
      <c r="T48" s="32">
        <f>IF($A48&lt;VARIABLES!$B$53,0,MIN(VARIABLES!$B$52,INT(($A48-VARIABLES!$B$53)/VARIABLES!$B$54)+1)*VARIABLES!$B$55)</f>
        <v/>
      </c>
      <c r="U48" s="31">
        <f>T48*VARIABLES!$B$57+IF(AND($A48&gt;=VARIABLES!$B$53,MOD($A48-VARIABLES!$B$53,VARIABLES!$B$54)=0,INT(($A48-VARIABLES!$B$53)/VARIABLES!$B$54)&lt;VARIABLES!$B$52),VARIABLES!$B$55*VARIABLES!$B$56,0)</f>
        <v/>
      </c>
      <c r="V48" s="31">
        <f>U48*VARIABLES!$B$58</f>
        <v/>
      </c>
      <c r="W48" s="31">
        <f>IF($A48&lt;VARIABLES!$B$53,0,(IF($A48&lt;VARIABLES!$B$53+1,0,X47)+U48)*C48*VARIABLES!$B$59)</f>
        <v/>
      </c>
      <c r="X48" s="31">
        <f>IF($A48&lt;VARIABLES!$B$53,0,(IF($A48&lt;VARIABLES!$B$53+1,0,X47)+U48)*(1+C48)-W48)</f>
        <v/>
      </c>
      <c r="Y48" s="31">
        <f>D48+H48+L48+P48+U48</f>
        <v/>
      </c>
      <c r="Z48" s="31">
        <f>E48+I48+M48+Q48+V48</f>
        <v/>
      </c>
      <c r="AA48" s="31">
        <f>F48+J48+N48+R48+W48</f>
        <v/>
      </c>
      <c r="AB48" s="31">
        <f>Y48*VARIABLES!$B$14*VARIABLES!$B$15</f>
        <v/>
      </c>
      <c r="AC48" s="33">
        <f>Z48+AA48+AB48</f>
        <v/>
      </c>
      <c r="AD48" s="34">
        <f>G48+K48+O48+S48+X48</f>
        <v/>
      </c>
      <c r="AE48" s="31">
        <f>0</f>
        <v/>
      </c>
      <c r="AF48" s="31">
        <f>Z48*VARIABLES!$B$19</f>
        <v/>
      </c>
      <c r="AG48" s="31">
        <f>AA48*VARIABLES!$B$18</f>
        <v/>
      </c>
      <c r="AH48" s="31">
        <f>VARIABLES!$B$20</f>
        <v/>
      </c>
      <c r="AI48" s="31">
        <f>IF(MOD($A48,12)=0,VARIABLES!$B$21,0)</f>
        <v/>
      </c>
      <c r="AJ48" s="35">
        <f>AE48+AF48+AG48+AH48+AI48</f>
        <v/>
      </c>
      <c r="AK48" s="36">
        <f>IF($A48&lt;VARIABLES!$B$7,VARIABLES!$B$11,0)</f>
        <v/>
      </c>
      <c r="AL48" s="37">
        <f>AC48-AJ48-AK48</f>
        <v/>
      </c>
      <c r="AM48" s="37">
        <f>AM47+AL48</f>
        <v/>
      </c>
      <c r="AN48" s="38">
        <f>AN47+AK48</f>
        <v/>
      </c>
    </row>
    <row r="49">
      <c r="A49" s="39" t="n">
        <v>46</v>
      </c>
      <c r="B49" s="40">
        <f>TEXT(DATE(VARIABLES!$B$63+INT((VARIABLES!$B$64+$A49-2)/12),MOD(VARIABLES!$B$64+$A49-2,12)+1,1),"mmm-yy")</f>
        <v/>
      </c>
      <c r="C49" s="41">
        <f>IF($A49&lt;VARIABLES!$B$7,VARIABLES!$B$5/12,IF($A49&lt;VARIABLES!$B$8,VARIABLES!$B$6/12,VARIABLES!$B$9/12))</f>
        <v/>
      </c>
      <c r="D49" s="42">
        <f>IF($A49&lt;VARIABLES!$B$24,0,IF($A49=VARIABLES!$B$24,VARIABLES!$B$25+VARIABLES!$B$26,VARIABLES!$B$26))</f>
        <v/>
      </c>
      <c r="E49" s="42">
        <f>D49*VARIABLES!$B$27</f>
        <v/>
      </c>
      <c r="F49" s="42">
        <f>IF($A49&lt;VARIABLES!$B$24,0,(IF($A49=VARIABLES!$B$24,0,G48)+D49)*C49*VARIABLES!$B$28)</f>
        <v/>
      </c>
      <c r="G49" s="42">
        <f>IF($A49&lt;VARIABLES!$B$24,0,(IF($A49=VARIABLES!$B$24,0,G48)+D49)*(1+C49)-F49)</f>
        <v/>
      </c>
      <c r="H49" s="42">
        <f>IF($A49&lt;VARIABLES!$B$31,0,IF($A49=VARIABLES!$B$31,VARIABLES!$B$32+VARIABLES!$B$33,VARIABLES!$B$33))</f>
        <v/>
      </c>
      <c r="I49" s="42">
        <f>H49*VARIABLES!$B$34</f>
        <v/>
      </c>
      <c r="J49" s="42">
        <f>IF($A49&lt;VARIABLES!$B$31,0,(IF($A49=VARIABLES!$B$31,0,K48)+H49)*C49*VARIABLES!$B$35)</f>
        <v/>
      </c>
      <c r="K49" s="42">
        <f>IF($A49&lt;VARIABLES!$B$31,0,(IF($A49=VARIABLES!$B$31,0,K48)+H49)*(1+C49)-J49)</f>
        <v/>
      </c>
      <c r="L49" s="42">
        <f>IF($A49&lt;VARIABLES!$B$38,0,IF($A49=VARIABLES!$B$38,VARIABLES!$B$39+VARIABLES!$B$40,VARIABLES!$B$40))</f>
        <v/>
      </c>
      <c r="M49" s="42">
        <f>L49*VARIABLES!$B$41</f>
        <v/>
      </c>
      <c r="N49" s="42">
        <f>IF($A49&lt;VARIABLES!$B$38,0,(IF($A49=VARIABLES!$B$38,0,O48)+L49)*C49*VARIABLES!$B$42)</f>
        <v/>
      </c>
      <c r="O49" s="42">
        <f>IF($A49&lt;VARIABLES!$B$38,0,(IF($A49=VARIABLES!$B$38,0,O48)+L49)*(1+C49)-N49)</f>
        <v/>
      </c>
      <c r="P49" s="42">
        <f>IF($A49&lt;VARIABLES!$B$45,0,IF($A49=VARIABLES!$B$45,VARIABLES!$B$46+VARIABLES!$B$47,VARIABLES!$B$47))</f>
        <v/>
      </c>
      <c r="Q49" s="42">
        <f>P49*VARIABLES!$B$48</f>
        <v/>
      </c>
      <c r="R49" s="42">
        <f>IF($A49&lt;VARIABLES!$B$45,0,(IF($A49=VARIABLES!$B$45,0,S48)+P49)*C49*VARIABLES!$B$49)</f>
        <v/>
      </c>
      <c r="S49" s="42">
        <f>IF($A49&lt;VARIABLES!$B$45,0,(IF($A49=VARIABLES!$B$45,0,S48)+P49)*(1+C49)-R49)</f>
        <v/>
      </c>
      <c r="T49" s="43">
        <f>IF($A49&lt;VARIABLES!$B$53,0,MIN(VARIABLES!$B$52,INT(($A49-VARIABLES!$B$53)/VARIABLES!$B$54)+1)*VARIABLES!$B$55)</f>
        <v/>
      </c>
      <c r="U49" s="42">
        <f>T49*VARIABLES!$B$57+IF(AND($A49&gt;=VARIABLES!$B$53,MOD($A49-VARIABLES!$B$53,VARIABLES!$B$54)=0,INT(($A49-VARIABLES!$B$53)/VARIABLES!$B$54)&lt;VARIABLES!$B$52),VARIABLES!$B$55*VARIABLES!$B$56,0)</f>
        <v/>
      </c>
      <c r="V49" s="42">
        <f>U49*VARIABLES!$B$58</f>
        <v/>
      </c>
      <c r="W49" s="42">
        <f>IF($A49&lt;VARIABLES!$B$53,0,(IF($A49&lt;VARIABLES!$B$53+1,0,X48)+U49)*C49*VARIABLES!$B$59)</f>
        <v/>
      </c>
      <c r="X49" s="42">
        <f>IF($A49&lt;VARIABLES!$B$53,0,(IF($A49&lt;VARIABLES!$B$53+1,0,X48)+U49)*(1+C49)-W49)</f>
        <v/>
      </c>
      <c r="Y49" s="42">
        <f>D49+H49+L49+P49+U49</f>
        <v/>
      </c>
      <c r="Z49" s="42">
        <f>E49+I49+M49+Q49+V49</f>
        <v/>
      </c>
      <c r="AA49" s="42">
        <f>F49+J49+N49+R49+W49</f>
        <v/>
      </c>
      <c r="AB49" s="42">
        <f>Y49*VARIABLES!$B$14*VARIABLES!$B$15</f>
        <v/>
      </c>
      <c r="AC49" s="33">
        <f>Z49+AA49+AB49</f>
        <v/>
      </c>
      <c r="AD49" s="34">
        <f>G49+K49+O49+S49+X49</f>
        <v/>
      </c>
      <c r="AE49" s="42">
        <f>0</f>
        <v/>
      </c>
      <c r="AF49" s="42">
        <f>Z49*VARIABLES!$B$19</f>
        <v/>
      </c>
      <c r="AG49" s="42">
        <f>AA49*VARIABLES!$B$18</f>
        <v/>
      </c>
      <c r="AH49" s="42">
        <f>VARIABLES!$B$20</f>
        <v/>
      </c>
      <c r="AI49" s="42">
        <f>IF(MOD($A49,12)=0,VARIABLES!$B$21,0)</f>
        <v/>
      </c>
      <c r="AJ49" s="35">
        <f>AE49+AF49+AG49+AH49+AI49</f>
        <v/>
      </c>
      <c r="AK49" s="36">
        <f>IF($A49&lt;VARIABLES!$B$7,VARIABLES!$B$11,0)</f>
        <v/>
      </c>
      <c r="AL49" s="44">
        <f>AC49-AJ49-AK49</f>
        <v/>
      </c>
      <c r="AM49" s="44">
        <f>AM48+AL49</f>
        <v/>
      </c>
      <c r="AN49" s="38">
        <f>AN48+AK49</f>
        <v/>
      </c>
    </row>
    <row r="50">
      <c r="A50" s="28" t="n">
        <v>47</v>
      </c>
      <c r="B50" s="29">
        <f>TEXT(DATE(VARIABLES!$B$63+INT((VARIABLES!$B$64+$A50-2)/12),MOD(VARIABLES!$B$64+$A50-2,12)+1,1),"mmm-yy")</f>
        <v/>
      </c>
      <c r="C50" s="30">
        <f>IF($A50&lt;VARIABLES!$B$7,VARIABLES!$B$5/12,IF($A50&lt;VARIABLES!$B$8,VARIABLES!$B$6/12,VARIABLES!$B$9/12))</f>
        <v/>
      </c>
      <c r="D50" s="31">
        <f>IF($A50&lt;VARIABLES!$B$24,0,IF($A50=VARIABLES!$B$24,VARIABLES!$B$25+VARIABLES!$B$26,VARIABLES!$B$26))</f>
        <v/>
      </c>
      <c r="E50" s="31">
        <f>D50*VARIABLES!$B$27</f>
        <v/>
      </c>
      <c r="F50" s="31">
        <f>IF($A50&lt;VARIABLES!$B$24,0,(IF($A50=VARIABLES!$B$24,0,G49)+D50)*C50*VARIABLES!$B$28)</f>
        <v/>
      </c>
      <c r="G50" s="31">
        <f>IF($A50&lt;VARIABLES!$B$24,0,(IF($A50=VARIABLES!$B$24,0,G49)+D50)*(1+C50)-F50)</f>
        <v/>
      </c>
      <c r="H50" s="31">
        <f>IF($A50&lt;VARIABLES!$B$31,0,IF($A50=VARIABLES!$B$31,VARIABLES!$B$32+VARIABLES!$B$33,VARIABLES!$B$33))</f>
        <v/>
      </c>
      <c r="I50" s="31">
        <f>H50*VARIABLES!$B$34</f>
        <v/>
      </c>
      <c r="J50" s="31">
        <f>IF($A50&lt;VARIABLES!$B$31,0,(IF($A50=VARIABLES!$B$31,0,K49)+H50)*C50*VARIABLES!$B$35)</f>
        <v/>
      </c>
      <c r="K50" s="31">
        <f>IF($A50&lt;VARIABLES!$B$31,0,(IF($A50=VARIABLES!$B$31,0,K49)+H50)*(1+C50)-J50)</f>
        <v/>
      </c>
      <c r="L50" s="31">
        <f>IF($A50&lt;VARIABLES!$B$38,0,IF($A50=VARIABLES!$B$38,VARIABLES!$B$39+VARIABLES!$B$40,VARIABLES!$B$40))</f>
        <v/>
      </c>
      <c r="M50" s="31">
        <f>L50*VARIABLES!$B$41</f>
        <v/>
      </c>
      <c r="N50" s="31">
        <f>IF($A50&lt;VARIABLES!$B$38,0,(IF($A50=VARIABLES!$B$38,0,O49)+L50)*C50*VARIABLES!$B$42)</f>
        <v/>
      </c>
      <c r="O50" s="31">
        <f>IF($A50&lt;VARIABLES!$B$38,0,(IF($A50=VARIABLES!$B$38,0,O49)+L50)*(1+C50)-N50)</f>
        <v/>
      </c>
      <c r="P50" s="31">
        <f>IF($A50&lt;VARIABLES!$B$45,0,IF($A50=VARIABLES!$B$45,VARIABLES!$B$46+VARIABLES!$B$47,VARIABLES!$B$47))</f>
        <v/>
      </c>
      <c r="Q50" s="31">
        <f>P50*VARIABLES!$B$48</f>
        <v/>
      </c>
      <c r="R50" s="31">
        <f>IF($A50&lt;VARIABLES!$B$45,0,(IF($A50=VARIABLES!$B$45,0,S49)+P50)*C50*VARIABLES!$B$49)</f>
        <v/>
      </c>
      <c r="S50" s="31">
        <f>IF($A50&lt;VARIABLES!$B$45,0,(IF($A50=VARIABLES!$B$45,0,S49)+P50)*(1+C50)-R50)</f>
        <v/>
      </c>
      <c r="T50" s="32">
        <f>IF($A50&lt;VARIABLES!$B$53,0,MIN(VARIABLES!$B$52,INT(($A50-VARIABLES!$B$53)/VARIABLES!$B$54)+1)*VARIABLES!$B$55)</f>
        <v/>
      </c>
      <c r="U50" s="31">
        <f>T50*VARIABLES!$B$57+IF(AND($A50&gt;=VARIABLES!$B$53,MOD($A50-VARIABLES!$B$53,VARIABLES!$B$54)=0,INT(($A50-VARIABLES!$B$53)/VARIABLES!$B$54)&lt;VARIABLES!$B$52),VARIABLES!$B$55*VARIABLES!$B$56,0)</f>
        <v/>
      </c>
      <c r="V50" s="31">
        <f>U50*VARIABLES!$B$58</f>
        <v/>
      </c>
      <c r="W50" s="31">
        <f>IF($A50&lt;VARIABLES!$B$53,0,(IF($A50&lt;VARIABLES!$B$53+1,0,X49)+U50)*C50*VARIABLES!$B$59)</f>
        <v/>
      </c>
      <c r="X50" s="31">
        <f>IF($A50&lt;VARIABLES!$B$53,0,(IF($A50&lt;VARIABLES!$B$53+1,0,X49)+U50)*(1+C50)-W50)</f>
        <v/>
      </c>
      <c r="Y50" s="31">
        <f>D50+H50+L50+P50+U50</f>
        <v/>
      </c>
      <c r="Z50" s="31">
        <f>E50+I50+M50+Q50+V50</f>
        <v/>
      </c>
      <c r="AA50" s="31">
        <f>F50+J50+N50+R50+W50</f>
        <v/>
      </c>
      <c r="AB50" s="31">
        <f>Y50*VARIABLES!$B$14*VARIABLES!$B$15</f>
        <v/>
      </c>
      <c r="AC50" s="33">
        <f>Z50+AA50+AB50</f>
        <v/>
      </c>
      <c r="AD50" s="34">
        <f>G50+K50+O50+S50+X50</f>
        <v/>
      </c>
      <c r="AE50" s="31">
        <f>0</f>
        <v/>
      </c>
      <c r="AF50" s="31">
        <f>Z50*VARIABLES!$B$19</f>
        <v/>
      </c>
      <c r="AG50" s="31">
        <f>AA50*VARIABLES!$B$18</f>
        <v/>
      </c>
      <c r="AH50" s="31">
        <f>VARIABLES!$B$20</f>
        <v/>
      </c>
      <c r="AI50" s="31">
        <f>IF(MOD($A50,12)=0,VARIABLES!$B$21,0)</f>
        <v/>
      </c>
      <c r="AJ50" s="35">
        <f>AE50+AF50+AG50+AH50+AI50</f>
        <v/>
      </c>
      <c r="AK50" s="36">
        <f>IF($A50&lt;VARIABLES!$B$7,VARIABLES!$B$11,0)</f>
        <v/>
      </c>
      <c r="AL50" s="37">
        <f>AC50-AJ50-AK50</f>
        <v/>
      </c>
      <c r="AM50" s="37">
        <f>AM49+AL50</f>
        <v/>
      </c>
      <c r="AN50" s="38">
        <f>AN49+AK50</f>
        <v/>
      </c>
    </row>
    <row r="51">
      <c r="A51" s="39" t="n">
        <v>48</v>
      </c>
      <c r="B51" s="40">
        <f>TEXT(DATE(VARIABLES!$B$63+INT((VARIABLES!$B$64+$A51-2)/12),MOD(VARIABLES!$B$64+$A51-2,12)+1,1),"mmm-yy")</f>
        <v/>
      </c>
      <c r="C51" s="41">
        <f>IF($A51&lt;VARIABLES!$B$7,VARIABLES!$B$5/12,IF($A51&lt;VARIABLES!$B$8,VARIABLES!$B$6/12,VARIABLES!$B$9/12))</f>
        <v/>
      </c>
      <c r="D51" s="42">
        <f>IF($A51&lt;VARIABLES!$B$24,0,IF($A51=VARIABLES!$B$24,VARIABLES!$B$25+VARIABLES!$B$26,VARIABLES!$B$26))</f>
        <v/>
      </c>
      <c r="E51" s="42">
        <f>D51*VARIABLES!$B$27</f>
        <v/>
      </c>
      <c r="F51" s="42">
        <f>IF($A51&lt;VARIABLES!$B$24,0,(IF($A51=VARIABLES!$B$24,0,G50)+D51)*C51*VARIABLES!$B$28)</f>
        <v/>
      </c>
      <c r="G51" s="42">
        <f>IF($A51&lt;VARIABLES!$B$24,0,(IF($A51=VARIABLES!$B$24,0,G50)+D51)*(1+C51)-F51)</f>
        <v/>
      </c>
      <c r="H51" s="42">
        <f>IF($A51&lt;VARIABLES!$B$31,0,IF($A51=VARIABLES!$B$31,VARIABLES!$B$32+VARIABLES!$B$33,VARIABLES!$B$33))</f>
        <v/>
      </c>
      <c r="I51" s="42">
        <f>H51*VARIABLES!$B$34</f>
        <v/>
      </c>
      <c r="J51" s="42">
        <f>IF($A51&lt;VARIABLES!$B$31,0,(IF($A51=VARIABLES!$B$31,0,K50)+H51)*C51*VARIABLES!$B$35)</f>
        <v/>
      </c>
      <c r="K51" s="42">
        <f>IF($A51&lt;VARIABLES!$B$31,0,(IF($A51=VARIABLES!$B$31,0,K50)+H51)*(1+C51)-J51)</f>
        <v/>
      </c>
      <c r="L51" s="42">
        <f>IF($A51&lt;VARIABLES!$B$38,0,IF($A51=VARIABLES!$B$38,VARIABLES!$B$39+VARIABLES!$B$40,VARIABLES!$B$40))</f>
        <v/>
      </c>
      <c r="M51" s="42">
        <f>L51*VARIABLES!$B$41</f>
        <v/>
      </c>
      <c r="N51" s="42">
        <f>IF($A51&lt;VARIABLES!$B$38,0,(IF($A51=VARIABLES!$B$38,0,O50)+L51)*C51*VARIABLES!$B$42)</f>
        <v/>
      </c>
      <c r="O51" s="42">
        <f>IF($A51&lt;VARIABLES!$B$38,0,(IF($A51=VARIABLES!$B$38,0,O50)+L51)*(1+C51)-N51)</f>
        <v/>
      </c>
      <c r="P51" s="42">
        <f>IF($A51&lt;VARIABLES!$B$45,0,IF($A51=VARIABLES!$B$45,VARIABLES!$B$46+VARIABLES!$B$47,VARIABLES!$B$47))</f>
        <v/>
      </c>
      <c r="Q51" s="42">
        <f>P51*VARIABLES!$B$48</f>
        <v/>
      </c>
      <c r="R51" s="42">
        <f>IF($A51&lt;VARIABLES!$B$45,0,(IF($A51=VARIABLES!$B$45,0,S50)+P51)*C51*VARIABLES!$B$49)</f>
        <v/>
      </c>
      <c r="S51" s="42">
        <f>IF($A51&lt;VARIABLES!$B$45,0,(IF($A51=VARIABLES!$B$45,0,S50)+P51)*(1+C51)-R51)</f>
        <v/>
      </c>
      <c r="T51" s="43">
        <f>IF($A51&lt;VARIABLES!$B$53,0,MIN(VARIABLES!$B$52,INT(($A51-VARIABLES!$B$53)/VARIABLES!$B$54)+1)*VARIABLES!$B$55)</f>
        <v/>
      </c>
      <c r="U51" s="42">
        <f>T51*VARIABLES!$B$57+IF(AND($A51&gt;=VARIABLES!$B$53,MOD($A51-VARIABLES!$B$53,VARIABLES!$B$54)=0,INT(($A51-VARIABLES!$B$53)/VARIABLES!$B$54)&lt;VARIABLES!$B$52),VARIABLES!$B$55*VARIABLES!$B$56,0)</f>
        <v/>
      </c>
      <c r="V51" s="42">
        <f>U51*VARIABLES!$B$58</f>
        <v/>
      </c>
      <c r="W51" s="42">
        <f>IF($A51&lt;VARIABLES!$B$53,0,(IF($A51&lt;VARIABLES!$B$53+1,0,X50)+U51)*C51*VARIABLES!$B$59)</f>
        <v/>
      </c>
      <c r="X51" s="42">
        <f>IF($A51&lt;VARIABLES!$B$53,0,(IF($A51&lt;VARIABLES!$B$53+1,0,X50)+U51)*(1+C51)-W51)</f>
        <v/>
      </c>
      <c r="Y51" s="42">
        <f>D51+H51+L51+P51+U51</f>
        <v/>
      </c>
      <c r="Z51" s="42">
        <f>E51+I51+M51+Q51+V51</f>
        <v/>
      </c>
      <c r="AA51" s="42">
        <f>F51+J51+N51+R51+W51</f>
        <v/>
      </c>
      <c r="AB51" s="42">
        <f>Y51*VARIABLES!$B$14*VARIABLES!$B$15</f>
        <v/>
      </c>
      <c r="AC51" s="33">
        <f>Z51+AA51+AB51</f>
        <v/>
      </c>
      <c r="AD51" s="34">
        <f>G51+K51+O51+S51+X51</f>
        <v/>
      </c>
      <c r="AE51" s="42">
        <f>0</f>
        <v/>
      </c>
      <c r="AF51" s="42">
        <f>Z51*VARIABLES!$B$19</f>
        <v/>
      </c>
      <c r="AG51" s="42">
        <f>AA51*VARIABLES!$B$18</f>
        <v/>
      </c>
      <c r="AH51" s="42">
        <f>VARIABLES!$B$20</f>
        <v/>
      </c>
      <c r="AI51" s="42">
        <f>IF(MOD($A51,12)=0,VARIABLES!$B$21,0)</f>
        <v/>
      </c>
      <c r="AJ51" s="35">
        <f>AE51+AF51+AG51+AH51+AI51</f>
        <v/>
      </c>
      <c r="AK51" s="36">
        <f>IF($A51&lt;VARIABLES!$B$7,VARIABLES!$B$11,0)</f>
        <v/>
      </c>
      <c r="AL51" s="44">
        <f>AC51-AJ51-AK51</f>
        <v/>
      </c>
      <c r="AM51" s="44">
        <f>AM50+AL51</f>
        <v/>
      </c>
      <c r="AN51" s="38">
        <f>AN50+AK51</f>
        <v/>
      </c>
    </row>
    <row r="52">
      <c r="A52" s="28" t="n">
        <v>49</v>
      </c>
      <c r="B52" s="29">
        <f>TEXT(DATE(VARIABLES!$B$63+INT((VARIABLES!$B$64+$A52-2)/12),MOD(VARIABLES!$B$64+$A52-2,12)+1,1),"mmm-yy")</f>
        <v/>
      </c>
      <c r="C52" s="30">
        <f>IF($A52&lt;VARIABLES!$B$7,VARIABLES!$B$5/12,IF($A52&lt;VARIABLES!$B$8,VARIABLES!$B$6/12,VARIABLES!$B$9/12))</f>
        <v/>
      </c>
      <c r="D52" s="31">
        <f>IF($A52&lt;VARIABLES!$B$24,0,IF($A52=VARIABLES!$B$24,VARIABLES!$B$25+VARIABLES!$B$26,VARIABLES!$B$26))</f>
        <v/>
      </c>
      <c r="E52" s="31">
        <f>D52*VARIABLES!$B$27</f>
        <v/>
      </c>
      <c r="F52" s="31">
        <f>IF($A52&lt;VARIABLES!$B$24,0,(IF($A52=VARIABLES!$B$24,0,G51)+D52)*C52*VARIABLES!$B$28)</f>
        <v/>
      </c>
      <c r="G52" s="31">
        <f>IF($A52&lt;VARIABLES!$B$24,0,(IF($A52=VARIABLES!$B$24,0,G51)+D52)*(1+C52)-F52)</f>
        <v/>
      </c>
      <c r="H52" s="31">
        <f>IF($A52&lt;VARIABLES!$B$31,0,IF($A52=VARIABLES!$B$31,VARIABLES!$B$32+VARIABLES!$B$33,VARIABLES!$B$33))</f>
        <v/>
      </c>
      <c r="I52" s="31">
        <f>H52*VARIABLES!$B$34</f>
        <v/>
      </c>
      <c r="J52" s="31">
        <f>IF($A52&lt;VARIABLES!$B$31,0,(IF($A52=VARIABLES!$B$31,0,K51)+H52)*C52*VARIABLES!$B$35)</f>
        <v/>
      </c>
      <c r="K52" s="31">
        <f>IF($A52&lt;VARIABLES!$B$31,0,(IF($A52=VARIABLES!$B$31,0,K51)+H52)*(1+C52)-J52)</f>
        <v/>
      </c>
      <c r="L52" s="31">
        <f>IF($A52&lt;VARIABLES!$B$38,0,IF($A52=VARIABLES!$B$38,VARIABLES!$B$39+VARIABLES!$B$40,VARIABLES!$B$40))</f>
        <v/>
      </c>
      <c r="M52" s="31">
        <f>L52*VARIABLES!$B$41</f>
        <v/>
      </c>
      <c r="N52" s="31">
        <f>IF($A52&lt;VARIABLES!$B$38,0,(IF($A52=VARIABLES!$B$38,0,O51)+L52)*C52*VARIABLES!$B$42)</f>
        <v/>
      </c>
      <c r="O52" s="31">
        <f>IF($A52&lt;VARIABLES!$B$38,0,(IF($A52=VARIABLES!$B$38,0,O51)+L52)*(1+C52)-N52)</f>
        <v/>
      </c>
      <c r="P52" s="31">
        <f>IF($A52&lt;VARIABLES!$B$45,0,IF($A52=VARIABLES!$B$45,VARIABLES!$B$46+VARIABLES!$B$47,VARIABLES!$B$47))</f>
        <v/>
      </c>
      <c r="Q52" s="31">
        <f>P52*VARIABLES!$B$48</f>
        <v/>
      </c>
      <c r="R52" s="31">
        <f>IF($A52&lt;VARIABLES!$B$45,0,(IF($A52=VARIABLES!$B$45,0,S51)+P52)*C52*VARIABLES!$B$49)</f>
        <v/>
      </c>
      <c r="S52" s="31">
        <f>IF($A52&lt;VARIABLES!$B$45,0,(IF($A52=VARIABLES!$B$45,0,S51)+P52)*(1+C52)-R52)</f>
        <v/>
      </c>
      <c r="T52" s="32">
        <f>IF($A52&lt;VARIABLES!$B$53,0,MIN(VARIABLES!$B$52,INT(($A52-VARIABLES!$B$53)/VARIABLES!$B$54)+1)*VARIABLES!$B$55)</f>
        <v/>
      </c>
      <c r="U52" s="31">
        <f>T52*VARIABLES!$B$57+IF(AND($A52&gt;=VARIABLES!$B$53,MOD($A52-VARIABLES!$B$53,VARIABLES!$B$54)=0,INT(($A52-VARIABLES!$B$53)/VARIABLES!$B$54)&lt;VARIABLES!$B$52),VARIABLES!$B$55*VARIABLES!$B$56,0)</f>
        <v/>
      </c>
      <c r="V52" s="31">
        <f>U52*VARIABLES!$B$58</f>
        <v/>
      </c>
      <c r="W52" s="31">
        <f>IF($A52&lt;VARIABLES!$B$53,0,(IF($A52&lt;VARIABLES!$B$53+1,0,X51)+U52)*C52*VARIABLES!$B$59)</f>
        <v/>
      </c>
      <c r="X52" s="31">
        <f>IF($A52&lt;VARIABLES!$B$53,0,(IF($A52&lt;VARIABLES!$B$53+1,0,X51)+U52)*(1+C52)-W52)</f>
        <v/>
      </c>
      <c r="Y52" s="31">
        <f>D52+H52+L52+P52+U52</f>
        <v/>
      </c>
      <c r="Z52" s="31">
        <f>E52+I52+M52+Q52+V52</f>
        <v/>
      </c>
      <c r="AA52" s="31">
        <f>F52+J52+N52+R52+W52</f>
        <v/>
      </c>
      <c r="AB52" s="31">
        <f>Y52*VARIABLES!$B$14*VARIABLES!$B$15</f>
        <v/>
      </c>
      <c r="AC52" s="33">
        <f>Z52+AA52+AB52</f>
        <v/>
      </c>
      <c r="AD52" s="34">
        <f>G52+K52+O52+S52+X52</f>
        <v/>
      </c>
      <c r="AE52" s="31">
        <f>0</f>
        <v/>
      </c>
      <c r="AF52" s="31">
        <f>Z52*VARIABLES!$B$19</f>
        <v/>
      </c>
      <c r="AG52" s="31">
        <f>AA52*VARIABLES!$B$18</f>
        <v/>
      </c>
      <c r="AH52" s="31">
        <f>VARIABLES!$B$20</f>
        <v/>
      </c>
      <c r="AI52" s="31">
        <f>IF(MOD($A52,12)=0,VARIABLES!$B$21,0)</f>
        <v/>
      </c>
      <c r="AJ52" s="35">
        <f>AE52+AF52+AG52+AH52+AI52</f>
        <v/>
      </c>
      <c r="AK52" s="36">
        <f>IF($A52&lt;VARIABLES!$B$7,VARIABLES!$B$11,0)</f>
        <v/>
      </c>
      <c r="AL52" s="37">
        <f>AC52-AJ52-AK52</f>
        <v/>
      </c>
      <c r="AM52" s="37">
        <f>AM51+AL52</f>
        <v/>
      </c>
      <c r="AN52" s="38">
        <f>AN51+AK52</f>
        <v/>
      </c>
    </row>
    <row r="53">
      <c r="A53" s="39" t="n">
        <v>50</v>
      </c>
      <c r="B53" s="40">
        <f>TEXT(DATE(VARIABLES!$B$63+INT((VARIABLES!$B$64+$A53-2)/12),MOD(VARIABLES!$B$64+$A53-2,12)+1,1),"mmm-yy")</f>
        <v/>
      </c>
      <c r="C53" s="41">
        <f>IF($A53&lt;VARIABLES!$B$7,VARIABLES!$B$5/12,IF($A53&lt;VARIABLES!$B$8,VARIABLES!$B$6/12,VARIABLES!$B$9/12))</f>
        <v/>
      </c>
      <c r="D53" s="42">
        <f>IF($A53&lt;VARIABLES!$B$24,0,IF($A53=VARIABLES!$B$24,VARIABLES!$B$25+VARIABLES!$B$26,VARIABLES!$B$26))</f>
        <v/>
      </c>
      <c r="E53" s="42">
        <f>D53*VARIABLES!$B$27</f>
        <v/>
      </c>
      <c r="F53" s="42">
        <f>IF($A53&lt;VARIABLES!$B$24,0,(IF($A53=VARIABLES!$B$24,0,G52)+D53)*C53*VARIABLES!$B$28)</f>
        <v/>
      </c>
      <c r="G53" s="42">
        <f>IF($A53&lt;VARIABLES!$B$24,0,(IF($A53=VARIABLES!$B$24,0,G52)+D53)*(1+C53)-F53)</f>
        <v/>
      </c>
      <c r="H53" s="42">
        <f>IF($A53&lt;VARIABLES!$B$31,0,IF($A53=VARIABLES!$B$31,VARIABLES!$B$32+VARIABLES!$B$33,VARIABLES!$B$33))</f>
        <v/>
      </c>
      <c r="I53" s="42">
        <f>H53*VARIABLES!$B$34</f>
        <v/>
      </c>
      <c r="J53" s="42">
        <f>IF($A53&lt;VARIABLES!$B$31,0,(IF($A53=VARIABLES!$B$31,0,K52)+H53)*C53*VARIABLES!$B$35)</f>
        <v/>
      </c>
      <c r="K53" s="42">
        <f>IF($A53&lt;VARIABLES!$B$31,0,(IF($A53=VARIABLES!$B$31,0,K52)+H53)*(1+C53)-J53)</f>
        <v/>
      </c>
      <c r="L53" s="42">
        <f>IF($A53&lt;VARIABLES!$B$38,0,IF($A53=VARIABLES!$B$38,VARIABLES!$B$39+VARIABLES!$B$40,VARIABLES!$B$40))</f>
        <v/>
      </c>
      <c r="M53" s="42">
        <f>L53*VARIABLES!$B$41</f>
        <v/>
      </c>
      <c r="N53" s="42">
        <f>IF($A53&lt;VARIABLES!$B$38,0,(IF($A53=VARIABLES!$B$38,0,O52)+L53)*C53*VARIABLES!$B$42)</f>
        <v/>
      </c>
      <c r="O53" s="42">
        <f>IF($A53&lt;VARIABLES!$B$38,0,(IF($A53=VARIABLES!$B$38,0,O52)+L53)*(1+C53)-N53)</f>
        <v/>
      </c>
      <c r="P53" s="42">
        <f>IF($A53&lt;VARIABLES!$B$45,0,IF($A53=VARIABLES!$B$45,VARIABLES!$B$46+VARIABLES!$B$47,VARIABLES!$B$47))</f>
        <v/>
      </c>
      <c r="Q53" s="42">
        <f>P53*VARIABLES!$B$48</f>
        <v/>
      </c>
      <c r="R53" s="42">
        <f>IF($A53&lt;VARIABLES!$B$45,0,(IF($A53=VARIABLES!$B$45,0,S52)+P53)*C53*VARIABLES!$B$49)</f>
        <v/>
      </c>
      <c r="S53" s="42">
        <f>IF($A53&lt;VARIABLES!$B$45,0,(IF($A53=VARIABLES!$B$45,0,S52)+P53)*(1+C53)-R53)</f>
        <v/>
      </c>
      <c r="T53" s="43">
        <f>IF($A53&lt;VARIABLES!$B$53,0,MIN(VARIABLES!$B$52,INT(($A53-VARIABLES!$B$53)/VARIABLES!$B$54)+1)*VARIABLES!$B$55)</f>
        <v/>
      </c>
      <c r="U53" s="42">
        <f>T53*VARIABLES!$B$57+IF(AND($A53&gt;=VARIABLES!$B$53,MOD($A53-VARIABLES!$B$53,VARIABLES!$B$54)=0,INT(($A53-VARIABLES!$B$53)/VARIABLES!$B$54)&lt;VARIABLES!$B$52),VARIABLES!$B$55*VARIABLES!$B$56,0)</f>
        <v/>
      </c>
      <c r="V53" s="42">
        <f>U53*VARIABLES!$B$58</f>
        <v/>
      </c>
      <c r="W53" s="42">
        <f>IF($A53&lt;VARIABLES!$B$53,0,(IF($A53&lt;VARIABLES!$B$53+1,0,X52)+U53)*C53*VARIABLES!$B$59)</f>
        <v/>
      </c>
      <c r="X53" s="42">
        <f>IF($A53&lt;VARIABLES!$B$53,0,(IF($A53&lt;VARIABLES!$B$53+1,0,X52)+U53)*(1+C53)-W53)</f>
        <v/>
      </c>
      <c r="Y53" s="42">
        <f>D53+H53+L53+P53+U53</f>
        <v/>
      </c>
      <c r="Z53" s="42">
        <f>E53+I53+M53+Q53+V53</f>
        <v/>
      </c>
      <c r="AA53" s="42">
        <f>F53+J53+N53+R53+W53</f>
        <v/>
      </c>
      <c r="AB53" s="42">
        <f>Y53*VARIABLES!$B$14*VARIABLES!$B$15</f>
        <v/>
      </c>
      <c r="AC53" s="33">
        <f>Z53+AA53+AB53</f>
        <v/>
      </c>
      <c r="AD53" s="34">
        <f>G53+K53+O53+S53+X53</f>
        <v/>
      </c>
      <c r="AE53" s="42">
        <f>0</f>
        <v/>
      </c>
      <c r="AF53" s="42">
        <f>Z53*VARIABLES!$B$19</f>
        <v/>
      </c>
      <c r="AG53" s="42">
        <f>AA53*VARIABLES!$B$18</f>
        <v/>
      </c>
      <c r="AH53" s="42">
        <f>VARIABLES!$B$20</f>
        <v/>
      </c>
      <c r="AI53" s="42">
        <f>IF(MOD($A53,12)=0,VARIABLES!$B$21,0)</f>
        <v/>
      </c>
      <c r="AJ53" s="35">
        <f>AE53+AF53+AG53+AH53+AI53</f>
        <v/>
      </c>
      <c r="AK53" s="36">
        <f>IF($A53&lt;VARIABLES!$B$7,VARIABLES!$B$11,0)</f>
        <v/>
      </c>
      <c r="AL53" s="44">
        <f>AC53-AJ53-AK53</f>
        <v/>
      </c>
      <c r="AM53" s="44">
        <f>AM52+AL53</f>
        <v/>
      </c>
      <c r="AN53" s="38">
        <f>AN52+AK53</f>
        <v/>
      </c>
    </row>
    <row r="54">
      <c r="A54" s="28" t="n">
        <v>51</v>
      </c>
      <c r="B54" s="29">
        <f>TEXT(DATE(VARIABLES!$B$63+INT((VARIABLES!$B$64+$A54-2)/12),MOD(VARIABLES!$B$64+$A54-2,12)+1,1),"mmm-yy")</f>
        <v/>
      </c>
      <c r="C54" s="30">
        <f>IF($A54&lt;VARIABLES!$B$7,VARIABLES!$B$5/12,IF($A54&lt;VARIABLES!$B$8,VARIABLES!$B$6/12,VARIABLES!$B$9/12))</f>
        <v/>
      </c>
      <c r="D54" s="31">
        <f>IF($A54&lt;VARIABLES!$B$24,0,IF($A54=VARIABLES!$B$24,VARIABLES!$B$25+VARIABLES!$B$26,VARIABLES!$B$26))</f>
        <v/>
      </c>
      <c r="E54" s="31">
        <f>D54*VARIABLES!$B$27</f>
        <v/>
      </c>
      <c r="F54" s="31">
        <f>IF($A54&lt;VARIABLES!$B$24,0,(IF($A54=VARIABLES!$B$24,0,G53)+D54)*C54*VARIABLES!$B$28)</f>
        <v/>
      </c>
      <c r="G54" s="31">
        <f>IF($A54&lt;VARIABLES!$B$24,0,(IF($A54=VARIABLES!$B$24,0,G53)+D54)*(1+C54)-F54)</f>
        <v/>
      </c>
      <c r="H54" s="31">
        <f>IF($A54&lt;VARIABLES!$B$31,0,IF($A54=VARIABLES!$B$31,VARIABLES!$B$32+VARIABLES!$B$33,VARIABLES!$B$33))</f>
        <v/>
      </c>
      <c r="I54" s="31">
        <f>H54*VARIABLES!$B$34</f>
        <v/>
      </c>
      <c r="J54" s="31">
        <f>IF($A54&lt;VARIABLES!$B$31,0,(IF($A54=VARIABLES!$B$31,0,K53)+H54)*C54*VARIABLES!$B$35)</f>
        <v/>
      </c>
      <c r="K54" s="31">
        <f>IF($A54&lt;VARIABLES!$B$31,0,(IF($A54=VARIABLES!$B$31,0,K53)+H54)*(1+C54)-J54)</f>
        <v/>
      </c>
      <c r="L54" s="31">
        <f>IF($A54&lt;VARIABLES!$B$38,0,IF($A54=VARIABLES!$B$38,VARIABLES!$B$39+VARIABLES!$B$40,VARIABLES!$B$40))</f>
        <v/>
      </c>
      <c r="M54" s="31">
        <f>L54*VARIABLES!$B$41</f>
        <v/>
      </c>
      <c r="N54" s="31">
        <f>IF($A54&lt;VARIABLES!$B$38,0,(IF($A54=VARIABLES!$B$38,0,O53)+L54)*C54*VARIABLES!$B$42)</f>
        <v/>
      </c>
      <c r="O54" s="31">
        <f>IF($A54&lt;VARIABLES!$B$38,0,(IF($A54=VARIABLES!$B$38,0,O53)+L54)*(1+C54)-N54)</f>
        <v/>
      </c>
      <c r="P54" s="31">
        <f>IF($A54&lt;VARIABLES!$B$45,0,IF($A54=VARIABLES!$B$45,VARIABLES!$B$46+VARIABLES!$B$47,VARIABLES!$B$47))</f>
        <v/>
      </c>
      <c r="Q54" s="31">
        <f>P54*VARIABLES!$B$48</f>
        <v/>
      </c>
      <c r="R54" s="31">
        <f>IF($A54&lt;VARIABLES!$B$45,0,(IF($A54=VARIABLES!$B$45,0,S53)+P54)*C54*VARIABLES!$B$49)</f>
        <v/>
      </c>
      <c r="S54" s="31">
        <f>IF($A54&lt;VARIABLES!$B$45,0,(IF($A54=VARIABLES!$B$45,0,S53)+P54)*(1+C54)-R54)</f>
        <v/>
      </c>
      <c r="T54" s="32">
        <f>IF($A54&lt;VARIABLES!$B$53,0,MIN(VARIABLES!$B$52,INT(($A54-VARIABLES!$B$53)/VARIABLES!$B$54)+1)*VARIABLES!$B$55)</f>
        <v/>
      </c>
      <c r="U54" s="31">
        <f>T54*VARIABLES!$B$57+IF(AND($A54&gt;=VARIABLES!$B$53,MOD($A54-VARIABLES!$B$53,VARIABLES!$B$54)=0,INT(($A54-VARIABLES!$B$53)/VARIABLES!$B$54)&lt;VARIABLES!$B$52),VARIABLES!$B$55*VARIABLES!$B$56,0)</f>
        <v/>
      </c>
      <c r="V54" s="31">
        <f>U54*VARIABLES!$B$58</f>
        <v/>
      </c>
      <c r="W54" s="31">
        <f>IF($A54&lt;VARIABLES!$B$53,0,(IF($A54&lt;VARIABLES!$B$53+1,0,X53)+U54)*C54*VARIABLES!$B$59)</f>
        <v/>
      </c>
      <c r="X54" s="31">
        <f>IF($A54&lt;VARIABLES!$B$53,0,(IF($A54&lt;VARIABLES!$B$53+1,0,X53)+U54)*(1+C54)-W54)</f>
        <v/>
      </c>
      <c r="Y54" s="31">
        <f>D54+H54+L54+P54+U54</f>
        <v/>
      </c>
      <c r="Z54" s="31">
        <f>E54+I54+M54+Q54+V54</f>
        <v/>
      </c>
      <c r="AA54" s="31">
        <f>F54+J54+N54+R54+W54</f>
        <v/>
      </c>
      <c r="AB54" s="31">
        <f>Y54*VARIABLES!$B$14*VARIABLES!$B$15</f>
        <v/>
      </c>
      <c r="AC54" s="33">
        <f>Z54+AA54+AB54</f>
        <v/>
      </c>
      <c r="AD54" s="34">
        <f>G54+K54+O54+S54+X54</f>
        <v/>
      </c>
      <c r="AE54" s="31">
        <f>0</f>
        <v/>
      </c>
      <c r="AF54" s="31">
        <f>Z54*VARIABLES!$B$19</f>
        <v/>
      </c>
      <c r="AG54" s="31">
        <f>AA54*VARIABLES!$B$18</f>
        <v/>
      </c>
      <c r="AH54" s="31">
        <f>VARIABLES!$B$20</f>
        <v/>
      </c>
      <c r="AI54" s="31">
        <f>IF(MOD($A54,12)=0,VARIABLES!$B$21,0)</f>
        <v/>
      </c>
      <c r="AJ54" s="35">
        <f>AE54+AF54+AG54+AH54+AI54</f>
        <v/>
      </c>
      <c r="AK54" s="36">
        <f>IF($A54&lt;VARIABLES!$B$7,VARIABLES!$B$11,0)</f>
        <v/>
      </c>
      <c r="AL54" s="37">
        <f>AC54-AJ54-AK54</f>
        <v/>
      </c>
      <c r="AM54" s="37">
        <f>AM53+AL54</f>
        <v/>
      </c>
      <c r="AN54" s="38">
        <f>AN53+AK54</f>
        <v/>
      </c>
    </row>
    <row r="55">
      <c r="A55" s="39" t="n">
        <v>52</v>
      </c>
      <c r="B55" s="40">
        <f>TEXT(DATE(VARIABLES!$B$63+INT((VARIABLES!$B$64+$A55-2)/12),MOD(VARIABLES!$B$64+$A55-2,12)+1,1),"mmm-yy")</f>
        <v/>
      </c>
      <c r="C55" s="41">
        <f>IF($A55&lt;VARIABLES!$B$7,VARIABLES!$B$5/12,IF($A55&lt;VARIABLES!$B$8,VARIABLES!$B$6/12,VARIABLES!$B$9/12))</f>
        <v/>
      </c>
      <c r="D55" s="42">
        <f>IF($A55&lt;VARIABLES!$B$24,0,IF($A55=VARIABLES!$B$24,VARIABLES!$B$25+VARIABLES!$B$26,VARIABLES!$B$26))</f>
        <v/>
      </c>
      <c r="E55" s="42">
        <f>D55*VARIABLES!$B$27</f>
        <v/>
      </c>
      <c r="F55" s="42">
        <f>IF($A55&lt;VARIABLES!$B$24,0,(IF($A55=VARIABLES!$B$24,0,G54)+D55)*C55*VARIABLES!$B$28)</f>
        <v/>
      </c>
      <c r="G55" s="42">
        <f>IF($A55&lt;VARIABLES!$B$24,0,(IF($A55=VARIABLES!$B$24,0,G54)+D55)*(1+C55)-F55)</f>
        <v/>
      </c>
      <c r="H55" s="42">
        <f>IF($A55&lt;VARIABLES!$B$31,0,IF($A55=VARIABLES!$B$31,VARIABLES!$B$32+VARIABLES!$B$33,VARIABLES!$B$33))</f>
        <v/>
      </c>
      <c r="I55" s="42">
        <f>H55*VARIABLES!$B$34</f>
        <v/>
      </c>
      <c r="J55" s="42">
        <f>IF($A55&lt;VARIABLES!$B$31,0,(IF($A55=VARIABLES!$B$31,0,K54)+H55)*C55*VARIABLES!$B$35)</f>
        <v/>
      </c>
      <c r="K55" s="42">
        <f>IF($A55&lt;VARIABLES!$B$31,0,(IF($A55=VARIABLES!$B$31,0,K54)+H55)*(1+C55)-J55)</f>
        <v/>
      </c>
      <c r="L55" s="42">
        <f>IF($A55&lt;VARIABLES!$B$38,0,IF($A55=VARIABLES!$B$38,VARIABLES!$B$39+VARIABLES!$B$40,VARIABLES!$B$40))</f>
        <v/>
      </c>
      <c r="M55" s="42">
        <f>L55*VARIABLES!$B$41</f>
        <v/>
      </c>
      <c r="N55" s="42">
        <f>IF($A55&lt;VARIABLES!$B$38,0,(IF($A55=VARIABLES!$B$38,0,O54)+L55)*C55*VARIABLES!$B$42)</f>
        <v/>
      </c>
      <c r="O55" s="42">
        <f>IF($A55&lt;VARIABLES!$B$38,0,(IF($A55=VARIABLES!$B$38,0,O54)+L55)*(1+C55)-N55)</f>
        <v/>
      </c>
      <c r="P55" s="42">
        <f>IF($A55&lt;VARIABLES!$B$45,0,IF($A55=VARIABLES!$B$45,VARIABLES!$B$46+VARIABLES!$B$47,VARIABLES!$B$47))</f>
        <v/>
      </c>
      <c r="Q55" s="42">
        <f>P55*VARIABLES!$B$48</f>
        <v/>
      </c>
      <c r="R55" s="42">
        <f>IF($A55&lt;VARIABLES!$B$45,0,(IF($A55=VARIABLES!$B$45,0,S54)+P55)*C55*VARIABLES!$B$49)</f>
        <v/>
      </c>
      <c r="S55" s="42">
        <f>IF($A55&lt;VARIABLES!$B$45,0,(IF($A55=VARIABLES!$B$45,0,S54)+P55)*(1+C55)-R55)</f>
        <v/>
      </c>
      <c r="T55" s="43">
        <f>IF($A55&lt;VARIABLES!$B$53,0,MIN(VARIABLES!$B$52,INT(($A55-VARIABLES!$B$53)/VARIABLES!$B$54)+1)*VARIABLES!$B$55)</f>
        <v/>
      </c>
      <c r="U55" s="42">
        <f>T55*VARIABLES!$B$57+IF(AND($A55&gt;=VARIABLES!$B$53,MOD($A55-VARIABLES!$B$53,VARIABLES!$B$54)=0,INT(($A55-VARIABLES!$B$53)/VARIABLES!$B$54)&lt;VARIABLES!$B$52),VARIABLES!$B$55*VARIABLES!$B$56,0)</f>
        <v/>
      </c>
      <c r="V55" s="42">
        <f>U55*VARIABLES!$B$58</f>
        <v/>
      </c>
      <c r="W55" s="42">
        <f>IF($A55&lt;VARIABLES!$B$53,0,(IF($A55&lt;VARIABLES!$B$53+1,0,X54)+U55)*C55*VARIABLES!$B$59)</f>
        <v/>
      </c>
      <c r="X55" s="42">
        <f>IF($A55&lt;VARIABLES!$B$53,0,(IF($A55&lt;VARIABLES!$B$53+1,0,X54)+U55)*(1+C55)-W55)</f>
        <v/>
      </c>
      <c r="Y55" s="42">
        <f>D55+H55+L55+P55+U55</f>
        <v/>
      </c>
      <c r="Z55" s="42">
        <f>E55+I55+M55+Q55+V55</f>
        <v/>
      </c>
      <c r="AA55" s="42">
        <f>F55+J55+N55+R55+W55</f>
        <v/>
      </c>
      <c r="AB55" s="42">
        <f>Y55*VARIABLES!$B$14*VARIABLES!$B$15</f>
        <v/>
      </c>
      <c r="AC55" s="33">
        <f>Z55+AA55+AB55</f>
        <v/>
      </c>
      <c r="AD55" s="34">
        <f>G55+K55+O55+S55+X55</f>
        <v/>
      </c>
      <c r="AE55" s="42">
        <f>0</f>
        <v/>
      </c>
      <c r="AF55" s="42">
        <f>Z55*VARIABLES!$B$19</f>
        <v/>
      </c>
      <c r="AG55" s="42">
        <f>AA55*VARIABLES!$B$18</f>
        <v/>
      </c>
      <c r="AH55" s="42">
        <f>VARIABLES!$B$20</f>
        <v/>
      </c>
      <c r="AI55" s="42">
        <f>IF(MOD($A55,12)=0,VARIABLES!$B$21,0)</f>
        <v/>
      </c>
      <c r="AJ55" s="35">
        <f>AE55+AF55+AG55+AH55+AI55</f>
        <v/>
      </c>
      <c r="AK55" s="36">
        <f>IF($A55&lt;VARIABLES!$B$7,VARIABLES!$B$11,0)</f>
        <v/>
      </c>
      <c r="AL55" s="44">
        <f>AC55-AJ55-AK55</f>
        <v/>
      </c>
      <c r="AM55" s="44">
        <f>AM54+AL55</f>
        <v/>
      </c>
      <c r="AN55" s="38">
        <f>AN54+AK55</f>
        <v/>
      </c>
    </row>
    <row r="56">
      <c r="A56" s="28" t="n">
        <v>53</v>
      </c>
      <c r="B56" s="29">
        <f>TEXT(DATE(VARIABLES!$B$63+INT((VARIABLES!$B$64+$A56-2)/12),MOD(VARIABLES!$B$64+$A56-2,12)+1,1),"mmm-yy")</f>
        <v/>
      </c>
      <c r="C56" s="30">
        <f>IF($A56&lt;VARIABLES!$B$7,VARIABLES!$B$5/12,IF($A56&lt;VARIABLES!$B$8,VARIABLES!$B$6/12,VARIABLES!$B$9/12))</f>
        <v/>
      </c>
      <c r="D56" s="31">
        <f>IF($A56&lt;VARIABLES!$B$24,0,IF($A56=VARIABLES!$B$24,VARIABLES!$B$25+VARIABLES!$B$26,VARIABLES!$B$26))</f>
        <v/>
      </c>
      <c r="E56" s="31">
        <f>D56*VARIABLES!$B$27</f>
        <v/>
      </c>
      <c r="F56" s="31">
        <f>IF($A56&lt;VARIABLES!$B$24,0,(IF($A56=VARIABLES!$B$24,0,G55)+D56)*C56*VARIABLES!$B$28)</f>
        <v/>
      </c>
      <c r="G56" s="31">
        <f>IF($A56&lt;VARIABLES!$B$24,0,(IF($A56=VARIABLES!$B$24,0,G55)+D56)*(1+C56)-F56)</f>
        <v/>
      </c>
      <c r="H56" s="31">
        <f>IF($A56&lt;VARIABLES!$B$31,0,IF($A56=VARIABLES!$B$31,VARIABLES!$B$32+VARIABLES!$B$33,VARIABLES!$B$33))</f>
        <v/>
      </c>
      <c r="I56" s="31">
        <f>H56*VARIABLES!$B$34</f>
        <v/>
      </c>
      <c r="J56" s="31">
        <f>IF($A56&lt;VARIABLES!$B$31,0,(IF($A56=VARIABLES!$B$31,0,K55)+H56)*C56*VARIABLES!$B$35)</f>
        <v/>
      </c>
      <c r="K56" s="31">
        <f>IF($A56&lt;VARIABLES!$B$31,0,(IF($A56=VARIABLES!$B$31,0,K55)+H56)*(1+C56)-J56)</f>
        <v/>
      </c>
      <c r="L56" s="31">
        <f>IF($A56&lt;VARIABLES!$B$38,0,IF($A56=VARIABLES!$B$38,VARIABLES!$B$39+VARIABLES!$B$40,VARIABLES!$B$40))</f>
        <v/>
      </c>
      <c r="M56" s="31">
        <f>L56*VARIABLES!$B$41</f>
        <v/>
      </c>
      <c r="N56" s="31">
        <f>IF($A56&lt;VARIABLES!$B$38,0,(IF($A56=VARIABLES!$B$38,0,O55)+L56)*C56*VARIABLES!$B$42)</f>
        <v/>
      </c>
      <c r="O56" s="31">
        <f>IF($A56&lt;VARIABLES!$B$38,0,(IF($A56=VARIABLES!$B$38,0,O55)+L56)*(1+C56)-N56)</f>
        <v/>
      </c>
      <c r="P56" s="31">
        <f>IF($A56&lt;VARIABLES!$B$45,0,IF($A56=VARIABLES!$B$45,VARIABLES!$B$46+VARIABLES!$B$47,VARIABLES!$B$47))</f>
        <v/>
      </c>
      <c r="Q56" s="31">
        <f>P56*VARIABLES!$B$48</f>
        <v/>
      </c>
      <c r="R56" s="31">
        <f>IF($A56&lt;VARIABLES!$B$45,0,(IF($A56=VARIABLES!$B$45,0,S55)+P56)*C56*VARIABLES!$B$49)</f>
        <v/>
      </c>
      <c r="S56" s="31">
        <f>IF($A56&lt;VARIABLES!$B$45,0,(IF($A56=VARIABLES!$B$45,0,S55)+P56)*(1+C56)-R56)</f>
        <v/>
      </c>
      <c r="T56" s="32">
        <f>IF($A56&lt;VARIABLES!$B$53,0,MIN(VARIABLES!$B$52,INT(($A56-VARIABLES!$B$53)/VARIABLES!$B$54)+1)*VARIABLES!$B$55)</f>
        <v/>
      </c>
      <c r="U56" s="31">
        <f>T56*VARIABLES!$B$57+IF(AND($A56&gt;=VARIABLES!$B$53,MOD($A56-VARIABLES!$B$53,VARIABLES!$B$54)=0,INT(($A56-VARIABLES!$B$53)/VARIABLES!$B$54)&lt;VARIABLES!$B$52),VARIABLES!$B$55*VARIABLES!$B$56,0)</f>
        <v/>
      </c>
      <c r="V56" s="31">
        <f>U56*VARIABLES!$B$58</f>
        <v/>
      </c>
      <c r="W56" s="31">
        <f>IF($A56&lt;VARIABLES!$B$53,0,(IF($A56&lt;VARIABLES!$B$53+1,0,X55)+U56)*C56*VARIABLES!$B$59)</f>
        <v/>
      </c>
      <c r="X56" s="31">
        <f>IF($A56&lt;VARIABLES!$B$53,0,(IF($A56&lt;VARIABLES!$B$53+1,0,X55)+U56)*(1+C56)-W56)</f>
        <v/>
      </c>
      <c r="Y56" s="31">
        <f>D56+H56+L56+P56+U56</f>
        <v/>
      </c>
      <c r="Z56" s="31">
        <f>E56+I56+M56+Q56+V56</f>
        <v/>
      </c>
      <c r="AA56" s="31">
        <f>F56+J56+N56+R56+W56</f>
        <v/>
      </c>
      <c r="AB56" s="31">
        <f>Y56*VARIABLES!$B$14*VARIABLES!$B$15</f>
        <v/>
      </c>
      <c r="AC56" s="33">
        <f>Z56+AA56+AB56</f>
        <v/>
      </c>
      <c r="AD56" s="34">
        <f>G56+K56+O56+S56+X56</f>
        <v/>
      </c>
      <c r="AE56" s="31">
        <f>0</f>
        <v/>
      </c>
      <c r="AF56" s="31">
        <f>Z56*VARIABLES!$B$19</f>
        <v/>
      </c>
      <c r="AG56" s="31">
        <f>AA56*VARIABLES!$B$18</f>
        <v/>
      </c>
      <c r="AH56" s="31">
        <f>VARIABLES!$B$20</f>
        <v/>
      </c>
      <c r="AI56" s="31">
        <f>IF(MOD($A56,12)=0,VARIABLES!$B$21,0)</f>
        <v/>
      </c>
      <c r="AJ56" s="35">
        <f>AE56+AF56+AG56+AH56+AI56</f>
        <v/>
      </c>
      <c r="AK56" s="36">
        <f>IF($A56&lt;VARIABLES!$B$7,VARIABLES!$B$11,0)</f>
        <v/>
      </c>
      <c r="AL56" s="37">
        <f>AC56-AJ56-AK56</f>
        <v/>
      </c>
      <c r="AM56" s="37">
        <f>AM55+AL56</f>
        <v/>
      </c>
      <c r="AN56" s="38">
        <f>AN55+AK56</f>
        <v/>
      </c>
    </row>
    <row r="57">
      <c r="A57" s="39" t="n">
        <v>54</v>
      </c>
      <c r="B57" s="40">
        <f>TEXT(DATE(VARIABLES!$B$63+INT((VARIABLES!$B$64+$A57-2)/12),MOD(VARIABLES!$B$64+$A57-2,12)+1,1),"mmm-yy")</f>
        <v/>
      </c>
      <c r="C57" s="41">
        <f>IF($A57&lt;VARIABLES!$B$7,VARIABLES!$B$5/12,IF($A57&lt;VARIABLES!$B$8,VARIABLES!$B$6/12,VARIABLES!$B$9/12))</f>
        <v/>
      </c>
      <c r="D57" s="42">
        <f>IF($A57&lt;VARIABLES!$B$24,0,IF($A57=VARIABLES!$B$24,VARIABLES!$B$25+VARIABLES!$B$26,VARIABLES!$B$26))</f>
        <v/>
      </c>
      <c r="E57" s="42">
        <f>D57*VARIABLES!$B$27</f>
        <v/>
      </c>
      <c r="F57" s="42">
        <f>IF($A57&lt;VARIABLES!$B$24,0,(IF($A57=VARIABLES!$B$24,0,G56)+D57)*C57*VARIABLES!$B$28)</f>
        <v/>
      </c>
      <c r="G57" s="42">
        <f>IF($A57&lt;VARIABLES!$B$24,0,(IF($A57=VARIABLES!$B$24,0,G56)+D57)*(1+C57)-F57)</f>
        <v/>
      </c>
      <c r="H57" s="42">
        <f>IF($A57&lt;VARIABLES!$B$31,0,IF($A57=VARIABLES!$B$31,VARIABLES!$B$32+VARIABLES!$B$33,VARIABLES!$B$33))</f>
        <v/>
      </c>
      <c r="I57" s="42">
        <f>H57*VARIABLES!$B$34</f>
        <v/>
      </c>
      <c r="J57" s="42">
        <f>IF($A57&lt;VARIABLES!$B$31,0,(IF($A57=VARIABLES!$B$31,0,K56)+H57)*C57*VARIABLES!$B$35)</f>
        <v/>
      </c>
      <c r="K57" s="42">
        <f>IF($A57&lt;VARIABLES!$B$31,0,(IF($A57=VARIABLES!$B$31,0,K56)+H57)*(1+C57)-J57)</f>
        <v/>
      </c>
      <c r="L57" s="42">
        <f>IF($A57&lt;VARIABLES!$B$38,0,IF($A57=VARIABLES!$B$38,VARIABLES!$B$39+VARIABLES!$B$40,VARIABLES!$B$40))</f>
        <v/>
      </c>
      <c r="M57" s="42">
        <f>L57*VARIABLES!$B$41</f>
        <v/>
      </c>
      <c r="N57" s="42">
        <f>IF($A57&lt;VARIABLES!$B$38,0,(IF($A57=VARIABLES!$B$38,0,O56)+L57)*C57*VARIABLES!$B$42)</f>
        <v/>
      </c>
      <c r="O57" s="42">
        <f>IF($A57&lt;VARIABLES!$B$38,0,(IF($A57=VARIABLES!$B$38,0,O56)+L57)*(1+C57)-N57)</f>
        <v/>
      </c>
      <c r="P57" s="42">
        <f>IF($A57&lt;VARIABLES!$B$45,0,IF($A57=VARIABLES!$B$45,VARIABLES!$B$46+VARIABLES!$B$47,VARIABLES!$B$47))</f>
        <v/>
      </c>
      <c r="Q57" s="42">
        <f>P57*VARIABLES!$B$48</f>
        <v/>
      </c>
      <c r="R57" s="42">
        <f>IF($A57&lt;VARIABLES!$B$45,0,(IF($A57=VARIABLES!$B$45,0,S56)+P57)*C57*VARIABLES!$B$49)</f>
        <v/>
      </c>
      <c r="S57" s="42">
        <f>IF($A57&lt;VARIABLES!$B$45,0,(IF($A57=VARIABLES!$B$45,0,S56)+P57)*(1+C57)-R57)</f>
        <v/>
      </c>
      <c r="T57" s="43">
        <f>IF($A57&lt;VARIABLES!$B$53,0,MIN(VARIABLES!$B$52,INT(($A57-VARIABLES!$B$53)/VARIABLES!$B$54)+1)*VARIABLES!$B$55)</f>
        <v/>
      </c>
      <c r="U57" s="42">
        <f>T57*VARIABLES!$B$57+IF(AND($A57&gt;=VARIABLES!$B$53,MOD($A57-VARIABLES!$B$53,VARIABLES!$B$54)=0,INT(($A57-VARIABLES!$B$53)/VARIABLES!$B$54)&lt;VARIABLES!$B$52),VARIABLES!$B$55*VARIABLES!$B$56,0)</f>
        <v/>
      </c>
      <c r="V57" s="42">
        <f>U57*VARIABLES!$B$58</f>
        <v/>
      </c>
      <c r="W57" s="42">
        <f>IF($A57&lt;VARIABLES!$B$53,0,(IF($A57&lt;VARIABLES!$B$53+1,0,X56)+U57)*C57*VARIABLES!$B$59)</f>
        <v/>
      </c>
      <c r="X57" s="42">
        <f>IF($A57&lt;VARIABLES!$B$53,0,(IF($A57&lt;VARIABLES!$B$53+1,0,X56)+U57)*(1+C57)-W57)</f>
        <v/>
      </c>
      <c r="Y57" s="42">
        <f>D57+H57+L57+P57+U57</f>
        <v/>
      </c>
      <c r="Z57" s="42">
        <f>E57+I57+M57+Q57+V57</f>
        <v/>
      </c>
      <c r="AA57" s="42">
        <f>F57+J57+N57+R57+W57</f>
        <v/>
      </c>
      <c r="AB57" s="42">
        <f>Y57*VARIABLES!$B$14*VARIABLES!$B$15</f>
        <v/>
      </c>
      <c r="AC57" s="33">
        <f>Z57+AA57+AB57</f>
        <v/>
      </c>
      <c r="AD57" s="34">
        <f>G57+K57+O57+S57+X57</f>
        <v/>
      </c>
      <c r="AE57" s="42">
        <f>0</f>
        <v/>
      </c>
      <c r="AF57" s="42">
        <f>Z57*VARIABLES!$B$19</f>
        <v/>
      </c>
      <c r="AG57" s="42">
        <f>AA57*VARIABLES!$B$18</f>
        <v/>
      </c>
      <c r="AH57" s="42">
        <f>VARIABLES!$B$20</f>
        <v/>
      </c>
      <c r="AI57" s="42">
        <f>IF(MOD($A57,12)=0,VARIABLES!$B$21,0)</f>
        <v/>
      </c>
      <c r="AJ57" s="35">
        <f>AE57+AF57+AG57+AH57+AI57</f>
        <v/>
      </c>
      <c r="AK57" s="36">
        <f>IF($A57&lt;VARIABLES!$B$7,VARIABLES!$B$11,0)</f>
        <v/>
      </c>
      <c r="AL57" s="44">
        <f>AC57-AJ57-AK57</f>
        <v/>
      </c>
      <c r="AM57" s="44">
        <f>AM56+AL57</f>
        <v/>
      </c>
      <c r="AN57" s="38">
        <f>AN56+AK57</f>
        <v/>
      </c>
    </row>
    <row r="58">
      <c r="A58" s="28" t="n">
        <v>55</v>
      </c>
      <c r="B58" s="29">
        <f>TEXT(DATE(VARIABLES!$B$63+INT((VARIABLES!$B$64+$A58-2)/12),MOD(VARIABLES!$B$64+$A58-2,12)+1,1),"mmm-yy")</f>
        <v/>
      </c>
      <c r="C58" s="30">
        <f>IF($A58&lt;VARIABLES!$B$7,VARIABLES!$B$5/12,IF($A58&lt;VARIABLES!$B$8,VARIABLES!$B$6/12,VARIABLES!$B$9/12))</f>
        <v/>
      </c>
      <c r="D58" s="31">
        <f>IF($A58&lt;VARIABLES!$B$24,0,IF($A58=VARIABLES!$B$24,VARIABLES!$B$25+VARIABLES!$B$26,VARIABLES!$B$26))</f>
        <v/>
      </c>
      <c r="E58" s="31">
        <f>D58*VARIABLES!$B$27</f>
        <v/>
      </c>
      <c r="F58" s="31">
        <f>IF($A58&lt;VARIABLES!$B$24,0,(IF($A58=VARIABLES!$B$24,0,G57)+D58)*C58*VARIABLES!$B$28)</f>
        <v/>
      </c>
      <c r="G58" s="31">
        <f>IF($A58&lt;VARIABLES!$B$24,0,(IF($A58=VARIABLES!$B$24,0,G57)+D58)*(1+C58)-F58)</f>
        <v/>
      </c>
      <c r="H58" s="31">
        <f>IF($A58&lt;VARIABLES!$B$31,0,IF($A58=VARIABLES!$B$31,VARIABLES!$B$32+VARIABLES!$B$33,VARIABLES!$B$33))</f>
        <v/>
      </c>
      <c r="I58" s="31">
        <f>H58*VARIABLES!$B$34</f>
        <v/>
      </c>
      <c r="J58" s="31">
        <f>IF($A58&lt;VARIABLES!$B$31,0,(IF($A58=VARIABLES!$B$31,0,K57)+H58)*C58*VARIABLES!$B$35)</f>
        <v/>
      </c>
      <c r="K58" s="31">
        <f>IF($A58&lt;VARIABLES!$B$31,0,(IF($A58=VARIABLES!$B$31,0,K57)+H58)*(1+C58)-J58)</f>
        <v/>
      </c>
      <c r="L58" s="31">
        <f>IF($A58&lt;VARIABLES!$B$38,0,IF($A58=VARIABLES!$B$38,VARIABLES!$B$39+VARIABLES!$B$40,VARIABLES!$B$40))</f>
        <v/>
      </c>
      <c r="M58" s="31">
        <f>L58*VARIABLES!$B$41</f>
        <v/>
      </c>
      <c r="N58" s="31">
        <f>IF($A58&lt;VARIABLES!$B$38,0,(IF($A58=VARIABLES!$B$38,0,O57)+L58)*C58*VARIABLES!$B$42)</f>
        <v/>
      </c>
      <c r="O58" s="31">
        <f>IF($A58&lt;VARIABLES!$B$38,0,(IF($A58=VARIABLES!$B$38,0,O57)+L58)*(1+C58)-N58)</f>
        <v/>
      </c>
      <c r="P58" s="31">
        <f>IF($A58&lt;VARIABLES!$B$45,0,IF($A58=VARIABLES!$B$45,VARIABLES!$B$46+VARIABLES!$B$47,VARIABLES!$B$47))</f>
        <v/>
      </c>
      <c r="Q58" s="31">
        <f>P58*VARIABLES!$B$48</f>
        <v/>
      </c>
      <c r="R58" s="31">
        <f>IF($A58&lt;VARIABLES!$B$45,0,(IF($A58=VARIABLES!$B$45,0,S57)+P58)*C58*VARIABLES!$B$49)</f>
        <v/>
      </c>
      <c r="S58" s="31">
        <f>IF($A58&lt;VARIABLES!$B$45,0,(IF($A58=VARIABLES!$B$45,0,S57)+P58)*(1+C58)-R58)</f>
        <v/>
      </c>
      <c r="T58" s="32">
        <f>IF($A58&lt;VARIABLES!$B$53,0,MIN(VARIABLES!$B$52,INT(($A58-VARIABLES!$B$53)/VARIABLES!$B$54)+1)*VARIABLES!$B$55)</f>
        <v/>
      </c>
      <c r="U58" s="31">
        <f>T58*VARIABLES!$B$57+IF(AND($A58&gt;=VARIABLES!$B$53,MOD($A58-VARIABLES!$B$53,VARIABLES!$B$54)=0,INT(($A58-VARIABLES!$B$53)/VARIABLES!$B$54)&lt;VARIABLES!$B$52),VARIABLES!$B$55*VARIABLES!$B$56,0)</f>
        <v/>
      </c>
      <c r="V58" s="31">
        <f>U58*VARIABLES!$B$58</f>
        <v/>
      </c>
      <c r="W58" s="31">
        <f>IF($A58&lt;VARIABLES!$B$53,0,(IF($A58&lt;VARIABLES!$B$53+1,0,X57)+U58)*C58*VARIABLES!$B$59)</f>
        <v/>
      </c>
      <c r="X58" s="31">
        <f>IF($A58&lt;VARIABLES!$B$53,0,(IF($A58&lt;VARIABLES!$B$53+1,0,X57)+U58)*(1+C58)-W58)</f>
        <v/>
      </c>
      <c r="Y58" s="31">
        <f>D58+H58+L58+P58+U58</f>
        <v/>
      </c>
      <c r="Z58" s="31">
        <f>E58+I58+M58+Q58+V58</f>
        <v/>
      </c>
      <c r="AA58" s="31">
        <f>F58+J58+N58+R58+W58</f>
        <v/>
      </c>
      <c r="AB58" s="31">
        <f>Y58*VARIABLES!$B$14*VARIABLES!$B$15</f>
        <v/>
      </c>
      <c r="AC58" s="33">
        <f>Z58+AA58+AB58</f>
        <v/>
      </c>
      <c r="AD58" s="34">
        <f>G58+K58+O58+S58+X58</f>
        <v/>
      </c>
      <c r="AE58" s="31">
        <f>0</f>
        <v/>
      </c>
      <c r="AF58" s="31">
        <f>Z58*VARIABLES!$B$19</f>
        <v/>
      </c>
      <c r="AG58" s="31">
        <f>AA58*VARIABLES!$B$18</f>
        <v/>
      </c>
      <c r="AH58" s="31">
        <f>VARIABLES!$B$20</f>
        <v/>
      </c>
      <c r="AI58" s="31">
        <f>IF(MOD($A58,12)=0,VARIABLES!$B$21,0)</f>
        <v/>
      </c>
      <c r="AJ58" s="35">
        <f>AE58+AF58+AG58+AH58+AI58</f>
        <v/>
      </c>
      <c r="AK58" s="36">
        <f>IF($A58&lt;VARIABLES!$B$7,VARIABLES!$B$11,0)</f>
        <v/>
      </c>
      <c r="AL58" s="37">
        <f>AC58-AJ58-AK58</f>
        <v/>
      </c>
      <c r="AM58" s="37">
        <f>AM57+AL58</f>
        <v/>
      </c>
      <c r="AN58" s="38">
        <f>AN57+AK58</f>
        <v/>
      </c>
    </row>
    <row r="59">
      <c r="A59" s="39" t="n">
        <v>56</v>
      </c>
      <c r="B59" s="40">
        <f>TEXT(DATE(VARIABLES!$B$63+INT((VARIABLES!$B$64+$A59-2)/12),MOD(VARIABLES!$B$64+$A59-2,12)+1,1),"mmm-yy")</f>
        <v/>
      </c>
      <c r="C59" s="41">
        <f>IF($A59&lt;VARIABLES!$B$7,VARIABLES!$B$5/12,IF($A59&lt;VARIABLES!$B$8,VARIABLES!$B$6/12,VARIABLES!$B$9/12))</f>
        <v/>
      </c>
      <c r="D59" s="42">
        <f>IF($A59&lt;VARIABLES!$B$24,0,IF($A59=VARIABLES!$B$24,VARIABLES!$B$25+VARIABLES!$B$26,VARIABLES!$B$26))</f>
        <v/>
      </c>
      <c r="E59" s="42">
        <f>D59*VARIABLES!$B$27</f>
        <v/>
      </c>
      <c r="F59" s="42">
        <f>IF($A59&lt;VARIABLES!$B$24,0,(IF($A59=VARIABLES!$B$24,0,G58)+D59)*C59*VARIABLES!$B$28)</f>
        <v/>
      </c>
      <c r="G59" s="42">
        <f>IF($A59&lt;VARIABLES!$B$24,0,(IF($A59=VARIABLES!$B$24,0,G58)+D59)*(1+C59)-F59)</f>
        <v/>
      </c>
      <c r="H59" s="42">
        <f>IF($A59&lt;VARIABLES!$B$31,0,IF($A59=VARIABLES!$B$31,VARIABLES!$B$32+VARIABLES!$B$33,VARIABLES!$B$33))</f>
        <v/>
      </c>
      <c r="I59" s="42">
        <f>H59*VARIABLES!$B$34</f>
        <v/>
      </c>
      <c r="J59" s="42">
        <f>IF($A59&lt;VARIABLES!$B$31,0,(IF($A59=VARIABLES!$B$31,0,K58)+H59)*C59*VARIABLES!$B$35)</f>
        <v/>
      </c>
      <c r="K59" s="42">
        <f>IF($A59&lt;VARIABLES!$B$31,0,(IF($A59=VARIABLES!$B$31,0,K58)+H59)*(1+C59)-J59)</f>
        <v/>
      </c>
      <c r="L59" s="42">
        <f>IF($A59&lt;VARIABLES!$B$38,0,IF($A59=VARIABLES!$B$38,VARIABLES!$B$39+VARIABLES!$B$40,VARIABLES!$B$40))</f>
        <v/>
      </c>
      <c r="M59" s="42">
        <f>L59*VARIABLES!$B$41</f>
        <v/>
      </c>
      <c r="N59" s="42">
        <f>IF($A59&lt;VARIABLES!$B$38,0,(IF($A59=VARIABLES!$B$38,0,O58)+L59)*C59*VARIABLES!$B$42)</f>
        <v/>
      </c>
      <c r="O59" s="42">
        <f>IF($A59&lt;VARIABLES!$B$38,0,(IF($A59=VARIABLES!$B$38,0,O58)+L59)*(1+C59)-N59)</f>
        <v/>
      </c>
      <c r="P59" s="42">
        <f>IF($A59&lt;VARIABLES!$B$45,0,IF($A59=VARIABLES!$B$45,VARIABLES!$B$46+VARIABLES!$B$47,VARIABLES!$B$47))</f>
        <v/>
      </c>
      <c r="Q59" s="42">
        <f>P59*VARIABLES!$B$48</f>
        <v/>
      </c>
      <c r="R59" s="42">
        <f>IF($A59&lt;VARIABLES!$B$45,0,(IF($A59=VARIABLES!$B$45,0,S58)+P59)*C59*VARIABLES!$B$49)</f>
        <v/>
      </c>
      <c r="S59" s="42">
        <f>IF($A59&lt;VARIABLES!$B$45,0,(IF($A59=VARIABLES!$B$45,0,S58)+P59)*(1+C59)-R59)</f>
        <v/>
      </c>
      <c r="T59" s="43">
        <f>IF($A59&lt;VARIABLES!$B$53,0,MIN(VARIABLES!$B$52,INT(($A59-VARIABLES!$B$53)/VARIABLES!$B$54)+1)*VARIABLES!$B$55)</f>
        <v/>
      </c>
      <c r="U59" s="42">
        <f>T59*VARIABLES!$B$57+IF(AND($A59&gt;=VARIABLES!$B$53,MOD($A59-VARIABLES!$B$53,VARIABLES!$B$54)=0,INT(($A59-VARIABLES!$B$53)/VARIABLES!$B$54)&lt;VARIABLES!$B$52),VARIABLES!$B$55*VARIABLES!$B$56,0)</f>
        <v/>
      </c>
      <c r="V59" s="42">
        <f>U59*VARIABLES!$B$58</f>
        <v/>
      </c>
      <c r="W59" s="42">
        <f>IF($A59&lt;VARIABLES!$B$53,0,(IF($A59&lt;VARIABLES!$B$53+1,0,X58)+U59)*C59*VARIABLES!$B$59)</f>
        <v/>
      </c>
      <c r="X59" s="42">
        <f>IF($A59&lt;VARIABLES!$B$53,0,(IF($A59&lt;VARIABLES!$B$53+1,0,X58)+U59)*(1+C59)-W59)</f>
        <v/>
      </c>
      <c r="Y59" s="42">
        <f>D59+H59+L59+P59+U59</f>
        <v/>
      </c>
      <c r="Z59" s="42">
        <f>E59+I59+M59+Q59+V59</f>
        <v/>
      </c>
      <c r="AA59" s="42">
        <f>F59+J59+N59+R59+W59</f>
        <v/>
      </c>
      <c r="AB59" s="42">
        <f>Y59*VARIABLES!$B$14*VARIABLES!$B$15</f>
        <v/>
      </c>
      <c r="AC59" s="33">
        <f>Z59+AA59+AB59</f>
        <v/>
      </c>
      <c r="AD59" s="34">
        <f>G59+K59+O59+S59+X59</f>
        <v/>
      </c>
      <c r="AE59" s="42">
        <f>0</f>
        <v/>
      </c>
      <c r="AF59" s="42">
        <f>Z59*VARIABLES!$B$19</f>
        <v/>
      </c>
      <c r="AG59" s="42">
        <f>AA59*VARIABLES!$B$18</f>
        <v/>
      </c>
      <c r="AH59" s="42">
        <f>VARIABLES!$B$20</f>
        <v/>
      </c>
      <c r="AI59" s="42">
        <f>IF(MOD($A59,12)=0,VARIABLES!$B$21,0)</f>
        <v/>
      </c>
      <c r="AJ59" s="35">
        <f>AE59+AF59+AG59+AH59+AI59</f>
        <v/>
      </c>
      <c r="AK59" s="36">
        <f>IF($A59&lt;VARIABLES!$B$7,VARIABLES!$B$11,0)</f>
        <v/>
      </c>
      <c r="AL59" s="44">
        <f>AC59-AJ59-AK59</f>
        <v/>
      </c>
      <c r="AM59" s="44">
        <f>AM58+AL59</f>
        <v/>
      </c>
      <c r="AN59" s="38">
        <f>AN58+AK59</f>
        <v/>
      </c>
    </row>
    <row r="60">
      <c r="A60" s="28" t="n">
        <v>57</v>
      </c>
      <c r="B60" s="29">
        <f>TEXT(DATE(VARIABLES!$B$63+INT((VARIABLES!$B$64+$A60-2)/12),MOD(VARIABLES!$B$64+$A60-2,12)+1,1),"mmm-yy")</f>
        <v/>
      </c>
      <c r="C60" s="30">
        <f>IF($A60&lt;VARIABLES!$B$7,VARIABLES!$B$5/12,IF($A60&lt;VARIABLES!$B$8,VARIABLES!$B$6/12,VARIABLES!$B$9/12))</f>
        <v/>
      </c>
      <c r="D60" s="31">
        <f>IF($A60&lt;VARIABLES!$B$24,0,IF($A60=VARIABLES!$B$24,VARIABLES!$B$25+VARIABLES!$B$26,VARIABLES!$B$26))</f>
        <v/>
      </c>
      <c r="E60" s="31">
        <f>D60*VARIABLES!$B$27</f>
        <v/>
      </c>
      <c r="F60" s="31">
        <f>IF($A60&lt;VARIABLES!$B$24,0,(IF($A60=VARIABLES!$B$24,0,G59)+D60)*C60*VARIABLES!$B$28)</f>
        <v/>
      </c>
      <c r="G60" s="31">
        <f>IF($A60&lt;VARIABLES!$B$24,0,(IF($A60=VARIABLES!$B$24,0,G59)+D60)*(1+C60)-F60)</f>
        <v/>
      </c>
      <c r="H60" s="31">
        <f>IF($A60&lt;VARIABLES!$B$31,0,IF($A60=VARIABLES!$B$31,VARIABLES!$B$32+VARIABLES!$B$33,VARIABLES!$B$33))</f>
        <v/>
      </c>
      <c r="I60" s="31">
        <f>H60*VARIABLES!$B$34</f>
        <v/>
      </c>
      <c r="J60" s="31">
        <f>IF($A60&lt;VARIABLES!$B$31,0,(IF($A60=VARIABLES!$B$31,0,K59)+H60)*C60*VARIABLES!$B$35)</f>
        <v/>
      </c>
      <c r="K60" s="31">
        <f>IF($A60&lt;VARIABLES!$B$31,0,(IF($A60=VARIABLES!$B$31,0,K59)+H60)*(1+C60)-J60)</f>
        <v/>
      </c>
      <c r="L60" s="31">
        <f>IF($A60&lt;VARIABLES!$B$38,0,IF($A60=VARIABLES!$B$38,VARIABLES!$B$39+VARIABLES!$B$40,VARIABLES!$B$40))</f>
        <v/>
      </c>
      <c r="M60" s="31">
        <f>L60*VARIABLES!$B$41</f>
        <v/>
      </c>
      <c r="N60" s="31">
        <f>IF($A60&lt;VARIABLES!$B$38,0,(IF($A60=VARIABLES!$B$38,0,O59)+L60)*C60*VARIABLES!$B$42)</f>
        <v/>
      </c>
      <c r="O60" s="31">
        <f>IF($A60&lt;VARIABLES!$B$38,0,(IF($A60=VARIABLES!$B$38,0,O59)+L60)*(1+C60)-N60)</f>
        <v/>
      </c>
      <c r="P60" s="31">
        <f>IF($A60&lt;VARIABLES!$B$45,0,IF($A60=VARIABLES!$B$45,VARIABLES!$B$46+VARIABLES!$B$47,VARIABLES!$B$47))</f>
        <v/>
      </c>
      <c r="Q60" s="31">
        <f>P60*VARIABLES!$B$48</f>
        <v/>
      </c>
      <c r="R60" s="31">
        <f>IF($A60&lt;VARIABLES!$B$45,0,(IF($A60=VARIABLES!$B$45,0,S59)+P60)*C60*VARIABLES!$B$49)</f>
        <v/>
      </c>
      <c r="S60" s="31">
        <f>IF($A60&lt;VARIABLES!$B$45,0,(IF($A60=VARIABLES!$B$45,0,S59)+P60)*(1+C60)-R60)</f>
        <v/>
      </c>
      <c r="T60" s="32">
        <f>IF($A60&lt;VARIABLES!$B$53,0,MIN(VARIABLES!$B$52,INT(($A60-VARIABLES!$B$53)/VARIABLES!$B$54)+1)*VARIABLES!$B$55)</f>
        <v/>
      </c>
      <c r="U60" s="31">
        <f>T60*VARIABLES!$B$57+IF(AND($A60&gt;=VARIABLES!$B$53,MOD($A60-VARIABLES!$B$53,VARIABLES!$B$54)=0,INT(($A60-VARIABLES!$B$53)/VARIABLES!$B$54)&lt;VARIABLES!$B$52),VARIABLES!$B$55*VARIABLES!$B$56,0)</f>
        <v/>
      </c>
      <c r="V60" s="31">
        <f>U60*VARIABLES!$B$58</f>
        <v/>
      </c>
      <c r="W60" s="31">
        <f>IF($A60&lt;VARIABLES!$B$53,0,(IF($A60&lt;VARIABLES!$B$53+1,0,X59)+U60)*C60*VARIABLES!$B$59)</f>
        <v/>
      </c>
      <c r="X60" s="31">
        <f>IF($A60&lt;VARIABLES!$B$53,0,(IF($A60&lt;VARIABLES!$B$53+1,0,X59)+U60)*(1+C60)-W60)</f>
        <v/>
      </c>
      <c r="Y60" s="31">
        <f>D60+H60+L60+P60+U60</f>
        <v/>
      </c>
      <c r="Z60" s="31">
        <f>E60+I60+M60+Q60+V60</f>
        <v/>
      </c>
      <c r="AA60" s="31">
        <f>F60+J60+N60+R60+W60</f>
        <v/>
      </c>
      <c r="AB60" s="31">
        <f>Y60*VARIABLES!$B$14*VARIABLES!$B$15</f>
        <v/>
      </c>
      <c r="AC60" s="33">
        <f>Z60+AA60+AB60</f>
        <v/>
      </c>
      <c r="AD60" s="34">
        <f>G60+K60+O60+S60+X60</f>
        <v/>
      </c>
      <c r="AE60" s="31">
        <f>0</f>
        <v/>
      </c>
      <c r="AF60" s="31">
        <f>Z60*VARIABLES!$B$19</f>
        <v/>
      </c>
      <c r="AG60" s="31">
        <f>AA60*VARIABLES!$B$18</f>
        <v/>
      </c>
      <c r="AH60" s="31">
        <f>VARIABLES!$B$20</f>
        <v/>
      </c>
      <c r="AI60" s="31">
        <f>IF(MOD($A60,12)=0,VARIABLES!$B$21,0)</f>
        <v/>
      </c>
      <c r="AJ60" s="35">
        <f>AE60+AF60+AG60+AH60+AI60</f>
        <v/>
      </c>
      <c r="AK60" s="36">
        <f>IF($A60&lt;VARIABLES!$B$7,VARIABLES!$B$11,0)</f>
        <v/>
      </c>
      <c r="AL60" s="37">
        <f>AC60-AJ60-AK60</f>
        <v/>
      </c>
      <c r="AM60" s="37">
        <f>AM59+AL60</f>
        <v/>
      </c>
      <c r="AN60" s="38">
        <f>AN59+AK60</f>
        <v/>
      </c>
    </row>
    <row r="61">
      <c r="A61" s="39" t="n">
        <v>58</v>
      </c>
      <c r="B61" s="40">
        <f>TEXT(DATE(VARIABLES!$B$63+INT((VARIABLES!$B$64+$A61-2)/12),MOD(VARIABLES!$B$64+$A61-2,12)+1,1),"mmm-yy")</f>
        <v/>
      </c>
      <c r="C61" s="41">
        <f>IF($A61&lt;VARIABLES!$B$7,VARIABLES!$B$5/12,IF($A61&lt;VARIABLES!$B$8,VARIABLES!$B$6/12,VARIABLES!$B$9/12))</f>
        <v/>
      </c>
      <c r="D61" s="42">
        <f>IF($A61&lt;VARIABLES!$B$24,0,IF($A61=VARIABLES!$B$24,VARIABLES!$B$25+VARIABLES!$B$26,VARIABLES!$B$26))</f>
        <v/>
      </c>
      <c r="E61" s="42">
        <f>D61*VARIABLES!$B$27</f>
        <v/>
      </c>
      <c r="F61" s="42">
        <f>IF($A61&lt;VARIABLES!$B$24,0,(IF($A61=VARIABLES!$B$24,0,G60)+D61)*C61*VARIABLES!$B$28)</f>
        <v/>
      </c>
      <c r="G61" s="42">
        <f>IF($A61&lt;VARIABLES!$B$24,0,(IF($A61=VARIABLES!$B$24,0,G60)+D61)*(1+C61)-F61)</f>
        <v/>
      </c>
      <c r="H61" s="42">
        <f>IF($A61&lt;VARIABLES!$B$31,0,IF($A61=VARIABLES!$B$31,VARIABLES!$B$32+VARIABLES!$B$33,VARIABLES!$B$33))</f>
        <v/>
      </c>
      <c r="I61" s="42">
        <f>H61*VARIABLES!$B$34</f>
        <v/>
      </c>
      <c r="J61" s="42">
        <f>IF($A61&lt;VARIABLES!$B$31,0,(IF($A61=VARIABLES!$B$31,0,K60)+H61)*C61*VARIABLES!$B$35)</f>
        <v/>
      </c>
      <c r="K61" s="42">
        <f>IF($A61&lt;VARIABLES!$B$31,0,(IF($A61=VARIABLES!$B$31,0,K60)+H61)*(1+C61)-J61)</f>
        <v/>
      </c>
      <c r="L61" s="42">
        <f>IF($A61&lt;VARIABLES!$B$38,0,IF($A61=VARIABLES!$B$38,VARIABLES!$B$39+VARIABLES!$B$40,VARIABLES!$B$40))</f>
        <v/>
      </c>
      <c r="M61" s="42">
        <f>L61*VARIABLES!$B$41</f>
        <v/>
      </c>
      <c r="N61" s="42">
        <f>IF($A61&lt;VARIABLES!$B$38,0,(IF($A61=VARIABLES!$B$38,0,O60)+L61)*C61*VARIABLES!$B$42)</f>
        <v/>
      </c>
      <c r="O61" s="42">
        <f>IF($A61&lt;VARIABLES!$B$38,0,(IF($A61=VARIABLES!$B$38,0,O60)+L61)*(1+C61)-N61)</f>
        <v/>
      </c>
      <c r="P61" s="42">
        <f>IF($A61&lt;VARIABLES!$B$45,0,IF($A61=VARIABLES!$B$45,VARIABLES!$B$46+VARIABLES!$B$47,VARIABLES!$B$47))</f>
        <v/>
      </c>
      <c r="Q61" s="42">
        <f>P61*VARIABLES!$B$48</f>
        <v/>
      </c>
      <c r="R61" s="42">
        <f>IF($A61&lt;VARIABLES!$B$45,0,(IF($A61=VARIABLES!$B$45,0,S60)+P61)*C61*VARIABLES!$B$49)</f>
        <v/>
      </c>
      <c r="S61" s="42">
        <f>IF($A61&lt;VARIABLES!$B$45,0,(IF($A61=VARIABLES!$B$45,0,S60)+P61)*(1+C61)-R61)</f>
        <v/>
      </c>
      <c r="T61" s="43">
        <f>IF($A61&lt;VARIABLES!$B$53,0,MIN(VARIABLES!$B$52,INT(($A61-VARIABLES!$B$53)/VARIABLES!$B$54)+1)*VARIABLES!$B$55)</f>
        <v/>
      </c>
      <c r="U61" s="42">
        <f>T61*VARIABLES!$B$57+IF(AND($A61&gt;=VARIABLES!$B$53,MOD($A61-VARIABLES!$B$53,VARIABLES!$B$54)=0,INT(($A61-VARIABLES!$B$53)/VARIABLES!$B$54)&lt;VARIABLES!$B$52),VARIABLES!$B$55*VARIABLES!$B$56,0)</f>
        <v/>
      </c>
      <c r="V61" s="42">
        <f>U61*VARIABLES!$B$58</f>
        <v/>
      </c>
      <c r="W61" s="42">
        <f>IF($A61&lt;VARIABLES!$B$53,0,(IF($A61&lt;VARIABLES!$B$53+1,0,X60)+U61)*C61*VARIABLES!$B$59)</f>
        <v/>
      </c>
      <c r="X61" s="42">
        <f>IF($A61&lt;VARIABLES!$B$53,0,(IF($A61&lt;VARIABLES!$B$53+1,0,X60)+U61)*(1+C61)-W61)</f>
        <v/>
      </c>
      <c r="Y61" s="42">
        <f>D61+H61+L61+P61+U61</f>
        <v/>
      </c>
      <c r="Z61" s="42">
        <f>E61+I61+M61+Q61+V61</f>
        <v/>
      </c>
      <c r="AA61" s="42">
        <f>F61+J61+N61+R61+W61</f>
        <v/>
      </c>
      <c r="AB61" s="42">
        <f>Y61*VARIABLES!$B$14*VARIABLES!$B$15</f>
        <v/>
      </c>
      <c r="AC61" s="33">
        <f>Z61+AA61+AB61</f>
        <v/>
      </c>
      <c r="AD61" s="34">
        <f>G61+K61+O61+S61+X61</f>
        <v/>
      </c>
      <c r="AE61" s="42">
        <f>0</f>
        <v/>
      </c>
      <c r="AF61" s="42">
        <f>Z61*VARIABLES!$B$19</f>
        <v/>
      </c>
      <c r="AG61" s="42">
        <f>AA61*VARIABLES!$B$18</f>
        <v/>
      </c>
      <c r="AH61" s="42">
        <f>VARIABLES!$B$20</f>
        <v/>
      </c>
      <c r="AI61" s="42">
        <f>IF(MOD($A61,12)=0,VARIABLES!$B$21,0)</f>
        <v/>
      </c>
      <c r="AJ61" s="35">
        <f>AE61+AF61+AG61+AH61+AI61</f>
        <v/>
      </c>
      <c r="AK61" s="36">
        <f>IF($A61&lt;VARIABLES!$B$7,VARIABLES!$B$11,0)</f>
        <v/>
      </c>
      <c r="AL61" s="44">
        <f>AC61-AJ61-AK61</f>
        <v/>
      </c>
      <c r="AM61" s="44">
        <f>AM60+AL61</f>
        <v/>
      </c>
      <c r="AN61" s="38">
        <f>AN60+AK61</f>
        <v/>
      </c>
    </row>
    <row r="62">
      <c r="A62" s="28" t="n">
        <v>59</v>
      </c>
      <c r="B62" s="29">
        <f>TEXT(DATE(VARIABLES!$B$63+INT((VARIABLES!$B$64+$A62-2)/12),MOD(VARIABLES!$B$64+$A62-2,12)+1,1),"mmm-yy")</f>
        <v/>
      </c>
      <c r="C62" s="30">
        <f>IF($A62&lt;VARIABLES!$B$7,VARIABLES!$B$5/12,IF($A62&lt;VARIABLES!$B$8,VARIABLES!$B$6/12,VARIABLES!$B$9/12))</f>
        <v/>
      </c>
      <c r="D62" s="31">
        <f>IF($A62&lt;VARIABLES!$B$24,0,IF($A62=VARIABLES!$B$24,VARIABLES!$B$25+VARIABLES!$B$26,VARIABLES!$B$26))</f>
        <v/>
      </c>
      <c r="E62" s="31">
        <f>D62*VARIABLES!$B$27</f>
        <v/>
      </c>
      <c r="F62" s="31">
        <f>IF($A62&lt;VARIABLES!$B$24,0,(IF($A62=VARIABLES!$B$24,0,G61)+D62)*C62*VARIABLES!$B$28)</f>
        <v/>
      </c>
      <c r="G62" s="31">
        <f>IF($A62&lt;VARIABLES!$B$24,0,(IF($A62=VARIABLES!$B$24,0,G61)+D62)*(1+C62)-F62)</f>
        <v/>
      </c>
      <c r="H62" s="31">
        <f>IF($A62&lt;VARIABLES!$B$31,0,IF($A62=VARIABLES!$B$31,VARIABLES!$B$32+VARIABLES!$B$33,VARIABLES!$B$33))</f>
        <v/>
      </c>
      <c r="I62" s="31">
        <f>H62*VARIABLES!$B$34</f>
        <v/>
      </c>
      <c r="J62" s="31">
        <f>IF($A62&lt;VARIABLES!$B$31,0,(IF($A62=VARIABLES!$B$31,0,K61)+H62)*C62*VARIABLES!$B$35)</f>
        <v/>
      </c>
      <c r="K62" s="31">
        <f>IF($A62&lt;VARIABLES!$B$31,0,(IF($A62=VARIABLES!$B$31,0,K61)+H62)*(1+C62)-J62)</f>
        <v/>
      </c>
      <c r="L62" s="31">
        <f>IF($A62&lt;VARIABLES!$B$38,0,IF($A62=VARIABLES!$B$38,VARIABLES!$B$39+VARIABLES!$B$40,VARIABLES!$B$40))</f>
        <v/>
      </c>
      <c r="M62" s="31">
        <f>L62*VARIABLES!$B$41</f>
        <v/>
      </c>
      <c r="N62" s="31">
        <f>IF($A62&lt;VARIABLES!$B$38,0,(IF($A62=VARIABLES!$B$38,0,O61)+L62)*C62*VARIABLES!$B$42)</f>
        <v/>
      </c>
      <c r="O62" s="31">
        <f>IF($A62&lt;VARIABLES!$B$38,0,(IF($A62=VARIABLES!$B$38,0,O61)+L62)*(1+C62)-N62)</f>
        <v/>
      </c>
      <c r="P62" s="31">
        <f>IF($A62&lt;VARIABLES!$B$45,0,IF($A62=VARIABLES!$B$45,VARIABLES!$B$46+VARIABLES!$B$47,VARIABLES!$B$47))</f>
        <v/>
      </c>
      <c r="Q62" s="31">
        <f>P62*VARIABLES!$B$48</f>
        <v/>
      </c>
      <c r="R62" s="31">
        <f>IF($A62&lt;VARIABLES!$B$45,0,(IF($A62=VARIABLES!$B$45,0,S61)+P62)*C62*VARIABLES!$B$49)</f>
        <v/>
      </c>
      <c r="S62" s="31">
        <f>IF($A62&lt;VARIABLES!$B$45,0,(IF($A62=VARIABLES!$B$45,0,S61)+P62)*(1+C62)-R62)</f>
        <v/>
      </c>
      <c r="T62" s="32">
        <f>IF($A62&lt;VARIABLES!$B$53,0,MIN(VARIABLES!$B$52,INT(($A62-VARIABLES!$B$53)/VARIABLES!$B$54)+1)*VARIABLES!$B$55)</f>
        <v/>
      </c>
      <c r="U62" s="31">
        <f>T62*VARIABLES!$B$57+IF(AND($A62&gt;=VARIABLES!$B$53,MOD($A62-VARIABLES!$B$53,VARIABLES!$B$54)=0,INT(($A62-VARIABLES!$B$53)/VARIABLES!$B$54)&lt;VARIABLES!$B$52),VARIABLES!$B$55*VARIABLES!$B$56,0)</f>
        <v/>
      </c>
      <c r="V62" s="31">
        <f>U62*VARIABLES!$B$58</f>
        <v/>
      </c>
      <c r="W62" s="31">
        <f>IF($A62&lt;VARIABLES!$B$53,0,(IF($A62&lt;VARIABLES!$B$53+1,0,X61)+U62)*C62*VARIABLES!$B$59)</f>
        <v/>
      </c>
      <c r="X62" s="31">
        <f>IF($A62&lt;VARIABLES!$B$53,0,(IF($A62&lt;VARIABLES!$B$53+1,0,X61)+U62)*(1+C62)-W62)</f>
        <v/>
      </c>
      <c r="Y62" s="31">
        <f>D62+H62+L62+P62+U62</f>
        <v/>
      </c>
      <c r="Z62" s="31">
        <f>E62+I62+M62+Q62+V62</f>
        <v/>
      </c>
      <c r="AA62" s="31">
        <f>F62+J62+N62+R62+W62</f>
        <v/>
      </c>
      <c r="AB62" s="31">
        <f>Y62*VARIABLES!$B$14*VARIABLES!$B$15</f>
        <v/>
      </c>
      <c r="AC62" s="33">
        <f>Z62+AA62+AB62</f>
        <v/>
      </c>
      <c r="AD62" s="34">
        <f>G62+K62+O62+S62+X62</f>
        <v/>
      </c>
      <c r="AE62" s="31">
        <f>0</f>
        <v/>
      </c>
      <c r="AF62" s="31">
        <f>Z62*VARIABLES!$B$19</f>
        <v/>
      </c>
      <c r="AG62" s="31">
        <f>AA62*VARIABLES!$B$18</f>
        <v/>
      </c>
      <c r="AH62" s="31">
        <f>VARIABLES!$B$20</f>
        <v/>
      </c>
      <c r="AI62" s="31">
        <f>IF(MOD($A62,12)=0,VARIABLES!$B$21,0)</f>
        <v/>
      </c>
      <c r="AJ62" s="35">
        <f>AE62+AF62+AG62+AH62+AI62</f>
        <v/>
      </c>
      <c r="AK62" s="36">
        <f>IF($A62&lt;VARIABLES!$B$7,VARIABLES!$B$11,0)</f>
        <v/>
      </c>
      <c r="AL62" s="37">
        <f>AC62-AJ62-AK62</f>
        <v/>
      </c>
      <c r="AM62" s="37">
        <f>AM61+AL62</f>
        <v/>
      </c>
      <c r="AN62" s="38">
        <f>AN61+AK62</f>
        <v/>
      </c>
    </row>
    <row r="63">
      <c r="A63" s="39" t="n">
        <v>60</v>
      </c>
      <c r="B63" s="40">
        <f>TEXT(DATE(VARIABLES!$B$63+INT((VARIABLES!$B$64+$A63-2)/12),MOD(VARIABLES!$B$64+$A63-2,12)+1,1),"mmm-yy")</f>
        <v/>
      </c>
      <c r="C63" s="41">
        <f>IF($A63&lt;VARIABLES!$B$7,VARIABLES!$B$5/12,IF($A63&lt;VARIABLES!$B$8,VARIABLES!$B$6/12,VARIABLES!$B$9/12))</f>
        <v/>
      </c>
      <c r="D63" s="42">
        <f>IF($A63&lt;VARIABLES!$B$24,0,IF($A63=VARIABLES!$B$24,VARIABLES!$B$25+VARIABLES!$B$26,VARIABLES!$B$26))</f>
        <v/>
      </c>
      <c r="E63" s="42">
        <f>D63*VARIABLES!$B$27</f>
        <v/>
      </c>
      <c r="F63" s="42">
        <f>IF($A63&lt;VARIABLES!$B$24,0,(IF($A63=VARIABLES!$B$24,0,G62)+D63)*C63*VARIABLES!$B$28)</f>
        <v/>
      </c>
      <c r="G63" s="42">
        <f>IF($A63&lt;VARIABLES!$B$24,0,(IF($A63=VARIABLES!$B$24,0,G62)+D63)*(1+C63)-F63)</f>
        <v/>
      </c>
      <c r="H63" s="42">
        <f>IF($A63&lt;VARIABLES!$B$31,0,IF($A63=VARIABLES!$B$31,VARIABLES!$B$32+VARIABLES!$B$33,VARIABLES!$B$33))</f>
        <v/>
      </c>
      <c r="I63" s="42">
        <f>H63*VARIABLES!$B$34</f>
        <v/>
      </c>
      <c r="J63" s="42">
        <f>IF($A63&lt;VARIABLES!$B$31,0,(IF($A63=VARIABLES!$B$31,0,K62)+H63)*C63*VARIABLES!$B$35)</f>
        <v/>
      </c>
      <c r="K63" s="42">
        <f>IF($A63&lt;VARIABLES!$B$31,0,(IF($A63=VARIABLES!$B$31,0,K62)+H63)*(1+C63)-J63)</f>
        <v/>
      </c>
      <c r="L63" s="42">
        <f>IF($A63&lt;VARIABLES!$B$38,0,IF($A63=VARIABLES!$B$38,VARIABLES!$B$39+VARIABLES!$B$40,VARIABLES!$B$40))</f>
        <v/>
      </c>
      <c r="M63" s="42">
        <f>L63*VARIABLES!$B$41</f>
        <v/>
      </c>
      <c r="N63" s="42">
        <f>IF($A63&lt;VARIABLES!$B$38,0,(IF($A63=VARIABLES!$B$38,0,O62)+L63)*C63*VARIABLES!$B$42)</f>
        <v/>
      </c>
      <c r="O63" s="42">
        <f>IF($A63&lt;VARIABLES!$B$38,0,(IF($A63=VARIABLES!$B$38,0,O62)+L63)*(1+C63)-N63)</f>
        <v/>
      </c>
      <c r="P63" s="42">
        <f>IF($A63&lt;VARIABLES!$B$45,0,IF($A63=VARIABLES!$B$45,VARIABLES!$B$46+VARIABLES!$B$47,VARIABLES!$B$47))</f>
        <v/>
      </c>
      <c r="Q63" s="42">
        <f>P63*VARIABLES!$B$48</f>
        <v/>
      </c>
      <c r="R63" s="42">
        <f>IF($A63&lt;VARIABLES!$B$45,0,(IF($A63=VARIABLES!$B$45,0,S62)+P63)*C63*VARIABLES!$B$49)</f>
        <v/>
      </c>
      <c r="S63" s="42">
        <f>IF($A63&lt;VARIABLES!$B$45,0,(IF($A63=VARIABLES!$B$45,0,S62)+P63)*(1+C63)-R63)</f>
        <v/>
      </c>
      <c r="T63" s="43">
        <f>IF($A63&lt;VARIABLES!$B$53,0,MIN(VARIABLES!$B$52,INT(($A63-VARIABLES!$B$53)/VARIABLES!$B$54)+1)*VARIABLES!$B$55)</f>
        <v/>
      </c>
      <c r="U63" s="42">
        <f>T63*VARIABLES!$B$57+IF(AND($A63&gt;=VARIABLES!$B$53,MOD($A63-VARIABLES!$B$53,VARIABLES!$B$54)=0,INT(($A63-VARIABLES!$B$53)/VARIABLES!$B$54)&lt;VARIABLES!$B$52),VARIABLES!$B$55*VARIABLES!$B$56,0)</f>
        <v/>
      </c>
      <c r="V63" s="42">
        <f>U63*VARIABLES!$B$58</f>
        <v/>
      </c>
      <c r="W63" s="42">
        <f>IF($A63&lt;VARIABLES!$B$53,0,(IF($A63&lt;VARIABLES!$B$53+1,0,X62)+U63)*C63*VARIABLES!$B$59)</f>
        <v/>
      </c>
      <c r="X63" s="42">
        <f>IF($A63&lt;VARIABLES!$B$53,0,(IF($A63&lt;VARIABLES!$B$53+1,0,X62)+U63)*(1+C63)-W63)</f>
        <v/>
      </c>
      <c r="Y63" s="42">
        <f>D63+H63+L63+P63+U63</f>
        <v/>
      </c>
      <c r="Z63" s="42">
        <f>E63+I63+M63+Q63+V63</f>
        <v/>
      </c>
      <c r="AA63" s="42">
        <f>F63+J63+N63+R63+W63</f>
        <v/>
      </c>
      <c r="AB63" s="42">
        <f>Y63*VARIABLES!$B$14*VARIABLES!$B$15</f>
        <v/>
      </c>
      <c r="AC63" s="33">
        <f>Z63+AA63+AB63</f>
        <v/>
      </c>
      <c r="AD63" s="34">
        <f>G63+K63+O63+S63+X63</f>
        <v/>
      </c>
      <c r="AE63" s="42">
        <f>0</f>
        <v/>
      </c>
      <c r="AF63" s="42">
        <f>Z63*VARIABLES!$B$19</f>
        <v/>
      </c>
      <c r="AG63" s="42">
        <f>AA63*VARIABLES!$B$18</f>
        <v/>
      </c>
      <c r="AH63" s="42">
        <f>VARIABLES!$B$20</f>
        <v/>
      </c>
      <c r="AI63" s="42">
        <f>IF(MOD($A63,12)=0,VARIABLES!$B$21,0)</f>
        <v/>
      </c>
      <c r="AJ63" s="35">
        <f>AE63+AF63+AG63+AH63+AI63</f>
        <v/>
      </c>
      <c r="AK63" s="36">
        <f>IF($A63&lt;VARIABLES!$B$7,VARIABLES!$B$11,0)</f>
        <v/>
      </c>
      <c r="AL63" s="44">
        <f>AC63-AJ63-AK63</f>
        <v/>
      </c>
      <c r="AM63" s="44">
        <f>AM62+AL63</f>
        <v/>
      </c>
      <c r="AN63" s="38">
        <f>AN62+AK63</f>
        <v/>
      </c>
    </row>
    <row r="64">
      <c r="A64" s="28" t="n">
        <v>61</v>
      </c>
      <c r="B64" s="29">
        <f>TEXT(DATE(VARIABLES!$B$63+INT((VARIABLES!$B$64+$A64-2)/12),MOD(VARIABLES!$B$64+$A64-2,12)+1,1),"mmm-yy")</f>
        <v/>
      </c>
      <c r="C64" s="30">
        <f>IF($A64&lt;VARIABLES!$B$7,VARIABLES!$B$5/12,IF($A64&lt;VARIABLES!$B$8,VARIABLES!$B$6/12,VARIABLES!$B$9/12))</f>
        <v/>
      </c>
      <c r="D64" s="31">
        <f>IF($A64&lt;VARIABLES!$B$24,0,IF($A64=VARIABLES!$B$24,VARIABLES!$B$25+VARIABLES!$B$26,VARIABLES!$B$26))</f>
        <v/>
      </c>
      <c r="E64" s="31">
        <f>D64*VARIABLES!$B$27</f>
        <v/>
      </c>
      <c r="F64" s="31">
        <f>IF($A64&lt;VARIABLES!$B$24,0,(IF($A64=VARIABLES!$B$24,0,G63)+D64)*C64*VARIABLES!$B$28)</f>
        <v/>
      </c>
      <c r="G64" s="31">
        <f>IF($A64&lt;VARIABLES!$B$24,0,(IF($A64=VARIABLES!$B$24,0,G63)+D64)*(1+C64)-F64)</f>
        <v/>
      </c>
      <c r="H64" s="31">
        <f>IF($A64&lt;VARIABLES!$B$31,0,IF($A64=VARIABLES!$B$31,VARIABLES!$B$32+VARIABLES!$B$33,VARIABLES!$B$33))</f>
        <v/>
      </c>
      <c r="I64" s="31">
        <f>H64*VARIABLES!$B$34</f>
        <v/>
      </c>
      <c r="J64" s="31">
        <f>IF($A64&lt;VARIABLES!$B$31,0,(IF($A64=VARIABLES!$B$31,0,K63)+H64)*C64*VARIABLES!$B$35)</f>
        <v/>
      </c>
      <c r="K64" s="31">
        <f>IF($A64&lt;VARIABLES!$B$31,0,(IF($A64=VARIABLES!$B$31,0,K63)+H64)*(1+C64)-J64)</f>
        <v/>
      </c>
      <c r="L64" s="31">
        <f>IF($A64&lt;VARIABLES!$B$38,0,IF($A64=VARIABLES!$B$38,VARIABLES!$B$39+VARIABLES!$B$40,VARIABLES!$B$40))</f>
        <v/>
      </c>
      <c r="M64" s="31">
        <f>L64*VARIABLES!$B$41</f>
        <v/>
      </c>
      <c r="N64" s="31">
        <f>IF($A64&lt;VARIABLES!$B$38,0,(IF($A64=VARIABLES!$B$38,0,O63)+L64)*C64*VARIABLES!$B$42)</f>
        <v/>
      </c>
      <c r="O64" s="31">
        <f>IF($A64&lt;VARIABLES!$B$38,0,(IF($A64=VARIABLES!$B$38,0,O63)+L64)*(1+C64)-N64)</f>
        <v/>
      </c>
      <c r="P64" s="31">
        <f>IF($A64&lt;VARIABLES!$B$45,0,IF($A64=VARIABLES!$B$45,VARIABLES!$B$46+VARIABLES!$B$47,VARIABLES!$B$47))</f>
        <v/>
      </c>
      <c r="Q64" s="31">
        <f>P64*VARIABLES!$B$48</f>
        <v/>
      </c>
      <c r="R64" s="31">
        <f>IF($A64&lt;VARIABLES!$B$45,0,(IF($A64=VARIABLES!$B$45,0,S63)+P64)*C64*VARIABLES!$B$49)</f>
        <v/>
      </c>
      <c r="S64" s="31">
        <f>IF($A64&lt;VARIABLES!$B$45,0,(IF($A64=VARIABLES!$B$45,0,S63)+P64)*(1+C64)-R64)</f>
        <v/>
      </c>
      <c r="T64" s="32">
        <f>IF($A64&lt;VARIABLES!$B$53,0,MIN(VARIABLES!$B$52,INT(($A64-VARIABLES!$B$53)/VARIABLES!$B$54)+1)*VARIABLES!$B$55)</f>
        <v/>
      </c>
      <c r="U64" s="31">
        <f>T64*VARIABLES!$B$57+IF(AND($A64&gt;=VARIABLES!$B$53,MOD($A64-VARIABLES!$B$53,VARIABLES!$B$54)=0,INT(($A64-VARIABLES!$B$53)/VARIABLES!$B$54)&lt;VARIABLES!$B$52),VARIABLES!$B$55*VARIABLES!$B$56,0)</f>
        <v/>
      </c>
      <c r="V64" s="31">
        <f>U64*VARIABLES!$B$58</f>
        <v/>
      </c>
      <c r="W64" s="31">
        <f>IF($A64&lt;VARIABLES!$B$53,0,(IF($A64&lt;VARIABLES!$B$53+1,0,X63)+U64)*C64*VARIABLES!$B$59)</f>
        <v/>
      </c>
      <c r="X64" s="31">
        <f>IF($A64&lt;VARIABLES!$B$53,0,(IF($A64&lt;VARIABLES!$B$53+1,0,X63)+U64)*(1+C64)-W64)</f>
        <v/>
      </c>
      <c r="Y64" s="31">
        <f>D64+H64+L64+P64+U64</f>
        <v/>
      </c>
      <c r="Z64" s="31">
        <f>E64+I64+M64+Q64+V64</f>
        <v/>
      </c>
      <c r="AA64" s="31">
        <f>F64+J64+N64+R64+W64</f>
        <v/>
      </c>
      <c r="AB64" s="31">
        <f>Y64*VARIABLES!$B$14*VARIABLES!$B$15</f>
        <v/>
      </c>
      <c r="AC64" s="33">
        <f>Z64+AA64+AB64</f>
        <v/>
      </c>
      <c r="AD64" s="34">
        <f>G64+K64+O64+S64+X64</f>
        <v/>
      </c>
      <c r="AE64" s="31">
        <f>0</f>
        <v/>
      </c>
      <c r="AF64" s="31">
        <f>Z64*VARIABLES!$B$19</f>
        <v/>
      </c>
      <c r="AG64" s="31">
        <f>AA64*VARIABLES!$B$18</f>
        <v/>
      </c>
      <c r="AH64" s="31">
        <f>VARIABLES!$B$20</f>
        <v/>
      </c>
      <c r="AI64" s="31">
        <f>IF(MOD($A64,12)=0,VARIABLES!$B$21,0)</f>
        <v/>
      </c>
      <c r="AJ64" s="35">
        <f>AE64+AF64+AG64+AH64+AI64</f>
        <v/>
      </c>
      <c r="AK64" s="36">
        <f>IF($A64&lt;VARIABLES!$B$7,VARIABLES!$B$11,0)</f>
        <v/>
      </c>
      <c r="AL64" s="37">
        <f>AC64-AJ64-AK64</f>
        <v/>
      </c>
      <c r="AM64" s="37">
        <f>AM63+AL64</f>
        <v/>
      </c>
      <c r="AN64" s="38">
        <f>AN63+AK64</f>
        <v/>
      </c>
    </row>
    <row r="65">
      <c r="A65" s="39" t="n">
        <v>62</v>
      </c>
      <c r="B65" s="40">
        <f>TEXT(DATE(VARIABLES!$B$63+INT((VARIABLES!$B$64+$A65-2)/12),MOD(VARIABLES!$B$64+$A65-2,12)+1,1),"mmm-yy")</f>
        <v/>
      </c>
      <c r="C65" s="41">
        <f>IF($A65&lt;VARIABLES!$B$7,VARIABLES!$B$5/12,IF($A65&lt;VARIABLES!$B$8,VARIABLES!$B$6/12,VARIABLES!$B$9/12))</f>
        <v/>
      </c>
      <c r="D65" s="42">
        <f>IF($A65&lt;VARIABLES!$B$24,0,IF($A65=VARIABLES!$B$24,VARIABLES!$B$25+VARIABLES!$B$26,VARIABLES!$B$26))</f>
        <v/>
      </c>
      <c r="E65" s="42">
        <f>D65*VARIABLES!$B$27</f>
        <v/>
      </c>
      <c r="F65" s="42">
        <f>IF($A65&lt;VARIABLES!$B$24,0,(IF($A65=VARIABLES!$B$24,0,G64)+D65)*C65*VARIABLES!$B$28)</f>
        <v/>
      </c>
      <c r="G65" s="42">
        <f>IF($A65&lt;VARIABLES!$B$24,0,(IF($A65=VARIABLES!$B$24,0,G64)+D65)*(1+C65)-F65)</f>
        <v/>
      </c>
      <c r="H65" s="42">
        <f>IF($A65&lt;VARIABLES!$B$31,0,IF($A65=VARIABLES!$B$31,VARIABLES!$B$32+VARIABLES!$B$33,VARIABLES!$B$33))</f>
        <v/>
      </c>
      <c r="I65" s="42">
        <f>H65*VARIABLES!$B$34</f>
        <v/>
      </c>
      <c r="J65" s="42">
        <f>IF($A65&lt;VARIABLES!$B$31,0,(IF($A65=VARIABLES!$B$31,0,K64)+H65)*C65*VARIABLES!$B$35)</f>
        <v/>
      </c>
      <c r="K65" s="42">
        <f>IF($A65&lt;VARIABLES!$B$31,0,(IF($A65=VARIABLES!$B$31,0,K64)+H65)*(1+C65)-J65)</f>
        <v/>
      </c>
      <c r="L65" s="42">
        <f>IF($A65&lt;VARIABLES!$B$38,0,IF($A65=VARIABLES!$B$38,VARIABLES!$B$39+VARIABLES!$B$40,VARIABLES!$B$40))</f>
        <v/>
      </c>
      <c r="M65" s="42">
        <f>L65*VARIABLES!$B$41</f>
        <v/>
      </c>
      <c r="N65" s="42">
        <f>IF($A65&lt;VARIABLES!$B$38,0,(IF($A65=VARIABLES!$B$38,0,O64)+L65)*C65*VARIABLES!$B$42)</f>
        <v/>
      </c>
      <c r="O65" s="42">
        <f>IF($A65&lt;VARIABLES!$B$38,0,(IF($A65=VARIABLES!$B$38,0,O64)+L65)*(1+C65)-N65)</f>
        <v/>
      </c>
      <c r="P65" s="42">
        <f>IF($A65&lt;VARIABLES!$B$45,0,IF($A65=VARIABLES!$B$45,VARIABLES!$B$46+VARIABLES!$B$47,VARIABLES!$B$47))</f>
        <v/>
      </c>
      <c r="Q65" s="42">
        <f>P65*VARIABLES!$B$48</f>
        <v/>
      </c>
      <c r="R65" s="42">
        <f>IF($A65&lt;VARIABLES!$B$45,0,(IF($A65=VARIABLES!$B$45,0,S64)+P65)*C65*VARIABLES!$B$49)</f>
        <v/>
      </c>
      <c r="S65" s="42">
        <f>IF($A65&lt;VARIABLES!$B$45,0,(IF($A65=VARIABLES!$B$45,0,S64)+P65)*(1+C65)-R65)</f>
        <v/>
      </c>
      <c r="T65" s="43">
        <f>IF($A65&lt;VARIABLES!$B$53,0,MIN(VARIABLES!$B$52,INT(($A65-VARIABLES!$B$53)/VARIABLES!$B$54)+1)*VARIABLES!$B$55)</f>
        <v/>
      </c>
      <c r="U65" s="42">
        <f>T65*VARIABLES!$B$57+IF(AND($A65&gt;=VARIABLES!$B$53,MOD($A65-VARIABLES!$B$53,VARIABLES!$B$54)=0,INT(($A65-VARIABLES!$B$53)/VARIABLES!$B$54)&lt;VARIABLES!$B$52),VARIABLES!$B$55*VARIABLES!$B$56,0)</f>
        <v/>
      </c>
      <c r="V65" s="42">
        <f>U65*VARIABLES!$B$58</f>
        <v/>
      </c>
      <c r="W65" s="42">
        <f>IF($A65&lt;VARIABLES!$B$53,0,(IF($A65&lt;VARIABLES!$B$53+1,0,X64)+U65)*C65*VARIABLES!$B$59)</f>
        <v/>
      </c>
      <c r="X65" s="42">
        <f>IF($A65&lt;VARIABLES!$B$53,0,(IF($A65&lt;VARIABLES!$B$53+1,0,X64)+U65)*(1+C65)-W65)</f>
        <v/>
      </c>
      <c r="Y65" s="42">
        <f>D65+H65+L65+P65+U65</f>
        <v/>
      </c>
      <c r="Z65" s="42">
        <f>E65+I65+M65+Q65+V65</f>
        <v/>
      </c>
      <c r="AA65" s="42">
        <f>F65+J65+N65+R65+W65</f>
        <v/>
      </c>
      <c r="AB65" s="42">
        <f>Y65*VARIABLES!$B$14*VARIABLES!$B$15</f>
        <v/>
      </c>
      <c r="AC65" s="33">
        <f>Z65+AA65+AB65</f>
        <v/>
      </c>
      <c r="AD65" s="34">
        <f>G65+K65+O65+S65+X65</f>
        <v/>
      </c>
      <c r="AE65" s="42">
        <f>0</f>
        <v/>
      </c>
      <c r="AF65" s="42">
        <f>Z65*VARIABLES!$B$19</f>
        <v/>
      </c>
      <c r="AG65" s="42">
        <f>AA65*VARIABLES!$B$18</f>
        <v/>
      </c>
      <c r="AH65" s="42">
        <f>VARIABLES!$B$20</f>
        <v/>
      </c>
      <c r="AI65" s="42">
        <f>IF(MOD($A65,12)=0,VARIABLES!$B$21,0)</f>
        <v/>
      </c>
      <c r="AJ65" s="35">
        <f>AE65+AF65+AG65+AH65+AI65</f>
        <v/>
      </c>
      <c r="AK65" s="36">
        <f>IF($A65&lt;VARIABLES!$B$7,VARIABLES!$B$11,0)</f>
        <v/>
      </c>
      <c r="AL65" s="44">
        <f>AC65-AJ65-AK65</f>
        <v/>
      </c>
      <c r="AM65" s="44">
        <f>AM64+AL65</f>
        <v/>
      </c>
      <c r="AN65" s="38">
        <f>AN64+AK65</f>
        <v/>
      </c>
    </row>
    <row r="66">
      <c r="A66" s="28" t="n">
        <v>63</v>
      </c>
      <c r="B66" s="29">
        <f>TEXT(DATE(VARIABLES!$B$63+INT((VARIABLES!$B$64+$A66-2)/12),MOD(VARIABLES!$B$64+$A66-2,12)+1,1),"mmm-yy")</f>
        <v/>
      </c>
      <c r="C66" s="30">
        <f>IF($A66&lt;VARIABLES!$B$7,VARIABLES!$B$5/12,IF($A66&lt;VARIABLES!$B$8,VARIABLES!$B$6/12,VARIABLES!$B$9/12))</f>
        <v/>
      </c>
      <c r="D66" s="31">
        <f>IF($A66&lt;VARIABLES!$B$24,0,IF($A66=VARIABLES!$B$24,VARIABLES!$B$25+VARIABLES!$B$26,VARIABLES!$B$26))</f>
        <v/>
      </c>
      <c r="E66" s="31">
        <f>D66*VARIABLES!$B$27</f>
        <v/>
      </c>
      <c r="F66" s="31">
        <f>IF($A66&lt;VARIABLES!$B$24,0,(IF($A66=VARIABLES!$B$24,0,G65)+D66)*C66*VARIABLES!$B$28)</f>
        <v/>
      </c>
      <c r="G66" s="31">
        <f>IF($A66&lt;VARIABLES!$B$24,0,(IF($A66=VARIABLES!$B$24,0,G65)+D66)*(1+C66)-F66)</f>
        <v/>
      </c>
      <c r="H66" s="31">
        <f>IF($A66&lt;VARIABLES!$B$31,0,IF($A66=VARIABLES!$B$31,VARIABLES!$B$32+VARIABLES!$B$33,VARIABLES!$B$33))</f>
        <v/>
      </c>
      <c r="I66" s="31">
        <f>H66*VARIABLES!$B$34</f>
        <v/>
      </c>
      <c r="J66" s="31">
        <f>IF($A66&lt;VARIABLES!$B$31,0,(IF($A66=VARIABLES!$B$31,0,K65)+H66)*C66*VARIABLES!$B$35)</f>
        <v/>
      </c>
      <c r="K66" s="31">
        <f>IF($A66&lt;VARIABLES!$B$31,0,(IF($A66=VARIABLES!$B$31,0,K65)+H66)*(1+C66)-J66)</f>
        <v/>
      </c>
      <c r="L66" s="31">
        <f>IF($A66&lt;VARIABLES!$B$38,0,IF($A66=VARIABLES!$B$38,VARIABLES!$B$39+VARIABLES!$B$40,VARIABLES!$B$40))</f>
        <v/>
      </c>
      <c r="M66" s="31">
        <f>L66*VARIABLES!$B$41</f>
        <v/>
      </c>
      <c r="N66" s="31">
        <f>IF($A66&lt;VARIABLES!$B$38,0,(IF($A66=VARIABLES!$B$38,0,O65)+L66)*C66*VARIABLES!$B$42)</f>
        <v/>
      </c>
      <c r="O66" s="31">
        <f>IF($A66&lt;VARIABLES!$B$38,0,(IF($A66=VARIABLES!$B$38,0,O65)+L66)*(1+C66)-N66)</f>
        <v/>
      </c>
      <c r="P66" s="31">
        <f>IF($A66&lt;VARIABLES!$B$45,0,IF($A66=VARIABLES!$B$45,VARIABLES!$B$46+VARIABLES!$B$47,VARIABLES!$B$47))</f>
        <v/>
      </c>
      <c r="Q66" s="31">
        <f>P66*VARIABLES!$B$48</f>
        <v/>
      </c>
      <c r="R66" s="31">
        <f>IF($A66&lt;VARIABLES!$B$45,0,(IF($A66=VARIABLES!$B$45,0,S65)+P66)*C66*VARIABLES!$B$49)</f>
        <v/>
      </c>
      <c r="S66" s="31">
        <f>IF($A66&lt;VARIABLES!$B$45,0,(IF($A66=VARIABLES!$B$45,0,S65)+P66)*(1+C66)-R66)</f>
        <v/>
      </c>
      <c r="T66" s="32">
        <f>IF($A66&lt;VARIABLES!$B$53,0,MIN(VARIABLES!$B$52,INT(($A66-VARIABLES!$B$53)/VARIABLES!$B$54)+1)*VARIABLES!$B$55)</f>
        <v/>
      </c>
      <c r="U66" s="31">
        <f>T66*VARIABLES!$B$57+IF(AND($A66&gt;=VARIABLES!$B$53,MOD($A66-VARIABLES!$B$53,VARIABLES!$B$54)=0,INT(($A66-VARIABLES!$B$53)/VARIABLES!$B$54)&lt;VARIABLES!$B$52),VARIABLES!$B$55*VARIABLES!$B$56,0)</f>
        <v/>
      </c>
      <c r="V66" s="31">
        <f>U66*VARIABLES!$B$58</f>
        <v/>
      </c>
      <c r="W66" s="31">
        <f>IF($A66&lt;VARIABLES!$B$53,0,(IF($A66&lt;VARIABLES!$B$53+1,0,X65)+U66)*C66*VARIABLES!$B$59)</f>
        <v/>
      </c>
      <c r="X66" s="31">
        <f>IF($A66&lt;VARIABLES!$B$53,0,(IF($A66&lt;VARIABLES!$B$53+1,0,X65)+U66)*(1+C66)-W66)</f>
        <v/>
      </c>
      <c r="Y66" s="31">
        <f>D66+H66+L66+P66+U66</f>
        <v/>
      </c>
      <c r="Z66" s="31">
        <f>E66+I66+M66+Q66+V66</f>
        <v/>
      </c>
      <c r="AA66" s="31">
        <f>F66+J66+N66+R66+W66</f>
        <v/>
      </c>
      <c r="AB66" s="31">
        <f>Y66*VARIABLES!$B$14*VARIABLES!$B$15</f>
        <v/>
      </c>
      <c r="AC66" s="33">
        <f>Z66+AA66+AB66</f>
        <v/>
      </c>
      <c r="AD66" s="34">
        <f>G66+K66+O66+S66+X66</f>
        <v/>
      </c>
      <c r="AE66" s="31">
        <f>0</f>
        <v/>
      </c>
      <c r="AF66" s="31">
        <f>Z66*VARIABLES!$B$19</f>
        <v/>
      </c>
      <c r="AG66" s="31">
        <f>AA66*VARIABLES!$B$18</f>
        <v/>
      </c>
      <c r="AH66" s="31">
        <f>VARIABLES!$B$20</f>
        <v/>
      </c>
      <c r="AI66" s="31">
        <f>IF(MOD($A66,12)=0,VARIABLES!$B$21,0)</f>
        <v/>
      </c>
      <c r="AJ66" s="35">
        <f>AE66+AF66+AG66+AH66+AI66</f>
        <v/>
      </c>
      <c r="AK66" s="36">
        <f>IF($A66&lt;VARIABLES!$B$7,VARIABLES!$B$11,0)</f>
        <v/>
      </c>
      <c r="AL66" s="37">
        <f>AC66-AJ66-AK66</f>
        <v/>
      </c>
      <c r="AM66" s="37">
        <f>AM65+AL66</f>
        <v/>
      </c>
      <c r="AN66" s="38">
        <f>AN65+AK66</f>
        <v/>
      </c>
    </row>
    <row r="67">
      <c r="A67" s="39" t="n">
        <v>64</v>
      </c>
      <c r="B67" s="40">
        <f>TEXT(DATE(VARIABLES!$B$63+INT((VARIABLES!$B$64+$A67-2)/12),MOD(VARIABLES!$B$64+$A67-2,12)+1,1),"mmm-yy")</f>
        <v/>
      </c>
      <c r="C67" s="41">
        <f>IF($A67&lt;VARIABLES!$B$7,VARIABLES!$B$5/12,IF($A67&lt;VARIABLES!$B$8,VARIABLES!$B$6/12,VARIABLES!$B$9/12))</f>
        <v/>
      </c>
      <c r="D67" s="42">
        <f>IF($A67&lt;VARIABLES!$B$24,0,IF($A67=VARIABLES!$B$24,VARIABLES!$B$25+VARIABLES!$B$26,VARIABLES!$B$26))</f>
        <v/>
      </c>
      <c r="E67" s="42">
        <f>D67*VARIABLES!$B$27</f>
        <v/>
      </c>
      <c r="F67" s="42">
        <f>IF($A67&lt;VARIABLES!$B$24,0,(IF($A67=VARIABLES!$B$24,0,G66)+D67)*C67*VARIABLES!$B$28)</f>
        <v/>
      </c>
      <c r="G67" s="42">
        <f>IF($A67&lt;VARIABLES!$B$24,0,(IF($A67=VARIABLES!$B$24,0,G66)+D67)*(1+C67)-F67)</f>
        <v/>
      </c>
      <c r="H67" s="42">
        <f>IF($A67&lt;VARIABLES!$B$31,0,IF($A67=VARIABLES!$B$31,VARIABLES!$B$32+VARIABLES!$B$33,VARIABLES!$B$33))</f>
        <v/>
      </c>
      <c r="I67" s="42">
        <f>H67*VARIABLES!$B$34</f>
        <v/>
      </c>
      <c r="J67" s="42">
        <f>IF($A67&lt;VARIABLES!$B$31,0,(IF($A67=VARIABLES!$B$31,0,K66)+H67)*C67*VARIABLES!$B$35)</f>
        <v/>
      </c>
      <c r="K67" s="42">
        <f>IF($A67&lt;VARIABLES!$B$31,0,(IF($A67=VARIABLES!$B$31,0,K66)+H67)*(1+C67)-J67)</f>
        <v/>
      </c>
      <c r="L67" s="42">
        <f>IF($A67&lt;VARIABLES!$B$38,0,IF($A67=VARIABLES!$B$38,VARIABLES!$B$39+VARIABLES!$B$40,VARIABLES!$B$40))</f>
        <v/>
      </c>
      <c r="M67" s="42">
        <f>L67*VARIABLES!$B$41</f>
        <v/>
      </c>
      <c r="N67" s="42">
        <f>IF($A67&lt;VARIABLES!$B$38,0,(IF($A67=VARIABLES!$B$38,0,O66)+L67)*C67*VARIABLES!$B$42)</f>
        <v/>
      </c>
      <c r="O67" s="42">
        <f>IF($A67&lt;VARIABLES!$B$38,0,(IF($A67=VARIABLES!$B$38,0,O66)+L67)*(1+C67)-N67)</f>
        <v/>
      </c>
      <c r="P67" s="42">
        <f>IF($A67&lt;VARIABLES!$B$45,0,IF($A67=VARIABLES!$B$45,VARIABLES!$B$46+VARIABLES!$B$47,VARIABLES!$B$47))</f>
        <v/>
      </c>
      <c r="Q67" s="42">
        <f>P67*VARIABLES!$B$48</f>
        <v/>
      </c>
      <c r="R67" s="42">
        <f>IF($A67&lt;VARIABLES!$B$45,0,(IF($A67=VARIABLES!$B$45,0,S66)+P67)*C67*VARIABLES!$B$49)</f>
        <v/>
      </c>
      <c r="S67" s="42">
        <f>IF($A67&lt;VARIABLES!$B$45,0,(IF($A67=VARIABLES!$B$45,0,S66)+P67)*(1+C67)-R67)</f>
        <v/>
      </c>
      <c r="T67" s="43">
        <f>IF($A67&lt;VARIABLES!$B$53,0,MIN(VARIABLES!$B$52,INT(($A67-VARIABLES!$B$53)/VARIABLES!$B$54)+1)*VARIABLES!$B$55)</f>
        <v/>
      </c>
      <c r="U67" s="42">
        <f>T67*VARIABLES!$B$57+IF(AND($A67&gt;=VARIABLES!$B$53,MOD($A67-VARIABLES!$B$53,VARIABLES!$B$54)=0,INT(($A67-VARIABLES!$B$53)/VARIABLES!$B$54)&lt;VARIABLES!$B$52),VARIABLES!$B$55*VARIABLES!$B$56,0)</f>
        <v/>
      </c>
      <c r="V67" s="42">
        <f>U67*VARIABLES!$B$58</f>
        <v/>
      </c>
      <c r="W67" s="42">
        <f>IF($A67&lt;VARIABLES!$B$53,0,(IF($A67&lt;VARIABLES!$B$53+1,0,X66)+U67)*C67*VARIABLES!$B$59)</f>
        <v/>
      </c>
      <c r="X67" s="42">
        <f>IF($A67&lt;VARIABLES!$B$53,0,(IF($A67&lt;VARIABLES!$B$53+1,0,X66)+U67)*(1+C67)-W67)</f>
        <v/>
      </c>
      <c r="Y67" s="42">
        <f>D67+H67+L67+P67+U67</f>
        <v/>
      </c>
      <c r="Z67" s="42">
        <f>E67+I67+M67+Q67+V67</f>
        <v/>
      </c>
      <c r="AA67" s="42">
        <f>F67+J67+N67+R67+W67</f>
        <v/>
      </c>
      <c r="AB67" s="42">
        <f>Y67*VARIABLES!$B$14*VARIABLES!$B$15</f>
        <v/>
      </c>
      <c r="AC67" s="33">
        <f>Z67+AA67+AB67</f>
        <v/>
      </c>
      <c r="AD67" s="34">
        <f>G67+K67+O67+S67+X67</f>
        <v/>
      </c>
      <c r="AE67" s="42">
        <f>0</f>
        <v/>
      </c>
      <c r="AF67" s="42">
        <f>Z67*VARIABLES!$B$19</f>
        <v/>
      </c>
      <c r="AG67" s="42">
        <f>AA67*VARIABLES!$B$18</f>
        <v/>
      </c>
      <c r="AH67" s="42">
        <f>VARIABLES!$B$20</f>
        <v/>
      </c>
      <c r="AI67" s="42">
        <f>IF(MOD($A67,12)=0,VARIABLES!$B$21,0)</f>
        <v/>
      </c>
      <c r="AJ67" s="35">
        <f>AE67+AF67+AG67+AH67+AI67</f>
        <v/>
      </c>
      <c r="AK67" s="36">
        <f>IF($A67&lt;VARIABLES!$B$7,VARIABLES!$B$11,0)</f>
        <v/>
      </c>
      <c r="AL67" s="44">
        <f>AC67-AJ67-AK67</f>
        <v/>
      </c>
      <c r="AM67" s="44">
        <f>AM66+AL67</f>
        <v/>
      </c>
      <c r="AN67" s="38">
        <f>AN66+AK67</f>
        <v/>
      </c>
    </row>
    <row r="68">
      <c r="A68" s="28" t="n">
        <v>65</v>
      </c>
      <c r="B68" s="29">
        <f>TEXT(DATE(VARIABLES!$B$63+INT((VARIABLES!$B$64+$A68-2)/12),MOD(VARIABLES!$B$64+$A68-2,12)+1,1),"mmm-yy")</f>
        <v/>
      </c>
      <c r="C68" s="30">
        <f>IF($A68&lt;VARIABLES!$B$7,VARIABLES!$B$5/12,IF($A68&lt;VARIABLES!$B$8,VARIABLES!$B$6/12,VARIABLES!$B$9/12))</f>
        <v/>
      </c>
      <c r="D68" s="31">
        <f>IF($A68&lt;VARIABLES!$B$24,0,IF($A68=VARIABLES!$B$24,VARIABLES!$B$25+VARIABLES!$B$26,VARIABLES!$B$26))</f>
        <v/>
      </c>
      <c r="E68" s="31">
        <f>D68*VARIABLES!$B$27</f>
        <v/>
      </c>
      <c r="F68" s="31">
        <f>IF($A68&lt;VARIABLES!$B$24,0,(IF($A68=VARIABLES!$B$24,0,G67)+D68)*C68*VARIABLES!$B$28)</f>
        <v/>
      </c>
      <c r="G68" s="31">
        <f>IF($A68&lt;VARIABLES!$B$24,0,(IF($A68=VARIABLES!$B$24,0,G67)+D68)*(1+C68)-F68)</f>
        <v/>
      </c>
      <c r="H68" s="31">
        <f>IF($A68&lt;VARIABLES!$B$31,0,IF($A68=VARIABLES!$B$31,VARIABLES!$B$32+VARIABLES!$B$33,VARIABLES!$B$33))</f>
        <v/>
      </c>
      <c r="I68" s="31">
        <f>H68*VARIABLES!$B$34</f>
        <v/>
      </c>
      <c r="J68" s="31">
        <f>IF($A68&lt;VARIABLES!$B$31,0,(IF($A68=VARIABLES!$B$31,0,K67)+H68)*C68*VARIABLES!$B$35)</f>
        <v/>
      </c>
      <c r="K68" s="31">
        <f>IF($A68&lt;VARIABLES!$B$31,0,(IF($A68=VARIABLES!$B$31,0,K67)+H68)*(1+C68)-J68)</f>
        <v/>
      </c>
      <c r="L68" s="31">
        <f>IF($A68&lt;VARIABLES!$B$38,0,IF($A68=VARIABLES!$B$38,VARIABLES!$B$39+VARIABLES!$B$40,VARIABLES!$B$40))</f>
        <v/>
      </c>
      <c r="M68" s="31">
        <f>L68*VARIABLES!$B$41</f>
        <v/>
      </c>
      <c r="N68" s="31">
        <f>IF($A68&lt;VARIABLES!$B$38,0,(IF($A68=VARIABLES!$B$38,0,O67)+L68)*C68*VARIABLES!$B$42)</f>
        <v/>
      </c>
      <c r="O68" s="31">
        <f>IF($A68&lt;VARIABLES!$B$38,0,(IF($A68=VARIABLES!$B$38,0,O67)+L68)*(1+C68)-N68)</f>
        <v/>
      </c>
      <c r="P68" s="31">
        <f>IF($A68&lt;VARIABLES!$B$45,0,IF($A68=VARIABLES!$B$45,VARIABLES!$B$46+VARIABLES!$B$47,VARIABLES!$B$47))</f>
        <v/>
      </c>
      <c r="Q68" s="31">
        <f>P68*VARIABLES!$B$48</f>
        <v/>
      </c>
      <c r="R68" s="31">
        <f>IF($A68&lt;VARIABLES!$B$45,0,(IF($A68=VARIABLES!$B$45,0,S67)+P68)*C68*VARIABLES!$B$49)</f>
        <v/>
      </c>
      <c r="S68" s="31">
        <f>IF($A68&lt;VARIABLES!$B$45,0,(IF($A68=VARIABLES!$B$45,0,S67)+P68)*(1+C68)-R68)</f>
        <v/>
      </c>
      <c r="T68" s="32">
        <f>IF($A68&lt;VARIABLES!$B$53,0,MIN(VARIABLES!$B$52,INT(($A68-VARIABLES!$B$53)/VARIABLES!$B$54)+1)*VARIABLES!$B$55)</f>
        <v/>
      </c>
      <c r="U68" s="31">
        <f>T68*VARIABLES!$B$57+IF(AND($A68&gt;=VARIABLES!$B$53,MOD($A68-VARIABLES!$B$53,VARIABLES!$B$54)=0,INT(($A68-VARIABLES!$B$53)/VARIABLES!$B$54)&lt;VARIABLES!$B$52),VARIABLES!$B$55*VARIABLES!$B$56,0)</f>
        <v/>
      </c>
      <c r="V68" s="31">
        <f>U68*VARIABLES!$B$58</f>
        <v/>
      </c>
      <c r="W68" s="31">
        <f>IF($A68&lt;VARIABLES!$B$53,0,(IF($A68&lt;VARIABLES!$B$53+1,0,X67)+U68)*C68*VARIABLES!$B$59)</f>
        <v/>
      </c>
      <c r="X68" s="31">
        <f>IF($A68&lt;VARIABLES!$B$53,0,(IF($A68&lt;VARIABLES!$B$53+1,0,X67)+U68)*(1+C68)-W68)</f>
        <v/>
      </c>
      <c r="Y68" s="31">
        <f>D68+H68+L68+P68+U68</f>
        <v/>
      </c>
      <c r="Z68" s="31">
        <f>E68+I68+M68+Q68+V68</f>
        <v/>
      </c>
      <c r="AA68" s="31">
        <f>F68+J68+N68+R68+W68</f>
        <v/>
      </c>
      <c r="AB68" s="31">
        <f>Y68*VARIABLES!$B$14*VARIABLES!$B$15</f>
        <v/>
      </c>
      <c r="AC68" s="33">
        <f>Z68+AA68+AB68</f>
        <v/>
      </c>
      <c r="AD68" s="34">
        <f>G68+K68+O68+S68+X68</f>
        <v/>
      </c>
      <c r="AE68" s="31">
        <f>0</f>
        <v/>
      </c>
      <c r="AF68" s="31">
        <f>Z68*VARIABLES!$B$19</f>
        <v/>
      </c>
      <c r="AG68" s="31">
        <f>AA68*VARIABLES!$B$18</f>
        <v/>
      </c>
      <c r="AH68" s="31">
        <f>VARIABLES!$B$20</f>
        <v/>
      </c>
      <c r="AI68" s="31">
        <f>IF(MOD($A68,12)=0,VARIABLES!$B$21,0)</f>
        <v/>
      </c>
      <c r="AJ68" s="35">
        <f>AE68+AF68+AG68+AH68+AI68</f>
        <v/>
      </c>
      <c r="AK68" s="36">
        <f>IF($A68&lt;VARIABLES!$B$7,VARIABLES!$B$11,0)</f>
        <v/>
      </c>
      <c r="AL68" s="37">
        <f>AC68-AJ68-AK68</f>
        <v/>
      </c>
      <c r="AM68" s="37">
        <f>AM67+AL68</f>
        <v/>
      </c>
      <c r="AN68" s="38">
        <f>AN67+AK68</f>
        <v/>
      </c>
    </row>
    <row r="69">
      <c r="A69" s="39" t="n">
        <v>66</v>
      </c>
      <c r="B69" s="40">
        <f>TEXT(DATE(VARIABLES!$B$63+INT((VARIABLES!$B$64+$A69-2)/12),MOD(VARIABLES!$B$64+$A69-2,12)+1,1),"mmm-yy")</f>
        <v/>
      </c>
      <c r="C69" s="41">
        <f>IF($A69&lt;VARIABLES!$B$7,VARIABLES!$B$5/12,IF($A69&lt;VARIABLES!$B$8,VARIABLES!$B$6/12,VARIABLES!$B$9/12))</f>
        <v/>
      </c>
      <c r="D69" s="42">
        <f>IF($A69&lt;VARIABLES!$B$24,0,IF($A69=VARIABLES!$B$24,VARIABLES!$B$25+VARIABLES!$B$26,VARIABLES!$B$26))</f>
        <v/>
      </c>
      <c r="E69" s="42">
        <f>D69*VARIABLES!$B$27</f>
        <v/>
      </c>
      <c r="F69" s="42">
        <f>IF($A69&lt;VARIABLES!$B$24,0,(IF($A69=VARIABLES!$B$24,0,G68)+D69)*C69*VARIABLES!$B$28)</f>
        <v/>
      </c>
      <c r="G69" s="42">
        <f>IF($A69&lt;VARIABLES!$B$24,0,(IF($A69=VARIABLES!$B$24,0,G68)+D69)*(1+C69)-F69)</f>
        <v/>
      </c>
      <c r="H69" s="42">
        <f>IF($A69&lt;VARIABLES!$B$31,0,IF($A69=VARIABLES!$B$31,VARIABLES!$B$32+VARIABLES!$B$33,VARIABLES!$B$33))</f>
        <v/>
      </c>
      <c r="I69" s="42">
        <f>H69*VARIABLES!$B$34</f>
        <v/>
      </c>
      <c r="J69" s="42">
        <f>IF($A69&lt;VARIABLES!$B$31,0,(IF($A69=VARIABLES!$B$31,0,K68)+H69)*C69*VARIABLES!$B$35)</f>
        <v/>
      </c>
      <c r="K69" s="42">
        <f>IF($A69&lt;VARIABLES!$B$31,0,(IF($A69=VARIABLES!$B$31,0,K68)+H69)*(1+C69)-J69)</f>
        <v/>
      </c>
      <c r="L69" s="42">
        <f>IF($A69&lt;VARIABLES!$B$38,0,IF($A69=VARIABLES!$B$38,VARIABLES!$B$39+VARIABLES!$B$40,VARIABLES!$B$40))</f>
        <v/>
      </c>
      <c r="M69" s="42">
        <f>L69*VARIABLES!$B$41</f>
        <v/>
      </c>
      <c r="N69" s="42">
        <f>IF($A69&lt;VARIABLES!$B$38,0,(IF($A69=VARIABLES!$B$38,0,O68)+L69)*C69*VARIABLES!$B$42)</f>
        <v/>
      </c>
      <c r="O69" s="42">
        <f>IF($A69&lt;VARIABLES!$B$38,0,(IF($A69=VARIABLES!$B$38,0,O68)+L69)*(1+C69)-N69)</f>
        <v/>
      </c>
      <c r="P69" s="42">
        <f>IF($A69&lt;VARIABLES!$B$45,0,IF($A69=VARIABLES!$B$45,VARIABLES!$B$46+VARIABLES!$B$47,VARIABLES!$B$47))</f>
        <v/>
      </c>
      <c r="Q69" s="42">
        <f>P69*VARIABLES!$B$48</f>
        <v/>
      </c>
      <c r="R69" s="42">
        <f>IF($A69&lt;VARIABLES!$B$45,0,(IF($A69=VARIABLES!$B$45,0,S68)+P69)*C69*VARIABLES!$B$49)</f>
        <v/>
      </c>
      <c r="S69" s="42">
        <f>IF($A69&lt;VARIABLES!$B$45,0,(IF($A69=VARIABLES!$B$45,0,S68)+P69)*(1+C69)-R69)</f>
        <v/>
      </c>
      <c r="T69" s="43">
        <f>IF($A69&lt;VARIABLES!$B$53,0,MIN(VARIABLES!$B$52,INT(($A69-VARIABLES!$B$53)/VARIABLES!$B$54)+1)*VARIABLES!$B$55)</f>
        <v/>
      </c>
      <c r="U69" s="42">
        <f>T69*VARIABLES!$B$57+IF(AND($A69&gt;=VARIABLES!$B$53,MOD($A69-VARIABLES!$B$53,VARIABLES!$B$54)=0,INT(($A69-VARIABLES!$B$53)/VARIABLES!$B$54)&lt;VARIABLES!$B$52),VARIABLES!$B$55*VARIABLES!$B$56,0)</f>
        <v/>
      </c>
      <c r="V69" s="42">
        <f>U69*VARIABLES!$B$58</f>
        <v/>
      </c>
      <c r="W69" s="42">
        <f>IF($A69&lt;VARIABLES!$B$53,0,(IF($A69&lt;VARIABLES!$B$53+1,0,X68)+U69)*C69*VARIABLES!$B$59)</f>
        <v/>
      </c>
      <c r="X69" s="42">
        <f>IF($A69&lt;VARIABLES!$B$53,0,(IF($A69&lt;VARIABLES!$B$53+1,0,X68)+U69)*(1+C69)-W69)</f>
        <v/>
      </c>
      <c r="Y69" s="42">
        <f>D69+H69+L69+P69+U69</f>
        <v/>
      </c>
      <c r="Z69" s="42">
        <f>E69+I69+M69+Q69+V69</f>
        <v/>
      </c>
      <c r="AA69" s="42">
        <f>F69+J69+N69+R69+W69</f>
        <v/>
      </c>
      <c r="AB69" s="42">
        <f>Y69*VARIABLES!$B$14*VARIABLES!$B$15</f>
        <v/>
      </c>
      <c r="AC69" s="33">
        <f>Z69+AA69+AB69</f>
        <v/>
      </c>
      <c r="AD69" s="34">
        <f>G69+K69+O69+S69+X69</f>
        <v/>
      </c>
      <c r="AE69" s="42">
        <f>0</f>
        <v/>
      </c>
      <c r="AF69" s="42">
        <f>Z69*VARIABLES!$B$19</f>
        <v/>
      </c>
      <c r="AG69" s="42">
        <f>AA69*VARIABLES!$B$18</f>
        <v/>
      </c>
      <c r="AH69" s="42">
        <f>VARIABLES!$B$20</f>
        <v/>
      </c>
      <c r="AI69" s="42">
        <f>IF(MOD($A69,12)=0,VARIABLES!$B$21,0)</f>
        <v/>
      </c>
      <c r="AJ69" s="35">
        <f>AE69+AF69+AG69+AH69+AI69</f>
        <v/>
      </c>
      <c r="AK69" s="36">
        <f>IF($A69&lt;VARIABLES!$B$7,VARIABLES!$B$11,0)</f>
        <v/>
      </c>
      <c r="AL69" s="44">
        <f>AC69-AJ69-AK69</f>
        <v/>
      </c>
      <c r="AM69" s="44">
        <f>AM68+AL69</f>
        <v/>
      </c>
      <c r="AN69" s="38">
        <f>AN68+AK69</f>
        <v/>
      </c>
    </row>
    <row r="70">
      <c r="A70" s="28" t="n">
        <v>67</v>
      </c>
      <c r="B70" s="29">
        <f>TEXT(DATE(VARIABLES!$B$63+INT((VARIABLES!$B$64+$A70-2)/12),MOD(VARIABLES!$B$64+$A70-2,12)+1,1),"mmm-yy")</f>
        <v/>
      </c>
      <c r="C70" s="30">
        <f>IF($A70&lt;VARIABLES!$B$7,VARIABLES!$B$5/12,IF($A70&lt;VARIABLES!$B$8,VARIABLES!$B$6/12,VARIABLES!$B$9/12))</f>
        <v/>
      </c>
      <c r="D70" s="31">
        <f>IF($A70&lt;VARIABLES!$B$24,0,IF($A70=VARIABLES!$B$24,VARIABLES!$B$25+VARIABLES!$B$26,VARIABLES!$B$26))</f>
        <v/>
      </c>
      <c r="E70" s="31">
        <f>D70*VARIABLES!$B$27</f>
        <v/>
      </c>
      <c r="F70" s="31">
        <f>IF($A70&lt;VARIABLES!$B$24,0,(IF($A70=VARIABLES!$B$24,0,G69)+D70)*C70*VARIABLES!$B$28)</f>
        <v/>
      </c>
      <c r="G70" s="31">
        <f>IF($A70&lt;VARIABLES!$B$24,0,(IF($A70=VARIABLES!$B$24,0,G69)+D70)*(1+C70)-F70)</f>
        <v/>
      </c>
      <c r="H70" s="31">
        <f>IF($A70&lt;VARIABLES!$B$31,0,IF($A70=VARIABLES!$B$31,VARIABLES!$B$32+VARIABLES!$B$33,VARIABLES!$B$33))</f>
        <v/>
      </c>
      <c r="I70" s="31">
        <f>H70*VARIABLES!$B$34</f>
        <v/>
      </c>
      <c r="J70" s="31">
        <f>IF($A70&lt;VARIABLES!$B$31,0,(IF($A70=VARIABLES!$B$31,0,K69)+H70)*C70*VARIABLES!$B$35)</f>
        <v/>
      </c>
      <c r="K70" s="31">
        <f>IF($A70&lt;VARIABLES!$B$31,0,(IF($A70=VARIABLES!$B$31,0,K69)+H70)*(1+C70)-J70)</f>
        <v/>
      </c>
      <c r="L70" s="31">
        <f>IF($A70&lt;VARIABLES!$B$38,0,IF($A70=VARIABLES!$B$38,VARIABLES!$B$39+VARIABLES!$B$40,VARIABLES!$B$40))</f>
        <v/>
      </c>
      <c r="M70" s="31">
        <f>L70*VARIABLES!$B$41</f>
        <v/>
      </c>
      <c r="N70" s="31">
        <f>IF($A70&lt;VARIABLES!$B$38,0,(IF($A70=VARIABLES!$B$38,0,O69)+L70)*C70*VARIABLES!$B$42)</f>
        <v/>
      </c>
      <c r="O70" s="31">
        <f>IF($A70&lt;VARIABLES!$B$38,0,(IF($A70=VARIABLES!$B$38,0,O69)+L70)*(1+C70)-N70)</f>
        <v/>
      </c>
      <c r="P70" s="31">
        <f>IF($A70&lt;VARIABLES!$B$45,0,IF($A70=VARIABLES!$B$45,VARIABLES!$B$46+VARIABLES!$B$47,VARIABLES!$B$47))</f>
        <v/>
      </c>
      <c r="Q70" s="31">
        <f>P70*VARIABLES!$B$48</f>
        <v/>
      </c>
      <c r="R70" s="31">
        <f>IF($A70&lt;VARIABLES!$B$45,0,(IF($A70=VARIABLES!$B$45,0,S69)+P70)*C70*VARIABLES!$B$49)</f>
        <v/>
      </c>
      <c r="S70" s="31">
        <f>IF($A70&lt;VARIABLES!$B$45,0,(IF($A70=VARIABLES!$B$45,0,S69)+P70)*(1+C70)-R70)</f>
        <v/>
      </c>
      <c r="T70" s="32">
        <f>IF($A70&lt;VARIABLES!$B$53,0,MIN(VARIABLES!$B$52,INT(($A70-VARIABLES!$B$53)/VARIABLES!$B$54)+1)*VARIABLES!$B$55)</f>
        <v/>
      </c>
      <c r="U70" s="31">
        <f>T70*VARIABLES!$B$57+IF(AND($A70&gt;=VARIABLES!$B$53,MOD($A70-VARIABLES!$B$53,VARIABLES!$B$54)=0,INT(($A70-VARIABLES!$B$53)/VARIABLES!$B$54)&lt;VARIABLES!$B$52),VARIABLES!$B$55*VARIABLES!$B$56,0)</f>
        <v/>
      </c>
      <c r="V70" s="31">
        <f>U70*VARIABLES!$B$58</f>
        <v/>
      </c>
      <c r="W70" s="31">
        <f>IF($A70&lt;VARIABLES!$B$53,0,(IF($A70&lt;VARIABLES!$B$53+1,0,X69)+U70)*C70*VARIABLES!$B$59)</f>
        <v/>
      </c>
      <c r="X70" s="31">
        <f>IF($A70&lt;VARIABLES!$B$53,0,(IF($A70&lt;VARIABLES!$B$53+1,0,X69)+U70)*(1+C70)-W70)</f>
        <v/>
      </c>
      <c r="Y70" s="31">
        <f>D70+H70+L70+P70+U70</f>
        <v/>
      </c>
      <c r="Z70" s="31">
        <f>E70+I70+M70+Q70+V70</f>
        <v/>
      </c>
      <c r="AA70" s="31">
        <f>F70+J70+N70+R70+W70</f>
        <v/>
      </c>
      <c r="AB70" s="31">
        <f>Y70*VARIABLES!$B$14*VARIABLES!$B$15</f>
        <v/>
      </c>
      <c r="AC70" s="33">
        <f>Z70+AA70+AB70</f>
        <v/>
      </c>
      <c r="AD70" s="34">
        <f>G70+K70+O70+S70+X70</f>
        <v/>
      </c>
      <c r="AE70" s="31">
        <f>0</f>
        <v/>
      </c>
      <c r="AF70" s="31">
        <f>Z70*VARIABLES!$B$19</f>
        <v/>
      </c>
      <c r="AG70" s="31">
        <f>AA70*VARIABLES!$B$18</f>
        <v/>
      </c>
      <c r="AH70" s="31">
        <f>VARIABLES!$B$20</f>
        <v/>
      </c>
      <c r="AI70" s="31">
        <f>IF(MOD($A70,12)=0,VARIABLES!$B$21,0)</f>
        <v/>
      </c>
      <c r="AJ70" s="35">
        <f>AE70+AF70+AG70+AH70+AI70</f>
        <v/>
      </c>
      <c r="AK70" s="36">
        <f>IF($A70&lt;VARIABLES!$B$7,VARIABLES!$B$11,0)</f>
        <v/>
      </c>
      <c r="AL70" s="37">
        <f>AC70-AJ70-AK70</f>
        <v/>
      </c>
      <c r="AM70" s="37">
        <f>AM69+AL70</f>
        <v/>
      </c>
      <c r="AN70" s="38">
        <f>AN69+AK70</f>
        <v/>
      </c>
    </row>
    <row r="71">
      <c r="A71" s="39" t="n">
        <v>68</v>
      </c>
      <c r="B71" s="40">
        <f>TEXT(DATE(VARIABLES!$B$63+INT((VARIABLES!$B$64+$A71-2)/12),MOD(VARIABLES!$B$64+$A71-2,12)+1,1),"mmm-yy")</f>
        <v/>
      </c>
      <c r="C71" s="41">
        <f>IF($A71&lt;VARIABLES!$B$7,VARIABLES!$B$5/12,IF($A71&lt;VARIABLES!$B$8,VARIABLES!$B$6/12,VARIABLES!$B$9/12))</f>
        <v/>
      </c>
      <c r="D71" s="42">
        <f>IF($A71&lt;VARIABLES!$B$24,0,IF($A71=VARIABLES!$B$24,VARIABLES!$B$25+VARIABLES!$B$26,VARIABLES!$B$26))</f>
        <v/>
      </c>
      <c r="E71" s="42">
        <f>D71*VARIABLES!$B$27</f>
        <v/>
      </c>
      <c r="F71" s="42">
        <f>IF($A71&lt;VARIABLES!$B$24,0,(IF($A71=VARIABLES!$B$24,0,G70)+D71)*C71*VARIABLES!$B$28)</f>
        <v/>
      </c>
      <c r="G71" s="42">
        <f>IF($A71&lt;VARIABLES!$B$24,0,(IF($A71=VARIABLES!$B$24,0,G70)+D71)*(1+C71)-F71)</f>
        <v/>
      </c>
      <c r="H71" s="42">
        <f>IF($A71&lt;VARIABLES!$B$31,0,IF($A71=VARIABLES!$B$31,VARIABLES!$B$32+VARIABLES!$B$33,VARIABLES!$B$33))</f>
        <v/>
      </c>
      <c r="I71" s="42">
        <f>H71*VARIABLES!$B$34</f>
        <v/>
      </c>
      <c r="J71" s="42">
        <f>IF($A71&lt;VARIABLES!$B$31,0,(IF($A71=VARIABLES!$B$31,0,K70)+H71)*C71*VARIABLES!$B$35)</f>
        <v/>
      </c>
      <c r="K71" s="42">
        <f>IF($A71&lt;VARIABLES!$B$31,0,(IF($A71=VARIABLES!$B$31,0,K70)+H71)*(1+C71)-J71)</f>
        <v/>
      </c>
      <c r="L71" s="42">
        <f>IF($A71&lt;VARIABLES!$B$38,0,IF($A71=VARIABLES!$B$38,VARIABLES!$B$39+VARIABLES!$B$40,VARIABLES!$B$40))</f>
        <v/>
      </c>
      <c r="M71" s="42">
        <f>L71*VARIABLES!$B$41</f>
        <v/>
      </c>
      <c r="N71" s="42">
        <f>IF($A71&lt;VARIABLES!$B$38,0,(IF($A71=VARIABLES!$B$38,0,O70)+L71)*C71*VARIABLES!$B$42)</f>
        <v/>
      </c>
      <c r="O71" s="42">
        <f>IF($A71&lt;VARIABLES!$B$38,0,(IF($A71=VARIABLES!$B$38,0,O70)+L71)*(1+C71)-N71)</f>
        <v/>
      </c>
      <c r="P71" s="42">
        <f>IF($A71&lt;VARIABLES!$B$45,0,IF($A71=VARIABLES!$B$45,VARIABLES!$B$46+VARIABLES!$B$47,VARIABLES!$B$47))</f>
        <v/>
      </c>
      <c r="Q71" s="42">
        <f>P71*VARIABLES!$B$48</f>
        <v/>
      </c>
      <c r="R71" s="42">
        <f>IF($A71&lt;VARIABLES!$B$45,0,(IF($A71=VARIABLES!$B$45,0,S70)+P71)*C71*VARIABLES!$B$49)</f>
        <v/>
      </c>
      <c r="S71" s="42">
        <f>IF($A71&lt;VARIABLES!$B$45,0,(IF($A71=VARIABLES!$B$45,0,S70)+P71)*(1+C71)-R71)</f>
        <v/>
      </c>
      <c r="T71" s="43">
        <f>IF($A71&lt;VARIABLES!$B$53,0,MIN(VARIABLES!$B$52,INT(($A71-VARIABLES!$B$53)/VARIABLES!$B$54)+1)*VARIABLES!$B$55)</f>
        <v/>
      </c>
      <c r="U71" s="42">
        <f>T71*VARIABLES!$B$57+IF(AND($A71&gt;=VARIABLES!$B$53,MOD($A71-VARIABLES!$B$53,VARIABLES!$B$54)=0,INT(($A71-VARIABLES!$B$53)/VARIABLES!$B$54)&lt;VARIABLES!$B$52),VARIABLES!$B$55*VARIABLES!$B$56,0)</f>
        <v/>
      </c>
      <c r="V71" s="42">
        <f>U71*VARIABLES!$B$58</f>
        <v/>
      </c>
      <c r="W71" s="42">
        <f>IF($A71&lt;VARIABLES!$B$53,0,(IF($A71&lt;VARIABLES!$B$53+1,0,X70)+U71)*C71*VARIABLES!$B$59)</f>
        <v/>
      </c>
      <c r="X71" s="42">
        <f>IF($A71&lt;VARIABLES!$B$53,0,(IF($A71&lt;VARIABLES!$B$53+1,0,X70)+U71)*(1+C71)-W71)</f>
        <v/>
      </c>
      <c r="Y71" s="42">
        <f>D71+H71+L71+P71+U71</f>
        <v/>
      </c>
      <c r="Z71" s="42">
        <f>E71+I71+M71+Q71+V71</f>
        <v/>
      </c>
      <c r="AA71" s="42">
        <f>F71+J71+N71+R71+W71</f>
        <v/>
      </c>
      <c r="AB71" s="42">
        <f>Y71*VARIABLES!$B$14*VARIABLES!$B$15</f>
        <v/>
      </c>
      <c r="AC71" s="33">
        <f>Z71+AA71+AB71</f>
        <v/>
      </c>
      <c r="AD71" s="34">
        <f>G71+K71+O71+S71+X71</f>
        <v/>
      </c>
      <c r="AE71" s="42">
        <f>0</f>
        <v/>
      </c>
      <c r="AF71" s="42">
        <f>Z71*VARIABLES!$B$19</f>
        <v/>
      </c>
      <c r="AG71" s="42">
        <f>AA71*VARIABLES!$B$18</f>
        <v/>
      </c>
      <c r="AH71" s="42">
        <f>VARIABLES!$B$20</f>
        <v/>
      </c>
      <c r="AI71" s="42">
        <f>IF(MOD($A71,12)=0,VARIABLES!$B$21,0)</f>
        <v/>
      </c>
      <c r="AJ71" s="35">
        <f>AE71+AF71+AG71+AH71+AI71</f>
        <v/>
      </c>
      <c r="AK71" s="36">
        <f>IF($A71&lt;VARIABLES!$B$7,VARIABLES!$B$11,0)</f>
        <v/>
      </c>
      <c r="AL71" s="44">
        <f>AC71-AJ71-AK71</f>
        <v/>
      </c>
      <c r="AM71" s="44">
        <f>AM70+AL71</f>
        <v/>
      </c>
      <c r="AN71" s="38">
        <f>AN70+AK71</f>
        <v/>
      </c>
    </row>
    <row r="72">
      <c r="A72" s="28" t="n">
        <v>69</v>
      </c>
      <c r="B72" s="29">
        <f>TEXT(DATE(VARIABLES!$B$63+INT((VARIABLES!$B$64+$A72-2)/12),MOD(VARIABLES!$B$64+$A72-2,12)+1,1),"mmm-yy")</f>
        <v/>
      </c>
      <c r="C72" s="30">
        <f>IF($A72&lt;VARIABLES!$B$7,VARIABLES!$B$5/12,IF($A72&lt;VARIABLES!$B$8,VARIABLES!$B$6/12,VARIABLES!$B$9/12))</f>
        <v/>
      </c>
      <c r="D72" s="31">
        <f>IF($A72&lt;VARIABLES!$B$24,0,IF($A72=VARIABLES!$B$24,VARIABLES!$B$25+VARIABLES!$B$26,VARIABLES!$B$26))</f>
        <v/>
      </c>
      <c r="E72" s="31">
        <f>D72*VARIABLES!$B$27</f>
        <v/>
      </c>
      <c r="F72" s="31">
        <f>IF($A72&lt;VARIABLES!$B$24,0,(IF($A72=VARIABLES!$B$24,0,G71)+D72)*C72*VARIABLES!$B$28)</f>
        <v/>
      </c>
      <c r="G72" s="31">
        <f>IF($A72&lt;VARIABLES!$B$24,0,(IF($A72=VARIABLES!$B$24,0,G71)+D72)*(1+C72)-F72)</f>
        <v/>
      </c>
      <c r="H72" s="31">
        <f>IF($A72&lt;VARIABLES!$B$31,0,IF($A72=VARIABLES!$B$31,VARIABLES!$B$32+VARIABLES!$B$33,VARIABLES!$B$33))</f>
        <v/>
      </c>
      <c r="I72" s="31">
        <f>H72*VARIABLES!$B$34</f>
        <v/>
      </c>
      <c r="J72" s="31">
        <f>IF($A72&lt;VARIABLES!$B$31,0,(IF($A72=VARIABLES!$B$31,0,K71)+H72)*C72*VARIABLES!$B$35)</f>
        <v/>
      </c>
      <c r="K72" s="31">
        <f>IF($A72&lt;VARIABLES!$B$31,0,(IF($A72=VARIABLES!$B$31,0,K71)+H72)*(1+C72)-J72)</f>
        <v/>
      </c>
      <c r="L72" s="31">
        <f>IF($A72&lt;VARIABLES!$B$38,0,IF($A72=VARIABLES!$B$38,VARIABLES!$B$39+VARIABLES!$B$40,VARIABLES!$B$40))</f>
        <v/>
      </c>
      <c r="M72" s="31">
        <f>L72*VARIABLES!$B$41</f>
        <v/>
      </c>
      <c r="N72" s="31">
        <f>IF($A72&lt;VARIABLES!$B$38,0,(IF($A72=VARIABLES!$B$38,0,O71)+L72)*C72*VARIABLES!$B$42)</f>
        <v/>
      </c>
      <c r="O72" s="31">
        <f>IF($A72&lt;VARIABLES!$B$38,0,(IF($A72=VARIABLES!$B$38,0,O71)+L72)*(1+C72)-N72)</f>
        <v/>
      </c>
      <c r="P72" s="31">
        <f>IF($A72&lt;VARIABLES!$B$45,0,IF($A72=VARIABLES!$B$45,VARIABLES!$B$46+VARIABLES!$B$47,VARIABLES!$B$47))</f>
        <v/>
      </c>
      <c r="Q72" s="31">
        <f>P72*VARIABLES!$B$48</f>
        <v/>
      </c>
      <c r="R72" s="31">
        <f>IF($A72&lt;VARIABLES!$B$45,0,(IF($A72=VARIABLES!$B$45,0,S71)+P72)*C72*VARIABLES!$B$49)</f>
        <v/>
      </c>
      <c r="S72" s="31">
        <f>IF($A72&lt;VARIABLES!$B$45,0,(IF($A72=VARIABLES!$B$45,0,S71)+P72)*(1+C72)-R72)</f>
        <v/>
      </c>
      <c r="T72" s="32">
        <f>IF($A72&lt;VARIABLES!$B$53,0,MIN(VARIABLES!$B$52,INT(($A72-VARIABLES!$B$53)/VARIABLES!$B$54)+1)*VARIABLES!$B$55)</f>
        <v/>
      </c>
      <c r="U72" s="31">
        <f>T72*VARIABLES!$B$57+IF(AND($A72&gt;=VARIABLES!$B$53,MOD($A72-VARIABLES!$B$53,VARIABLES!$B$54)=0,INT(($A72-VARIABLES!$B$53)/VARIABLES!$B$54)&lt;VARIABLES!$B$52),VARIABLES!$B$55*VARIABLES!$B$56,0)</f>
        <v/>
      </c>
      <c r="V72" s="31">
        <f>U72*VARIABLES!$B$58</f>
        <v/>
      </c>
      <c r="W72" s="31">
        <f>IF($A72&lt;VARIABLES!$B$53,0,(IF($A72&lt;VARIABLES!$B$53+1,0,X71)+U72)*C72*VARIABLES!$B$59)</f>
        <v/>
      </c>
      <c r="X72" s="31">
        <f>IF($A72&lt;VARIABLES!$B$53,0,(IF($A72&lt;VARIABLES!$B$53+1,0,X71)+U72)*(1+C72)-W72)</f>
        <v/>
      </c>
      <c r="Y72" s="31">
        <f>D72+H72+L72+P72+U72</f>
        <v/>
      </c>
      <c r="Z72" s="31">
        <f>E72+I72+M72+Q72+V72</f>
        <v/>
      </c>
      <c r="AA72" s="31">
        <f>F72+J72+N72+R72+W72</f>
        <v/>
      </c>
      <c r="AB72" s="31">
        <f>Y72*VARIABLES!$B$14*VARIABLES!$B$15</f>
        <v/>
      </c>
      <c r="AC72" s="33">
        <f>Z72+AA72+AB72</f>
        <v/>
      </c>
      <c r="AD72" s="34">
        <f>G72+K72+O72+S72+X72</f>
        <v/>
      </c>
      <c r="AE72" s="31">
        <f>0</f>
        <v/>
      </c>
      <c r="AF72" s="31">
        <f>Z72*VARIABLES!$B$19</f>
        <v/>
      </c>
      <c r="AG72" s="31">
        <f>AA72*VARIABLES!$B$18</f>
        <v/>
      </c>
      <c r="AH72" s="31">
        <f>VARIABLES!$B$20</f>
        <v/>
      </c>
      <c r="AI72" s="31">
        <f>IF(MOD($A72,12)=0,VARIABLES!$B$21,0)</f>
        <v/>
      </c>
      <c r="AJ72" s="35">
        <f>AE72+AF72+AG72+AH72+AI72</f>
        <v/>
      </c>
      <c r="AK72" s="36">
        <f>IF($A72&lt;VARIABLES!$B$7,VARIABLES!$B$11,0)</f>
        <v/>
      </c>
      <c r="AL72" s="37">
        <f>AC72-AJ72-AK72</f>
        <v/>
      </c>
      <c r="AM72" s="37">
        <f>AM71+AL72</f>
        <v/>
      </c>
      <c r="AN72" s="38">
        <f>AN71+AK72</f>
        <v/>
      </c>
    </row>
    <row r="73">
      <c r="A73" s="39" t="n">
        <v>70</v>
      </c>
      <c r="B73" s="40">
        <f>TEXT(DATE(VARIABLES!$B$63+INT((VARIABLES!$B$64+$A73-2)/12),MOD(VARIABLES!$B$64+$A73-2,12)+1,1),"mmm-yy")</f>
        <v/>
      </c>
      <c r="C73" s="41">
        <f>IF($A73&lt;VARIABLES!$B$7,VARIABLES!$B$5/12,IF($A73&lt;VARIABLES!$B$8,VARIABLES!$B$6/12,VARIABLES!$B$9/12))</f>
        <v/>
      </c>
      <c r="D73" s="42">
        <f>IF($A73&lt;VARIABLES!$B$24,0,IF($A73=VARIABLES!$B$24,VARIABLES!$B$25+VARIABLES!$B$26,VARIABLES!$B$26))</f>
        <v/>
      </c>
      <c r="E73" s="42">
        <f>D73*VARIABLES!$B$27</f>
        <v/>
      </c>
      <c r="F73" s="42">
        <f>IF($A73&lt;VARIABLES!$B$24,0,(IF($A73=VARIABLES!$B$24,0,G72)+D73)*C73*VARIABLES!$B$28)</f>
        <v/>
      </c>
      <c r="G73" s="42">
        <f>IF($A73&lt;VARIABLES!$B$24,0,(IF($A73=VARIABLES!$B$24,0,G72)+D73)*(1+C73)-F73)</f>
        <v/>
      </c>
      <c r="H73" s="42">
        <f>IF($A73&lt;VARIABLES!$B$31,0,IF($A73=VARIABLES!$B$31,VARIABLES!$B$32+VARIABLES!$B$33,VARIABLES!$B$33))</f>
        <v/>
      </c>
      <c r="I73" s="42">
        <f>H73*VARIABLES!$B$34</f>
        <v/>
      </c>
      <c r="J73" s="42">
        <f>IF($A73&lt;VARIABLES!$B$31,0,(IF($A73=VARIABLES!$B$31,0,K72)+H73)*C73*VARIABLES!$B$35)</f>
        <v/>
      </c>
      <c r="K73" s="42">
        <f>IF($A73&lt;VARIABLES!$B$31,0,(IF($A73=VARIABLES!$B$31,0,K72)+H73)*(1+C73)-J73)</f>
        <v/>
      </c>
      <c r="L73" s="42">
        <f>IF($A73&lt;VARIABLES!$B$38,0,IF($A73=VARIABLES!$B$38,VARIABLES!$B$39+VARIABLES!$B$40,VARIABLES!$B$40))</f>
        <v/>
      </c>
      <c r="M73" s="42">
        <f>L73*VARIABLES!$B$41</f>
        <v/>
      </c>
      <c r="N73" s="42">
        <f>IF($A73&lt;VARIABLES!$B$38,0,(IF($A73=VARIABLES!$B$38,0,O72)+L73)*C73*VARIABLES!$B$42)</f>
        <v/>
      </c>
      <c r="O73" s="42">
        <f>IF($A73&lt;VARIABLES!$B$38,0,(IF($A73=VARIABLES!$B$38,0,O72)+L73)*(1+C73)-N73)</f>
        <v/>
      </c>
      <c r="P73" s="42">
        <f>IF($A73&lt;VARIABLES!$B$45,0,IF($A73=VARIABLES!$B$45,VARIABLES!$B$46+VARIABLES!$B$47,VARIABLES!$B$47))</f>
        <v/>
      </c>
      <c r="Q73" s="42">
        <f>P73*VARIABLES!$B$48</f>
        <v/>
      </c>
      <c r="R73" s="42">
        <f>IF($A73&lt;VARIABLES!$B$45,0,(IF($A73=VARIABLES!$B$45,0,S72)+P73)*C73*VARIABLES!$B$49)</f>
        <v/>
      </c>
      <c r="S73" s="42">
        <f>IF($A73&lt;VARIABLES!$B$45,0,(IF($A73=VARIABLES!$B$45,0,S72)+P73)*(1+C73)-R73)</f>
        <v/>
      </c>
      <c r="T73" s="43">
        <f>IF($A73&lt;VARIABLES!$B$53,0,MIN(VARIABLES!$B$52,INT(($A73-VARIABLES!$B$53)/VARIABLES!$B$54)+1)*VARIABLES!$B$55)</f>
        <v/>
      </c>
      <c r="U73" s="42">
        <f>T73*VARIABLES!$B$57+IF(AND($A73&gt;=VARIABLES!$B$53,MOD($A73-VARIABLES!$B$53,VARIABLES!$B$54)=0,INT(($A73-VARIABLES!$B$53)/VARIABLES!$B$54)&lt;VARIABLES!$B$52),VARIABLES!$B$55*VARIABLES!$B$56,0)</f>
        <v/>
      </c>
      <c r="V73" s="42">
        <f>U73*VARIABLES!$B$58</f>
        <v/>
      </c>
      <c r="W73" s="42">
        <f>IF($A73&lt;VARIABLES!$B$53,0,(IF($A73&lt;VARIABLES!$B$53+1,0,X72)+U73)*C73*VARIABLES!$B$59)</f>
        <v/>
      </c>
      <c r="X73" s="42">
        <f>IF($A73&lt;VARIABLES!$B$53,0,(IF($A73&lt;VARIABLES!$B$53+1,0,X72)+U73)*(1+C73)-W73)</f>
        <v/>
      </c>
      <c r="Y73" s="42">
        <f>D73+H73+L73+P73+U73</f>
        <v/>
      </c>
      <c r="Z73" s="42">
        <f>E73+I73+M73+Q73+V73</f>
        <v/>
      </c>
      <c r="AA73" s="42">
        <f>F73+J73+N73+R73+W73</f>
        <v/>
      </c>
      <c r="AB73" s="42">
        <f>Y73*VARIABLES!$B$14*VARIABLES!$B$15</f>
        <v/>
      </c>
      <c r="AC73" s="33">
        <f>Z73+AA73+AB73</f>
        <v/>
      </c>
      <c r="AD73" s="34">
        <f>G73+K73+O73+S73+X73</f>
        <v/>
      </c>
      <c r="AE73" s="42">
        <f>0</f>
        <v/>
      </c>
      <c r="AF73" s="42">
        <f>Z73*VARIABLES!$B$19</f>
        <v/>
      </c>
      <c r="AG73" s="42">
        <f>AA73*VARIABLES!$B$18</f>
        <v/>
      </c>
      <c r="AH73" s="42">
        <f>VARIABLES!$B$20</f>
        <v/>
      </c>
      <c r="AI73" s="42">
        <f>IF(MOD($A73,12)=0,VARIABLES!$B$21,0)</f>
        <v/>
      </c>
      <c r="AJ73" s="35">
        <f>AE73+AF73+AG73+AH73+AI73</f>
        <v/>
      </c>
      <c r="AK73" s="36">
        <f>IF($A73&lt;VARIABLES!$B$7,VARIABLES!$B$11,0)</f>
        <v/>
      </c>
      <c r="AL73" s="44">
        <f>AC73-AJ73-AK73</f>
        <v/>
      </c>
      <c r="AM73" s="44">
        <f>AM72+AL73</f>
        <v/>
      </c>
      <c r="AN73" s="38">
        <f>AN72+AK73</f>
        <v/>
      </c>
    </row>
    <row r="74">
      <c r="A74" s="28" t="n">
        <v>71</v>
      </c>
      <c r="B74" s="29">
        <f>TEXT(DATE(VARIABLES!$B$63+INT((VARIABLES!$B$64+$A74-2)/12),MOD(VARIABLES!$B$64+$A74-2,12)+1,1),"mmm-yy")</f>
        <v/>
      </c>
      <c r="C74" s="30">
        <f>IF($A74&lt;VARIABLES!$B$7,VARIABLES!$B$5/12,IF($A74&lt;VARIABLES!$B$8,VARIABLES!$B$6/12,VARIABLES!$B$9/12))</f>
        <v/>
      </c>
      <c r="D74" s="31">
        <f>IF($A74&lt;VARIABLES!$B$24,0,IF($A74=VARIABLES!$B$24,VARIABLES!$B$25+VARIABLES!$B$26,VARIABLES!$B$26))</f>
        <v/>
      </c>
      <c r="E74" s="31">
        <f>D74*VARIABLES!$B$27</f>
        <v/>
      </c>
      <c r="F74" s="31">
        <f>IF($A74&lt;VARIABLES!$B$24,0,(IF($A74=VARIABLES!$B$24,0,G73)+D74)*C74*VARIABLES!$B$28)</f>
        <v/>
      </c>
      <c r="G74" s="31">
        <f>IF($A74&lt;VARIABLES!$B$24,0,(IF($A74=VARIABLES!$B$24,0,G73)+D74)*(1+C74)-F74)</f>
        <v/>
      </c>
      <c r="H74" s="31">
        <f>IF($A74&lt;VARIABLES!$B$31,0,IF($A74=VARIABLES!$B$31,VARIABLES!$B$32+VARIABLES!$B$33,VARIABLES!$B$33))</f>
        <v/>
      </c>
      <c r="I74" s="31">
        <f>H74*VARIABLES!$B$34</f>
        <v/>
      </c>
      <c r="J74" s="31">
        <f>IF($A74&lt;VARIABLES!$B$31,0,(IF($A74=VARIABLES!$B$31,0,K73)+H74)*C74*VARIABLES!$B$35)</f>
        <v/>
      </c>
      <c r="K74" s="31">
        <f>IF($A74&lt;VARIABLES!$B$31,0,(IF($A74=VARIABLES!$B$31,0,K73)+H74)*(1+C74)-J74)</f>
        <v/>
      </c>
      <c r="L74" s="31">
        <f>IF($A74&lt;VARIABLES!$B$38,0,IF($A74=VARIABLES!$B$38,VARIABLES!$B$39+VARIABLES!$B$40,VARIABLES!$B$40))</f>
        <v/>
      </c>
      <c r="M74" s="31">
        <f>L74*VARIABLES!$B$41</f>
        <v/>
      </c>
      <c r="N74" s="31">
        <f>IF($A74&lt;VARIABLES!$B$38,0,(IF($A74=VARIABLES!$B$38,0,O73)+L74)*C74*VARIABLES!$B$42)</f>
        <v/>
      </c>
      <c r="O74" s="31">
        <f>IF($A74&lt;VARIABLES!$B$38,0,(IF($A74=VARIABLES!$B$38,0,O73)+L74)*(1+C74)-N74)</f>
        <v/>
      </c>
      <c r="P74" s="31">
        <f>IF($A74&lt;VARIABLES!$B$45,0,IF($A74=VARIABLES!$B$45,VARIABLES!$B$46+VARIABLES!$B$47,VARIABLES!$B$47))</f>
        <v/>
      </c>
      <c r="Q74" s="31">
        <f>P74*VARIABLES!$B$48</f>
        <v/>
      </c>
      <c r="R74" s="31">
        <f>IF($A74&lt;VARIABLES!$B$45,0,(IF($A74=VARIABLES!$B$45,0,S73)+P74)*C74*VARIABLES!$B$49)</f>
        <v/>
      </c>
      <c r="S74" s="31">
        <f>IF($A74&lt;VARIABLES!$B$45,0,(IF($A74=VARIABLES!$B$45,0,S73)+P74)*(1+C74)-R74)</f>
        <v/>
      </c>
      <c r="T74" s="32">
        <f>IF($A74&lt;VARIABLES!$B$53,0,MIN(VARIABLES!$B$52,INT(($A74-VARIABLES!$B$53)/VARIABLES!$B$54)+1)*VARIABLES!$B$55)</f>
        <v/>
      </c>
      <c r="U74" s="31">
        <f>T74*VARIABLES!$B$57+IF(AND($A74&gt;=VARIABLES!$B$53,MOD($A74-VARIABLES!$B$53,VARIABLES!$B$54)=0,INT(($A74-VARIABLES!$B$53)/VARIABLES!$B$54)&lt;VARIABLES!$B$52),VARIABLES!$B$55*VARIABLES!$B$56,0)</f>
        <v/>
      </c>
      <c r="V74" s="31">
        <f>U74*VARIABLES!$B$58</f>
        <v/>
      </c>
      <c r="W74" s="31">
        <f>IF($A74&lt;VARIABLES!$B$53,0,(IF($A74&lt;VARIABLES!$B$53+1,0,X73)+U74)*C74*VARIABLES!$B$59)</f>
        <v/>
      </c>
      <c r="X74" s="31">
        <f>IF($A74&lt;VARIABLES!$B$53,0,(IF($A74&lt;VARIABLES!$B$53+1,0,X73)+U74)*(1+C74)-W74)</f>
        <v/>
      </c>
      <c r="Y74" s="31">
        <f>D74+H74+L74+P74+U74</f>
        <v/>
      </c>
      <c r="Z74" s="31">
        <f>E74+I74+M74+Q74+V74</f>
        <v/>
      </c>
      <c r="AA74" s="31">
        <f>F74+J74+N74+R74+W74</f>
        <v/>
      </c>
      <c r="AB74" s="31">
        <f>Y74*VARIABLES!$B$14*VARIABLES!$B$15</f>
        <v/>
      </c>
      <c r="AC74" s="33">
        <f>Z74+AA74+AB74</f>
        <v/>
      </c>
      <c r="AD74" s="34">
        <f>G74+K74+O74+S74+X74</f>
        <v/>
      </c>
      <c r="AE74" s="31">
        <f>0</f>
        <v/>
      </c>
      <c r="AF74" s="31">
        <f>Z74*VARIABLES!$B$19</f>
        <v/>
      </c>
      <c r="AG74" s="31">
        <f>AA74*VARIABLES!$B$18</f>
        <v/>
      </c>
      <c r="AH74" s="31">
        <f>VARIABLES!$B$20</f>
        <v/>
      </c>
      <c r="AI74" s="31">
        <f>IF(MOD($A74,12)=0,VARIABLES!$B$21,0)</f>
        <v/>
      </c>
      <c r="AJ74" s="35">
        <f>AE74+AF74+AG74+AH74+AI74</f>
        <v/>
      </c>
      <c r="AK74" s="36">
        <f>IF($A74&lt;VARIABLES!$B$7,VARIABLES!$B$11,0)</f>
        <v/>
      </c>
      <c r="AL74" s="37">
        <f>AC74-AJ74-AK74</f>
        <v/>
      </c>
      <c r="AM74" s="37">
        <f>AM73+AL74</f>
        <v/>
      </c>
      <c r="AN74" s="38">
        <f>AN73+AK74</f>
        <v/>
      </c>
    </row>
    <row r="75">
      <c r="A75" s="39" t="n">
        <v>72</v>
      </c>
      <c r="B75" s="40">
        <f>TEXT(DATE(VARIABLES!$B$63+INT((VARIABLES!$B$64+$A75-2)/12),MOD(VARIABLES!$B$64+$A75-2,12)+1,1),"mmm-yy")</f>
        <v/>
      </c>
      <c r="C75" s="41">
        <f>IF($A75&lt;VARIABLES!$B$7,VARIABLES!$B$5/12,IF($A75&lt;VARIABLES!$B$8,VARIABLES!$B$6/12,VARIABLES!$B$9/12))</f>
        <v/>
      </c>
      <c r="D75" s="42">
        <f>IF($A75&lt;VARIABLES!$B$24,0,IF($A75=VARIABLES!$B$24,VARIABLES!$B$25+VARIABLES!$B$26,VARIABLES!$B$26))</f>
        <v/>
      </c>
      <c r="E75" s="42">
        <f>D75*VARIABLES!$B$27</f>
        <v/>
      </c>
      <c r="F75" s="42">
        <f>IF($A75&lt;VARIABLES!$B$24,0,(IF($A75=VARIABLES!$B$24,0,G74)+D75)*C75*VARIABLES!$B$28)</f>
        <v/>
      </c>
      <c r="G75" s="42">
        <f>IF($A75&lt;VARIABLES!$B$24,0,(IF($A75=VARIABLES!$B$24,0,G74)+D75)*(1+C75)-F75)</f>
        <v/>
      </c>
      <c r="H75" s="42">
        <f>IF($A75&lt;VARIABLES!$B$31,0,IF($A75=VARIABLES!$B$31,VARIABLES!$B$32+VARIABLES!$B$33,VARIABLES!$B$33))</f>
        <v/>
      </c>
      <c r="I75" s="42">
        <f>H75*VARIABLES!$B$34</f>
        <v/>
      </c>
      <c r="J75" s="42">
        <f>IF($A75&lt;VARIABLES!$B$31,0,(IF($A75=VARIABLES!$B$31,0,K74)+H75)*C75*VARIABLES!$B$35)</f>
        <v/>
      </c>
      <c r="K75" s="42">
        <f>IF($A75&lt;VARIABLES!$B$31,0,(IF($A75=VARIABLES!$B$31,0,K74)+H75)*(1+C75)-J75)</f>
        <v/>
      </c>
      <c r="L75" s="42">
        <f>IF($A75&lt;VARIABLES!$B$38,0,IF($A75=VARIABLES!$B$38,VARIABLES!$B$39+VARIABLES!$B$40,VARIABLES!$B$40))</f>
        <v/>
      </c>
      <c r="M75" s="42">
        <f>L75*VARIABLES!$B$41</f>
        <v/>
      </c>
      <c r="N75" s="42">
        <f>IF($A75&lt;VARIABLES!$B$38,0,(IF($A75=VARIABLES!$B$38,0,O74)+L75)*C75*VARIABLES!$B$42)</f>
        <v/>
      </c>
      <c r="O75" s="42">
        <f>IF($A75&lt;VARIABLES!$B$38,0,(IF($A75=VARIABLES!$B$38,0,O74)+L75)*(1+C75)-N75)</f>
        <v/>
      </c>
      <c r="P75" s="42">
        <f>IF($A75&lt;VARIABLES!$B$45,0,IF($A75=VARIABLES!$B$45,VARIABLES!$B$46+VARIABLES!$B$47,VARIABLES!$B$47))</f>
        <v/>
      </c>
      <c r="Q75" s="42">
        <f>P75*VARIABLES!$B$48</f>
        <v/>
      </c>
      <c r="R75" s="42">
        <f>IF($A75&lt;VARIABLES!$B$45,0,(IF($A75=VARIABLES!$B$45,0,S74)+P75)*C75*VARIABLES!$B$49)</f>
        <v/>
      </c>
      <c r="S75" s="42">
        <f>IF($A75&lt;VARIABLES!$B$45,0,(IF($A75=VARIABLES!$B$45,0,S74)+P75)*(1+C75)-R75)</f>
        <v/>
      </c>
      <c r="T75" s="43">
        <f>IF($A75&lt;VARIABLES!$B$53,0,MIN(VARIABLES!$B$52,INT(($A75-VARIABLES!$B$53)/VARIABLES!$B$54)+1)*VARIABLES!$B$55)</f>
        <v/>
      </c>
      <c r="U75" s="42">
        <f>T75*VARIABLES!$B$57+IF(AND($A75&gt;=VARIABLES!$B$53,MOD($A75-VARIABLES!$B$53,VARIABLES!$B$54)=0,INT(($A75-VARIABLES!$B$53)/VARIABLES!$B$54)&lt;VARIABLES!$B$52),VARIABLES!$B$55*VARIABLES!$B$56,0)</f>
        <v/>
      </c>
      <c r="V75" s="42">
        <f>U75*VARIABLES!$B$58</f>
        <v/>
      </c>
      <c r="W75" s="42">
        <f>IF($A75&lt;VARIABLES!$B$53,0,(IF($A75&lt;VARIABLES!$B$53+1,0,X74)+U75)*C75*VARIABLES!$B$59)</f>
        <v/>
      </c>
      <c r="X75" s="42">
        <f>IF($A75&lt;VARIABLES!$B$53,0,(IF($A75&lt;VARIABLES!$B$53+1,0,X74)+U75)*(1+C75)-W75)</f>
        <v/>
      </c>
      <c r="Y75" s="42">
        <f>D75+H75+L75+P75+U75</f>
        <v/>
      </c>
      <c r="Z75" s="42">
        <f>E75+I75+M75+Q75+V75</f>
        <v/>
      </c>
      <c r="AA75" s="42">
        <f>F75+J75+N75+R75+W75</f>
        <v/>
      </c>
      <c r="AB75" s="42">
        <f>Y75*VARIABLES!$B$14*VARIABLES!$B$15</f>
        <v/>
      </c>
      <c r="AC75" s="33">
        <f>Z75+AA75+AB75</f>
        <v/>
      </c>
      <c r="AD75" s="34">
        <f>G75+K75+O75+S75+X75</f>
        <v/>
      </c>
      <c r="AE75" s="42">
        <f>0</f>
        <v/>
      </c>
      <c r="AF75" s="42">
        <f>Z75*VARIABLES!$B$19</f>
        <v/>
      </c>
      <c r="AG75" s="42">
        <f>AA75*VARIABLES!$B$18</f>
        <v/>
      </c>
      <c r="AH75" s="42">
        <f>VARIABLES!$B$20</f>
        <v/>
      </c>
      <c r="AI75" s="42">
        <f>IF(MOD($A75,12)=0,VARIABLES!$B$21,0)</f>
        <v/>
      </c>
      <c r="AJ75" s="35">
        <f>AE75+AF75+AG75+AH75+AI75</f>
        <v/>
      </c>
      <c r="AK75" s="36">
        <f>IF($A75&lt;VARIABLES!$B$7,VARIABLES!$B$11,0)</f>
        <v/>
      </c>
      <c r="AL75" s="44">
        <f>AC75-AJ75-AK75</f>
        <v/>
      </c>
      <c r="AM75" s="44">
        <f>AM74+AL75</f>
        <v/>
      </c>
      <c r="AN75" s="38">
        <f>AN74+AK75</f>
        <v/>
      </c>
    </row>
    <row r="76">
      <c r="A76" s="28" t="n">
        <v>73</v>
      </c>
      <c r="B76" s="29">
        <f>TEXT(DATE(VARIABLES!$B$63+INT((VARIABLES!$B$64+$A76-2)/12),MOD(VARIABLES!$B$64+$A76-2,12)+1,1),"mmm-yy")</f>
        <v/>
      </c>
      <c r="C76" s="30">
        <f>IF($A76&lt;VARIABLES!$B$7,VARIABLES!$B$5/12,IF($A76&lt;VARIABLES!$B$8,VARIABLES!$B$6/12,VARIABLES!$B$9/12))</f>
        <v/>
      </c>
      <c r="D76" s="31">
        <f>IF($A76&lt;VARIABLES!$B$24,0,IF($A76=VARIABLES!$B$24,VARIABLES!$B$25+VARIABLES!$B$26,VARIABLES!$B$26))</f>
        <v/>
      </c>
      <c r="E76" s="31">
        <f>D76*VARIABLES!$B$27</f>
        <v/>
      </c>
      <c r="F76" s="31">
        <f>IF($A76&lt;VARIABLES!$B$24,0,(IF($A76=VARIABLES!$B$24,0,G75)+D76)*C76*VARIABLES!$B$28)</f>
        <v/>
      </c>
      <c r="G76" s="31">
        <f>IF($A76&lt;VARIABLES!$B$24,0,(IF($A76=VARIABLES!$B$24,0,G75)+D76)*(1+C76)-F76)</f>
        <v/>
      </c>
      <c r="H76" s="31">
        <f>IF($A76&lt;VARIABLES!$B$31,0,IF($A76=VARIABLES!$B$31,VARIABLES!$B$32+VARIABLES!$B$33,VARIABLES!$B$33))</f>
        <v/>
      </c>
      <c r="I76" s="31">
        <f>H76*VARIABLES!$B$34</f>
        <v/>
      </c>
      <c r="J76" s="31">
        <f>IF($A76&lt;VARIABLES!$B$31,0,(IF($A76=VARIABLES!$B$31,0,K75)+H76)*C76*VARIABLES!$B$35)</f>
        <v/>
      </c>
      <c r="K76" s="31">
        <f>IF($A76&lt;VARIABLES!$B$31,0,(IF($A76=VARIABLES!$B$31,0,K75)+H76)*(1+C76)-J76)</f>
        <v/>
      </c>
      <c r="L76" s="31">
        <f>IF($A76&lt;VARIABLES!$B$38,0,IF($A76=VARIABLES!$B$38,VARIABLES!$B$39+VARIABLES!$B$40,VARIABLES!$B$40))</f>
        <v/>
      </c>
      <c r="M76" s="31">
        <f>L76*VARIABLES!$B$41</f>
        <v/>
      </c>
      <c r="N76" s="31">
        <f>IF($A76&lt;VARIABLES!$B$38,0,(IF($A76=VARIABLES!$B$38,0,O75)+L76)*C76*VARIABLES!$B$42)</f>
        <v/>
      </c>
      <c r="O76" s="31">
        <f>IF($A76&lt;VARIABLES!$B$38,0,(IF($A76=VARIABLES!$B$38,0,O75)+L76)*(1+C76)-N76)</f>
        <v/>
      </c>
      <c r="P76" s="31">
        <f>IF($A76&lt;VARIABLES!$B$45,0,IF($A76=VARIABLES!$B$45,VARIABLES!$B$46+VARIABLES!$B$47,VARIABLES!$B$47))</f>
        <v/>
      </c>
      <c r="Q76" s="31">
        <f>P76*VARIABLES!$B$48</f>
        <v/>
      </c>
      <c r="R76" s="31">
        <f>IF($A76&lt;VARIABLES!$B$45,0,(IF($A76=VARIABLES!$B$45,0,S75)+P76)*C76*VARIABLES!$B$49)</f>
        <v/>
      </c>
      <c r="S76" s="31">
        <f>IF($A76&lt;VARIABLES!$B$45,0,(IF($A76=VARIABLES!$B$45,0,S75)+P76)*(1+C76)-R76)</f>
        <v/>
      </c>
      <c r="T76" s="32">
        <f>IF($A76&lt;VARIABLES!$B$53,0,MIN(VARIABLES!$B$52,INT(($A76-VARIABLES!$B$53)/VARIABLES!$B$54)+1)*VARIABLES!$B$55)</f>
        <v/>
      </c>
      <c r="U76" s="31">
        <f>T76*VARIABLES!$B$57+IF(AND($A76&gt;=VARIABLES!$B$53,MOD($A76-VARIABLES!$B$53,VARIABLES!$B$54)=0,INT(($A76-VARIABLES!$B$53)/VARIABLES!$B$54)&lt;VARIABLES!$B$52),VARIABLES!$B$55*VARIABLES!$B$56,0)</f>
        <v/>
      </c>
      <c r="V76" s="31">
        <f>U76*VARIABLES!$B$58</f>
        <v/>
      </c>
      <c r="W76" s="31">
        <f>IF($A76&lt;VARIABLES!$B$53,0,(IF($A76&lt;VARIABLES!$B$53+1,0,X75)+U76)*C76*VARIABLES!$B$59)</f>
        <v/>
      </c>
      <c r="X76" s="31">
        <f>IF($A76&lt;VARIABLES!$B$53,0,(IF($A76&lt;VARIABLES!$B$53+1,0,X75)+U76)*(1+C76)-W76)</f>
        <v/>
      </c>
      <c r="Y76" s="31">
        <f>D76+H76+L76+P76+U76</f>
        <v/>
      </c>
      <c r="Z76" s="31">
        <f>E76+I76+M76+Q76+V76</f>
        <v/>
      </c>
      <c r="AA76" s="31">
        <f>F76+J76+N76+R76+W76</f>
        <v/>
      </c>
      <c r="AB76" s="31">
        <f>Y76*VARIABLES!$B$14*VARIABLES!$B$15</f>
        <v/>
      </c>
      <c r="AC76" s="33">
        <f>Z76+AA76+AB76</f>
        <v/>
      </c>
      <c r="AD76" s="34">
        <f>G76+K76+O76+S76+X76</f>
        <v/>
      </c>
      <c r="AE76" s="31">
        <f>0</f>
        <v/>
      </c>
      <c r="AF76" s="31">
        <f>Z76*VARIABLES!$B$19</f>
        <v/>
      </c>
      <c r="AG76" s="31">
        <f>AA76*VARIABLES!$B$18</f>
        <v/>
      </c>
      <c r="AH76" s="31">
        <f>VARIABLES!$B$20</f>
        <v/>
      </c>
      <c r="AI76" s="31">
        <f>IF(MOD($A76,12)=0,VARIABLES!$B$21,0)</f>
        <v/>
      </c>
      <c r="AJ76" s="35">
        <f>AE76+AF76+AG76+AH76+AI76</f>
        <v/>
      </c>
      <c r="AK76" s="36">
        <f>IF($A76&lt;VARIABLES!$B$7,VARIABLES!$B$11,0)</f>
        <v/>
      </c>
      <c r="AL76" s="37">
        <f>AC76-AJ76-AK76</f>
        <v/>
      </c>
      <c r="AM76" s="37">
        <f>AM75+AL76</f>
        <v/>
      </c>
      <c r="AN76" s="38">
        <f>AN75+AK76</f>
        <v/>
      </c>
    </row>
    <row r="77">
      <c r="A77" s="39" t="n">
        <v>74</v>
      </c>
      <c r="B77" s="40">
        <f>TEXT(DATE(VARIABLES!$B$63+INT((VARIABLES!$B$64+$A77-2)/12),MOD(VARIABLES!$B$64+$A77-2,12)+1,1),"mmm-yy")</f>
        <v/>
      </c>
      <c r="C77" s="41">
        <f>IF($A77&lt;VARIABLES!$B$7,VARIABLES!$B$5/12,IF($A77&lt;VARIABLES!$B$8,VARIABLES!$B$6/12,VARIABLES!$B$9/12))</f>
        <v/>
      </c>
      <c r="D77" s="42">
        <f>IF($A77&lt;VARIABLES!$B$24,0,IF($A77=VARIABLES!$B$24,VARIABLES!$B$25+VARIABLES!$B$26,VARIABLES!$B$26))</f>
        <v/>
      </c>
      <c r="E77" s="42">
        <f>D77*VARIABLES!$B$27</f>
        <v/>
      </c>
      <c r="F77" s="42">
        <f>IF($A77&lt;VARIABLES!$B$24,0,(IF($A77=VARIABLES!$B$24,0,G76)+D77)*C77*VARIABLES!$B$28)</f>
        <v/>
      </c>
      <c r="G77" s="42">
        <f>IF($A77&lt;VARIABLES!$B$24,0,(IF($A77=VARIABLES!$B$24,0,G76)+D77)*(1+C77)-F77)</f>
        <v/>
      </c>
      <c r="H77" s="42">
        <f>IF($A77&lt;VARIABLES!$B$31,0,IF($A77=VARIABLES!$B$31,VARIABLES!$B$32+VARIABLES!$B$33,VARIABLES!$B$33))</f>
        <v/>
      </c>
      <c r="I77" s="42">
        <f>H77*VARIABLES!$B$34</f>
        <v/>
      </c>
      <c r="J77" s="42">
        <f>IF($A77&lt;VARIABLES!$B$31,0,(IF($A77=VARIABLES!$B$31,0,K76)+H77)*C77*VARIABLES!$B$35)</f>
        <v/>
      </c>
      <c r="K77" s="42">
        <f>IF($A77&lt;VARIABLES!$B$31,0,(IF($A77=VARIABLES!$B$31,0,K76)+H77)*(1+C77)-J77)</f>
        <v/>
      </c>
      <c r="L77" s="42">
        <f>IF($A77&lt;VARIABLES!$B$38,0,IF($A77=VARIABLES!$B$38,VARIABLES!$B$39+VARIABLES!$B$40,VARIABLES!$B$40))</f>
        <v/>
      </c>
      <c r="M77" s="42">
        <f>L77*VARIABLES!$B$41</f>
        <v/>
      </c>
      <c r="N77" s="42">
        <f>IF($A77&lt;VARIABLES!$B$38,0,(IF($A77=VARIABLES!$B$38,0,O76)+L77)*C77*VARIABLES!$B$42)</f>
        <v/>
      </c>
      <c r="O77" s="42">
        <f>IF($A77&lt;VARIABLES!$B$38,0,(IF($A77=VARIABLES!$B$38,0,O76)+L77)*(1+C77)-N77)</f>
        <v/>
      </c>
      <c r="P77" s="42">
        <f>IF($A77&lt;VARIABLES!$B$45,0,IF($A77=VARIABLES!$B$45,VARIABLES!$B$46+VARIABLES!$B$47,VARIABLES!$B$47))</f>
        <v/>
      </c>
      <c r="Q77" s="42">
        <f>P77*VARIABLES!$B$48</f>
        <v/>
      </c>
      <c r="R77" s="42">
        <f>IF($A77&lt;VARIABLES!$B$45,0,(IF($A77=VARIABLES!$B$45,0,S76)+P77)*C77*VARIABLES!$B$49)</f>
        <v/>
      </c>
      <c r="S77" s="42">
        <f>IF($A77&lt;VARIABLES!$B$45,0,(IF($A77=VARIABLES!$B$45,0,S76)+P77)*(1+C77)-R77)</f>
        <v/>
      </c>
      <c r="T77" s="43">
        <f>IF($A77&lt;VARIABLES!$B$53,0,MIN(VARIABLES!$B$52,INT(($A77-VARIABLES!$B$53)/VARIABLES!$B$54)+1)*VARIABLES!$B$55)</f>
        <v/>
      </c>
      <c r="U77" s="42">
        <f>T77*VARIABLES!$B$57+IF(AND($A77&gt;=VARIABLES!$B$53,MOD($A77-VARIABLES!$B$53,VARIABLES!$B$54)=0,INT(($A77-VARIABLES!$B$53)/VARIABLES!$B$54)&lt;VARIABLES!$B$52),VARIABLES!$B$55*VARIABLES!$B$56,0)</f>
        <v/>
      </c>
      <c r="V77" s="42">
        <f>U77*VARIABLES!$B$58</f>
        <v/>
      </c>
      <c r="W77" s="42">
        <f>IF($A77&lt;VARIABLES!$B$53,0,(IF($A77&lt;VARIABLES!$B$53+1,0,X76)+U77)*C77*VARIABLES!$B$59)</f>
        <v/>
      </c>
      <c r="X77" s="42">
        <f>IF($A77&lt;VARIABLES!$B$53,0,(IF($A77&lt;VARIABLES!$B$53+1,0,X76)+U77)*(1+C77)-W77)</f>
        <v/>
      </c>
      <c r="Y77" s="42">
        <f>D77+H77+L77+P77+U77</f>
        <v/>
      </c>
      <c r="Z77" s="42">
        <f>E77+I77+M77+Q77+V77</f>
        <v/>
      </c>
      <c r="AA77" s="42">
        <f>F77+J77+N77+R77+W77</f>
        <v/>
      </c>
      <c r="AB77" s="42">
        <f>Y77*VARIABLES!$B$14*VARIABLES!$B$15</f>
        <v/>
      </c>
      <c r="AC77" s="33">
        <f>Z77+AA77+AB77</f>
        <v/>
      </c>
      <c r="AD77" s="34">
        <f>G77+K77+O77+S77+X77</f>
        <v/>
      </c>
      <c r="AE77" s="42">
        <f>0</f>
        <v/>
      </c>
      <c r="AF77" s="42">
        <f>Z77*VARIABLES!$B$19</f>
        <v/>
      </c>
      <c r="AG77" s="42">
        <f>AA77*VARIABLES!$B$18</f>
        <v/>
      </c>
      <c r="AH77" s="42">
        <f>VARIABLES!$B$20</f>
        <v/>
      </c>
      <c r="AI77" s="42">
        <f>IF(MOD($A77,12)=0,VARIABLES!$B$21,0)</f>
        <v/>
      </c>
      <c r="AJ77" s="35">
        <f>AE77+AF77+AG77+AH77+AI77</f>
        <v/>
      </c>
      <c r="AK77" s="36">
        <f>IF($A77&lt;VARIABLES!$B$7,VARIABLES!$B$11,0)</f>
        <v/>
      </c>
      <c r="AL77" s="44">
        <f>AC77-AJ77-AK77</f>
        <v/>
      </c>
      <c r="AM77" s="44">
        <f>AM76+AL77</f>
        <v/>
      </c>
      <c r="AN77" s="38">
        <f>AN76+AK77</f>
        <v/>
      </c>
    </row>
    <row r="78">
      <c r="A78" s="28" t="n">
        <v>75</v>
      </c>
      <c r="B78" s="29">
        <f>TEXT(DATE(VARIABLES!$B$63+INT((VARIABLES!$B$64+$A78-2)/12),MOD(VARIABLES!$B$64+$A78-2,12)+1,1),"mmm-yy")</f>
        <v/>
      </c>
      <c r="C78" s="30">
        <f>IF($A78&lt;VARIABLES!$B$7,VARIABLES!$B$5/12,IF($A78&lt;VARIABLES!$B$8,VARIABLES!$B$6/12,VARIABLES!$B$9/12))</f>
        <v/>
      </c>
      <c r="D78" s="31">
        <f>IF($A78&lt;VARIABLES!$B$24,0,IF($A78=VARIABLES!$B$24,VARIABLES!$B$25+VARIABLES!$B$26,VARIABLES!$B$26))</f>
        <v/>
      </c>
      <c r="E78" s="31">
        <f>D78*VARIABLES!$B$27</f>
        <v/>
      </c>
      <c r="F78" s="31">
        <f>IF($A78&lt;VARIABLES!$B$24,0,(IF($A78=VARIABLES!$B$24,0,G77)+D78)*C78*VARIABLES!$B$28)</f>
        <v/>
      </c>
      <c r="G78" s="31">
        <f>IF($A78&lt;VARIABLES!$B$24,0,(IF($A78=VARIABLES!$B$24,0,G77)+D78)*(1+C78)-F78)</f>
        <v/>
      </c>
      <c r="H78" s="31">
        <f>IF($A78&lt;VARIABLES!$B$31,0,IF($A78=VARIABLES!$B$31,VARIABLES!$B$32+VARIABLES!$B$33,VARIABLES!$B$33))</f>
        <v/>
      </c>
      <c r="I78" s="31">
        <f>H78*VARIABLES!$B$34</f>
        <v/>
      </c>
      <c r="J78" s="31">
        <f>IF($A78&lt;VARIABLES!$B$31,0,(IF($A78=VARIABLES!$B$31,0,K77)+H78)*C78*VARIABLES!$B$35)</f>
        <v/>
      </c>
      <c r="K78" s="31">
        <f>IF($A78&lt;VARIABLES!$B$31,0,(IF($A78=VARIABLES!$B$31,0,K77)+H78)*(1+C78)-J78)</f>
        <v/>
      </c>
      <c r="L78" s="31">
        <f>IF($A78&lt;VARIABLES!$B$38,0,IF($A78=VARIABLES!$B$38,VARIABLES!$B$39+VARIABLES!$B$40,VARIABLES!$B$40))</f>
        <v/>
      </c>
      <c r="M78" s="31">
        <f>L78*VARIABLES!$B$41</f>
        <v/>
      </c>
      <c r="N78" s="31">
        <f>IF($A78&lt;VARIABLES!$B$38,0,(IF($A78=VARIABLES!$B$38,0,O77)+L78)*C78*VARIABLES!$B$42)</f>
        <v/>
      </c>
      <c r="O78" s="31">
        <f>IF($A78&lt;VARIABLES!$B$38,0,(IF($A78=VARIABLES!$B$38,0,O77)+L78)*(1+C78)-N78)</f>
        <v/>
      </c>
      <c r="P78" s="31">
        <f>IF($A78&lt;VARIABLES!$B$45,0,IF($A78=VARIABLES!$B$45,VARIABLES!$B$46+VARIABLES!$B$47,VARIABLES!$B$47))</f>
        <v/>
      </c>
      <c r="Q78" s="31">
        <f>P78*VARIABLES!$B$48</f>
        <v/>
      </c>
      <c r="R78" s="31">
        <f>IF($A78&lt;VARIABLES!$B$45,0,(IF($A78=VARIABLES!$B$45,0,S77)+P78)*C78*VARIABLES!$B$49)</f>
        <v/>
      </c>
      <c r="S78" s="31">
        <f>IF($A78&lt;VARIABLES!$B$45,0,(IF($A78=VARIABLES!$B$45,0,S77)+P78)*(1+C78)-R78)</f>
        <v/>
      </c>
      <c r="T78" s="32">
        <f>IF($A78&lt;VARIABLES!$B$53,0,MIN(VARIABLES!$B$52,INT(($A78-VARIABLES!$B$53)/VARIABLES!$B$54)+1)*VARIABLES!$B$55)</f>
        <v/>
      </c>
      <c r="U78" s="31">
        <f>T78*VARIABLES!$B$57+IF(AND($A78&gt;=VARIABLES!$B$53,MOD($A78-VARIABLES!$B$53,VARIABLES!$B$54)=0,INT(($A78-VARIABLES!$B$53)/VARIABLES!$B$54)&lt;VARIABLES!$B$52),VARIABLES!$B$55*VARIABLES!$B$56,0)</f>
        <v/>
      </c>
      <c r="V78" s="31">
        <f>U78*VARIABLES!$B$58</f>
        <v/>
      </c>
      <c r="W78" s="31">
        <f>IF($A78&lt;VARIABLES!$B$53,0,(IF($A78&lt;VARIABLES!$B$53+1,0,X77)+U78)*C78*VARIABLES!$B$59)</f>
        <v/>
      </c>
      <c r="X78" s="31">
        <f>IF($A78&lt;VARIABLES!$B$53,0,(IF($A78&lt;VARIABLES!$B$53+1,0,X77)+U78)*(1+C78)-W78)</f>
        <v/>
      </c>
      <c r="Y78" s="31">
        <f>D78+H78+L78+P78+U78</f>
        <v/>
      </c>
      <c r="Z78" s="31">
        <f>E78+I78+M78+Q78+V78</f>
        <v/>
      </c>
      <c r="AA78" s="31">
        <f>F78+J78+N78+R78+W78</f>
        <v/>
      </c>
      <c r="AB78" s="31">
        <f>Y78*VARIABLES!$B$14*VARIABLES!$B$15</f>
        <v/>
      </c>
      <c r="AC78" s="33">
        <f>Z78+AA78+AB78</f>
        <v/>
      </c>
      <c r="AD78" s="34">
        <f>G78+K78+O78+S78+X78</f>
        <v/>
      </c>
      <c r="AE78" s="31">
        <f>0</f>
        <v/>
      </c>
      <c r="AF78" s="31">
        <f>Z78*VARIABLES!$B$19</f>
        <v/>
      </c>
      <c r="AG78" s="31">
        <f>AA78*VARIABLES!$B$18</f>
        <v/>
      </c>
      <c r="AH78" s="31">
        <f>VARIABLES!$B$20</f>
        <v/>
      </c>
      <c r="AI78" s="31">
        <f>IF(MOD($A78,12)=0,VARIABLES!$B$21,0)</f>
        <v/>
      </c>
      <c r="AJ78" s="35">
        <f>AE78+AF78+AG78+AH78+AI78</f>
        <v/>
      </c>
      <c r="AK78" s="36">
        <f>IF($A78&lt;VARIABLES!$B$7,VARIABLES!$B$11,0)</f>
        <v/>
      </c>
      <c r="AL78" s="37">
        <f>AC78-AJ78-AK78</f>
        <v/>
      </c>
      <c r="AM78" s="37">
        <f>AM77+AL78</f>
        <v/>
      </c>
      <c r="AN78" s="38">
        <f>AN77+AK78</f>
        <v/>
      </c>
    </row>
    <row r="79">
      <c r="A79" s="39" t="n">
        <v>76</v>
      </c>
      <c r="B79" s="40">
        <f>TEXT(DATE(VARIABLES!$B$63+INT((VARIABLES!$B$64+$A79-2)/12),MOD(VARIABLES!$B$64+$A79-2,12)+1,1),"mmm-yy")</f>
        <v/>
      </c>
      <c r="C79" s="41">
        <f>IF($A79&lt;VARIABLES!$B$7,VARIABLES!$B$5/12,IF($A79&lt;VARIABLES!$B$8,VARIABLES!$B$6/12,VARIABLES!$B$9/12))</f>
        <v/>
      </c>
      <c r="D79" s="42">
        <f>IF($A79&lt;VARIABLES!$B$24,0,IF($A79=VARIABLES!$B$24,VARIABLES!$B$25+VARIABLES!$B$26,VARIABLES!$B$26))</f>
        <v/>
      </c>
      <c r="E79" s="42">
        <f>D79*VARIABLES!$B$27</f>
        <v/>
      </c>
      <c r="F79" s="42">
        <f>IF($A79&lt;VARIABLES!$B$24,0,(IF($A79=VARIABLES!$B$24,0,G78)+D79)*C79*VARIABLES!$B$28)</f>
        <v/>
      </c>
      <c r="G79" s="42">
        <f>IF($A79&lt;VARIABLES!$B$24,0,(IF($A79=VARIABLES!$B$24,0,G78)+D79)*(1+C79)-F79)</f>
        <v/>
      </c>
      <c r="H79" s="42">
        <f>IF($A79&lt;VARIABLES!$B$31,0,IF($A79=VARIABLES!$B$31,VARIABLES!$B$32+VARIABLES!$B$33,VARIABLES!$B$33))</f>
        <v/>
      </c>
      <c r="I79" s="42">
        <f>H79*VARIABLES!$B$34</f>
        <v/>
      </c>
      <c r="J79" s="42">
        <f>IF($A79&lt;VARIABLES!$B$31,0,(IF($A79=VARIABLES!$B$31,0,K78)+H79)*C79*VARIABLES!$B$35)</f>
        <v/>
      </c>
      <c r="K79" s="42">
        <f>IF($A79&lt;VARIABLES!$B$31,0,(IF($A79=VARIABLES!$B$31,0,K78)+H79)*(1+C79)-J79)</f>
        <v/>
      </c>
      <c r="L79" s="42">
        <f>IF($A79&lt;VARIABLES!$B$38,0,IF($A79=VARIABLES!$B$38,VARIABLES!$B$39+VARIABLES!$B$40,VARIABLES!$B$40))</f>
        <v/>
      </c>
      <c r="M79" s="42">
        <f>L79*VARIABLES!$B$41</f>
        <v/>
      </c>
      <c r="N79" s="42">
        <f>IF($A79&lt;VARIABLES!$B$38,0,(IF($A79=VARIABLES!$B$38,0,O78)+L79)*C79*VARIABLES!$B$42)</f>
        <v/>
      </c>
      <c r="O79" s="42">
        <f>IF($A79&lt;VARIABLES!$B$38,0,(IF($A79=VARIABLES!$B$38,0,O78)+L79)*(1+C79)-N79)</f>
        <v/>
      </c>
      <c r="P79" s="42">
        <f>IF($A79&lt;VARIABLES!$B$45,0,IF($A79=VARIABLES!$B$45,VARIABLES!$B$46+VARIABLES!$B$47,VARIABLES!$B$47))</f>
        <v/>
      </c>
      <c r="Q79" s="42">
        <f>P79*VARIABLES!$B$48</f>
        <v/>
      </c>
      <c r="R79" s="42">
        <f>IF($A79&lt;VARIABLES!$B$45,0,(IF($A79=VARIABLES!$B$45,0,S78)+P79)*C79*VARIABLES!$B$49)</f>
        <v/>
      </c>
      <c r="S79" s="42">
        <f>IF($A79&lt;VARIABLES!$B$45,0,(IF($A79=VARIABLES!$B$45,0,S78)+P79)*(1+C79)-R79)</f>
        <v/>
      </c>
      <c r="T79" s="43">
        <f>IF($A79&lt;VARIABLES!$B$53,0,MIN(VARIABLES!$B$52,INT(($A79-VARIABLES!$B$53)/VARIABLES!$B$54)+1)*VARIABLES!$B$55)</f>
        <v/>
      </c>
      <c r="U79" s="42">
        <f>T79*VARIABLES!$B$57+IF(AND($A79&gt;=VARIABLES!$B$53,MOD($A79-VARIABLES!$B$53,VARIABLES!$B$54)=0,INT(($A79-VARIABLES!$B$53)/VARIABLES!$B$54)&lt;VARIABLES!$B$52),VARIABLES!$B$55*VARIABLES!$B$56,0)</f>
        <v/>
      </c>
      <c r="V79" s="42">
        <f>U79*VARIABLES!$B$58</f>
        <v/>
      </c>
      <c r="W79" s="42">
        <f>IF($A79&lt;VARIABLES!$B$53,0,(IF($A79&lt;VARIABLES!$B$53+1,0,X78)+U79)*C79*VARIABLES!$B$59)</f>
        <v/>
      </c>
      <c r="X79" s="42">
        <f>IF($A79&lt;VARIABLES!$B$53,0,(IF($A79&lt;VARIABLES!$B$53+1,0,X78)+U79)*(1+C79)-W79)</f>
        <v/>
      </c>
      <c r="Y79" s="42">
        <f>D79+H79+L79+P79+U79</f>
        <v/>
      </c>
      <c r="Z79" s="42">
        <f>E79+I79+M79+Q79+V79</f>
        <v/>
      </c>
      <c r="AA79" s="42">
        <f>F79+J79+N79+R79+W79</f>
        <v/>
      </c>
      <c r="AB79" s="42">
        <f>Y79*VARIABLES!$B$14*VARIABLES!$B$15</f>
        <v/>
      </c>
      <c r="AC79" s="33">
        <f>Z79+AA79+AB79</f>
        <v/>
      </c>
      <c r="AD79" s="34">
        <f>G79+K79+O79+S79+X79</f>
        <v/>
      </c>
      <c r="AE79" s="42">
        <f>0</f>
        <v/>
      </c>
      <c r="AF79" s="42">
        <f>Z79*VARIABLES!$B$19</f>
        <v/>
      </c>
      <c r="AG79" s="42">
        <f>AA79*VARIABLES!$B$18</f>
        <v/>
      </c>
      <c r="AH79" s="42">
        <f>VARIABLES!$B$20</f>
        <v/>
      </c>
      <c r="AI79" s="42">
        <f>IF(MOD($A79,12)=0,VARIABLES!$B$21,0)</f>
        <v/>
      </c>
      <c r="AJ79" s="35">
        <f>AE79+AF79+AG79+AH79+AI79</f>
        <v/>
      </c>
      <c r="AK79" s="36">
        <f>IF($A79&lt;VARIABLES!$B$7,VARIABLES!$B$11,0)</f>
        <v/>
      </c>
      <c r="AL79" s="44">
        <f>AC79-AJ79-AK79</f>
        <v/>
      </c>
      <c r="AM79" s="44">
        <f>AM78+AL79</f>
        <v/>
      </c>
      <c r="AN79" s="38">
        <f>AN78+AK79</f>
        <v/>
      </c>
    </row>
    <row r="80">
      <c r="A80" s="28" t="n">
        <v>77</v>
      </c>
      <c r="B80" s="29">
        <f>TEXT(DATE(VARIABLES!$B$63+INT((VARIABLES!$B$64+$A80-2)/12),MOD(VARIABLES!$B$64+$A80-2,12)+1,1),"mmm-yy")</f>
        <v/>
      </c>
      <c r="C80" s="30">
        <f>IF($A80&lt;VARIABLES!$B$7,VARIABLES!$B$5/12,IF($A80&lt;VARIABLES!$B$8,VARIABLES!$B$6/12,VARIABLES!$B$9/12))</f>
        <v/>
      </c>
      <c r="D80" s="31">
        <f>IF($A80&lt;VARIABLES!$B$24,0,IF($A80=VARIABLES!$B$24,VARIABLES!$B$25+VARIABLES!$B$26,VARIABLES!$B$26))</f>
        <v/>
      </c>
      <c r="E80" s="31">
        <f>D80*VARIABLES!$B$27</f>
        <v/>
      </c>
      <c r="F80" s="31">
        <f>IF($A80&lt;VARIABLES!$B$24,0,(IF($A80=VARIABLES!$B$24,0,G79)+D80)*C80*VARIABLES!$B$28)</f>
        <v/>
      </c>
      <c r="G80" s="31">
        <f>IF($A80&lt;VARIABLES!$B$24,0,(IF($A80=VARIABLES!$B$24,0,G79)+D80)*(1+C80)-F80)</f>
        <v/>
      </c>
      <c r="H80" s="31">
        <f>IF($A80&lt;VARIABLES!$B$31,0,IF($A80=VARIABLES!$B$31,VARIABLES!$B$32+VARIABLES!$B$33,VARIABLES!$B$33))</f>
        <v/>
      </c>
      <c r="I80" s="31">
        <f>H80*VARIABLES!$B$34</f>
        <v/>
      </c>
      <c r="J80" s="31">
        <f>IF($A80&lt;VARIABLES!$B$31,0,(IF($A80=VARIABLES!$B$31,0,K79)+H80)*C80*VARIABLES!$B$35)</f>
        <v/>
      </c>
      <c r="K80" s="31">
        <f>IF($A80&lt;VARIABLES!$B$31,0,(IF($A80=VARIABLES!$B$31,0,K79)+H80)*(1+C80)-J80)</f>
        <v/>
      </c>
      <c r="L80" s="31">
        <f>IF($A80&lt;VARIABLES!$B$38,0,IF($A80=VARIABLES!$B$38,VARIABLES!$B$39+VARIABLES!$B$40,VARIABLES!$B$40))</f>
        <v/>
      </c>
      <c r="M80" s="31">
        <f>L80*VARIABLES!$B$41</f>
        <v/>
      </c>
      <c r="N80" s="31">
        <f>IF($A80&lt;VARIABLES!$B$38,0,(IF($A80=VARIABLES!$B$38,0,O79)+L80)*C80*VARIABLES!$B$42)</f>
        <v/>
      </c>
      <c r="O80" s="31">
        <f>IF($A80&lt;VARIABLES!$B$38,0,(IF($A80=VARIABLES!$B$38,0,O79)+L80)*(1+C80)-N80)</f>
        <v/>
      </c>
      <c r="P80" s="31">
        <f>IF($A80&lt;VARIABLES!$B$45,0,IF($A80=VARIABLES!$B$45,VARIABLES!$B$46+VARIABLES!$B$47,VARIABLES!$B$47))</f>
        <v/>
      </c>
      <c r="Q80" s="31">
        <f>P80*VARIABLES!$B$48</f>
        <v/>
      </c>
      <c r="R80" s="31">
        <f>IF($A80&lt;VARIABLES!$B$45,0,(IF($A80=VARIABLES!$B$45,0,S79)+P80)*C80*VARIABLES!$B$49)</f>
        <v/>
      </c>
      <c r="S80" s="31">
        <f>IF($A80&lt;VARIABLES!$B$45,0,(IF($A80=VARIABLES!$B$45,0,S79)+P80)*(1+C80)-R80)</f>
        <v/>
      </c>
      <c r="T80" s="32">
        <f>IF($A80&lt;VARIABLES!$B$53,0,MIN(VARIABLES!$B$52,INT(($A80-VARIABLES!$B$53)/VARIABLES!$B$54)+1)*VARIABLES!$B$55)</f>
        <v/>
      </c>
      <c r="U80" s="31">
        <f>T80*VARIABLES!$B$57+IF(AND($A80&gt;=VARIABLES!$B$53,MOD($A80-VARIABLES!$B$53,VARIABLES!$B$54)=0,INT(($A80-VARIABLES!$B$53)/VARIABLES!$B$54)&lt;VARIABLES!$B$52),VARIABLES!$B$55*VARIABLES!$B$56,0)</f>
        <v/>
      </c>
      <c r="V80" s="31">
        <f>U80*VARIABLES!$B$58</f>
        <v/>
      </c>
      <c r="W80" s="31">
        <f>IF($A80&lt;VARIABLES!$B$53,0,(IF($A80&lt;VARIABLES!$B$53+1,0,X79)+U80)*C80*VARIABLES!$B$59)</f>
        <v/>
      </c>
      <c r="X80" s="31">
        <f>IF($A80&lt;VARIABLES!$B$53,0,(IF($A80&lt;VARIABLES!$B$53+1,0,X79)+U80)*(1+C80)-W80)</f>
        <v/>
      </c>
      <c r="Y80" s="31">
        <f>D80+H80+L80+P80+U80</f>
        <v/>
      </c>
      <c r="Z80" s="31">
        <f>E80+I80+M80+Q80+V80</f>
        <v/>
      </c>
      <c r="AA80" s="31">
        <f>F80+J80+N80+R80+W80</f>
        <v/>
      </c>
      <c r="AB80" s="31">
        <f>Y80*VARIABLES!$B$14*VARIABLES!$B$15</f>
        <v/>
      </c>
      <c r="AC80" s="33">
        <f>Z80+AA80+AB80</f>
        <v/>
      </c>
      <c r="AD80" s="34">
        <f>G80+K80+O80+S80+X80</f>
        <v/>
      </c>
      <c r="AE80" s="31">
        <f>0</f>
        <v/>
      </c>
      <c r="AF80" s="31">
        <f>Z80*VARIABLES!$B$19</f>
        <v/>
      </c>
      <c r="AG80" s="31">
        <f>AA80*VARIABLES!$B$18</f>
        <v/>
      </c>
      <c r="AH80" s="31">
        <f>VARIABLES!$B$20</f>
        <v/>
      </c>
      <c r="AI80" s="31">
        <f>IF(MOD($A80,12)=0,VARIABLES!$B$21,0)</f>
        <v/>
      </c>
      <c r="AJ80" s="35">
        <f>AE80+AF80+AG80+AH80+AI80</f>
        <v/>
      </c>
      <c r="AK80" s="36">
        <f>IF($A80&lt;VARIABLES!$B$7,VARIABLES!$B$11,0)</f>
        <v/>
      </c>
      <c r="AL80" s="37">
        <f>AC80-AJ80-AK80</f>
        <v/>
      </c>
      <c r="AM80" s="37">
        <f>AM79+AL80</f>
        <v/>
      </c>
      <c r="AN80" s="38">
        <f>AN79+AK80</f>
        <v/>
      </c>
    </row>
    <row r="81">
      <c r="A81" s="39" t="n">
        <v>78</v>
      </c>
      <c r="B81" s="40">
        <f>TEXT(DATE(VARIABLES!$B$63+INT((VARIABLES!$B$64+$A81-2)/12),MOD(VARIABLES!$B$64+$A81-2,12)+1,1),"mmm-yy")</f>
        <v/>
      </c>
      <c r="C81" s="41">
        <f>IF($A81&lt;VARIABLES!$B$7,VARIABLES!$B$5/12,IF($A81&lt;VARIABLES!$B$8,VARIABLES!$B$6/12,VARIABLES!$B$9/12))</f>
        <v/>
      </c>
      <c r="D81" s="42">
        <f>IF($A81&lt;VARIABLES!$B$24,0,IF($A81=VARIABLES!$B$24,VARIABLES!$B$25+VARIABLES!$B$26,VARIABLES!$B$26))</f>
        <v/>
      </c>
      <c r="E81" s="42">
        <f>D81*VARIABLES!$B$27</f>
        <v/>
      </c>
      <c r="F81" s="42">
        <f>IF($A81&lt;VARIABLES!$B$24,0,(IF($A81=VARIABLES!$B$24,0,G80)+D81)*C81*VARIABLES!$B$28)</f>
        <v/>
      </c>
      <c r="G81" s="42">
        <f>IF($A81&lt;VARIABLES!$B$24,0,(IF($A81=VARIABLES!$B$24,0,G80)+D81)*(1+C81)-F81)</f>
        <v/>
      </c>
      <c r="H81" s="42">
        <f>IF($A81&lt;VARIABLES!$B$31,0,IF($A81=VARIABLES!$B$31,VARIABLES!$B$32+VARIABLES!$B$33,VARIABLES!$B$33))</f>
        <v/>
      </c>
      <c r="I81" s="42">
        <f>H81*VARIABLES!$B$34</f>
        <v/>
      </c>
      <c r="J81" s="42">
        <f>IF($A81&lt;VARIABLES!$B$31,0,(IF($A81=VARIABLES!$B$31,0,K80)+H81)*C81*VARIABLES!$B$35)</f>
        <v/>
      </c>
      <c r="K81" s="42">
        <f>IF($A81&lt;VARIABLES!$B$31,0,(IF($A81=VARIABLES!$B$31,0,K80)+H81)*(1+C81)-J81)</f>
        <v/>
      </c>
      <c r="L81" s="42">
        <f>IF($A81&lt;VARIABLES!$B$38,0,IF($A81=VARIABLES!$B$38,VARIABLES!$B$39+VARIABLES!$B$40,VARIABLES!$B$40))</f>
        <v/>
      </c>
      <c r="M81" s="42">
        <f>L81*VARIABLES!$B$41</f>
        <v/>
      </c>
      <c r="N81" s="42">
        <f>IF($A81&lt;VARIABLES!$B$38,0,(IF($A81=VARIABLES!$B$38,0,O80)+L81)*C81*VARIABLES!$B$42)</f>
        <v/>
      </c>
      <c r="O81" s="42">
        <f>IF($A81&lt;VARIABLES!$B$38,0,(IF($A81=VARIABLES!$B$38,0,O80)+L81)*(1+C81)-N81)</f>
        <v/>
      </c>
      <c r="P81" s="42">
        <f>IF($A81&lt;VARIABLES!$B$45,0,IF($A81=VARIABLES!$B$45,VARIABLES!$B$46+VARIABLES!$B$47,VARIABLES!$B$47))</f>
        <v/>
      </c>
      <c r="Q81" s="42">
        <f>P81*VARIABLES!$B$48</f>
        <v/>
      </c>
      <c r="R81" s="42">
        <f>IF($A81&lt;VARIABLES!$B$45,0,(IF($A81=VARIABLES!$B$45,0,S80)+P81)*C81*VARIABLES!$B$49)</f>
        <v/>
      </c>
      <c r="S81" s="42">
        <f>IF($A81&lt;VARIABLES!$B$45,0,(IF($A81=VARIABLES!$B$45,0,S80)+P81)*(1+C81)-R81)</f>
        <v/>
      </c>
      <c r="T81" s="43">
        <f>IF($A81&lt;VARIABLES!$B$53,0,MIN(VARIABLES!$B$52,INT(($A81-VARIABLES!$B$53)/VARIABLES!$B$54)+1)*VARIABLES!$B$55)</f>
        <v/>
      </c>
      <c r="U81" s="42">
        <f>T81*VARIABLES!$B$57+IF(AND($A81&gt;=VARIABLES!$B$53,MOD($A81-VARIABLES!$B$53,VARIABLES!$B$54)=0,INT(($A81-VARIABLES!$B$53)/VARIABLES!$B$54)&lt;VARIABLES!$B$52),VARIABLES!$B$55*VARIABLES!$B$56,0)</f>
        <v/>
      </c>
      <c r="V81" s="42">
        <f>U81*VARIABLES!$B$58</f>
        <v/>
      </c>
      <c r="W81" s="42">
        <f>IF($A81&lt;VARIABLES!$B$53,0,(IF($A81&lt;VARIABLES!$B$53+1,0,X80)+U81)*C81*VARIABLES!$B$59)</f>
        <v/>
      </c>
      <c r="X81" s="42">
        <f>IF($A81&lt;VARIABLES!$B$53,0,(IF($A81&lt;VARIABLES!$B$53+1,0,X80)+U81)*(1+C81)-W81)</f>
        <v/>
      </c>
      <c r="Y81" s="42">
        <f>D81+H81+L81+P81+U81</f>
        <v/>
      </c>
      <c r="Z81" s="42">
        <f>E81+I81+M81+Q81+V81</f>
        <v/>
      </c>
      <c r="AA81" s="42">
        <f>F81+J81+N81+R81+W81</f>
        <v/>
      </c>
      <c r="AB81" s="42">
        <f>Y81*VARIABLES!$B$14*VARIABLES!$B$15</f>
        <v/>
      </c>
      <c r="AC81" s="33">
        <f>Z81+AA81+AB81</f>
        <v/>
      </c>
      <c r="AD81" s="34">
        <f>G81+K81+O81+S81+X81</f>
        <v/>
      </c>
      <c r="AE81" s="42">
        <f>0</f>
        <v/>
      </c>
      <c r="AF81" s="42">
        <f>Z81*VARIABLES!$B$19</f>
        <v/>
      </c>
      <c r="AG81" s="42">
        <f>AA81*VARIABLES!$B$18</f>
        <v/>
      </c>
      <c r="AH81" s="42">
        <f>VARIABLES!$B$20</f>
        <v/>
      </c>
      <c r="AI81" s="42">
        <f>IF(MOD($A81,12)=0,VARIABLES!$B$21,0)</f>
        <v/>
      </c>
      <c r="AJ81" s="35">
        <f>AE81+AF81+AG81+AH81+AI81</f>
        <v/>
      </c>
      <c r="AK81" s="36">
        <f>IF($A81&lt;VARIABLES!$B$7,VARIABLES!$B$11,0)</f>
        <v/>
      </c>
      <c r="AL81" s="44">
        <f>AC81-AJ81-AK81</f>
        <v/>
      </c>
      <c r="AM81" s="44">
        <f>AM80+AL81</f>
        <v/>
      </c>
      <c r="AN81" s="38">
        <f>AN80+AK81</f>
        <v/>
      </c>
    </row>
    <row r="82">
      <c r="A82" s="28" t="n">
        <v>79</v>
      </c>
      <c r="B82" s="29">
        <f>TEXT(DATE(VARIABLES!$B$63+INT((VARIABLES!$B$64+$A82-2)/12),MOD(VARIABLES!$B$64+$A82-2,12)+1,1),"mmm-yy")</f>
        <v/>
      </c>
      <c r="C82" s="30">
        <f>IF($A82&lt;VARIABLES!$B$7,VARIABLES!$B$5/12,IF($A82&lt;VARIABLES!$B$8,VARIABLES!$B$6/12,VARIABLES!$B$9/12))</f>
        <v/>
      </c>
      <c r="D82" s="31">
        <f>IF($A82&lt;VARIABLES!$B$24,0,IF($A82=VARIABLES!$B$24,VARIABLES!$B$25+VARIABLES!$B$26,VARIABLES!$B$26))</f>
        <v/>
      </c>
      <c r="E82" s="31">
        <f>D82*VARIABLES!$B$27</f>
        <v/>
      </c>
      <c r="F82" s="31">
        <f>IF($A82&lt;VARIABLES!$B$24,0,(IF($A82=VARIABLES!$B$24,0,G81)+D82)*C82*VARIABLES!$B$28)</f>
        <v/>
      </c>
      <c r="G82" s="31">
        <f>IF($A82&lt;VARIABLES!$B$24,0,(IF($A82=VARIABLES!$B$24,0,G81)+D82)*(1+C82)-F82)</f>
        <v/>
      </c>
      <c r="H82" s="31">
        <f>IF($A82&lt;VARIABLES!$B$31,0,IF($A82=VARIABLES!$B$31,VARIABLES!$B$32+VARIABLES!$B$33,VARIABLES!$B$33))</f>
        <v/>
      </c>
      <c r="I82" s="31">
        <f>H82*VARIABLES!$B$34</f>
        <v/>
      </c>
      <c r="J82" s="31">
        <f>IF($A82&lt;VARIABLES!$B$31,0,(IF($A82=VARIABLES!$B$31,0,K81)+H82)*C82*VARIABLES!$B$35)</f>
        <v/>
      </c>
      <c r="K82" s="31">
        <f>IF($A82&lt;VARIABLES!$B$31,0,(IF($A82=VARIABLES!$B$31,0,K81)+H82)*(1+C82)-J82)</f>
        <v/>
      </c>
      <c r="L82" s="31">
        <f>IF($A82&lt;VARIABLES!$B$38,0,IF($A82=VARIABLES!$B$38,VARIABLES!$B$39+VARIABLES!$B$40,VARIABLES!$B$40))</f>
        <v/>
      </c>
      <c r="M82" s="31">
        <f>L82*VARIABLES!$B$41</f>
        <v/>
      </c>
      <c r="N82" s="31">
        <f>IF($A82&lt;VARIABLES!$B$38,0,(IF($A82=VARIABLES!$B$38,0,O81)+L82)*C82*VARIABLES!$B$42)</f>
        <v/>
      </c>
      <c r="O82" s="31">
        <f>IF($A82&lt;VARIABLES!$B$38,0,(IF($A82=VARIABLES!$B$38,0,O81)+L82)*(1+C82)-N82)</f>
        <v/>
      </c>
      <c r="P82" s="31">
        <f>IF($A82&lt;VARIABLES!$B$45,0,IF($A82=VARIABLES!$B$45,VARIABLES!$B$46+VARIABLES!$B$47,VARIABLES!$B$47))</f>
        <v/>
      </c>
      <c r="Q82" s="31">
        <f>P82*VARIABLES!$B$48</f>
        <v/>
      </c>
      <c r="R82" s="31">
        <f>IF($A82&lt;VARIABLES!$B$45,0,(IF($A82=VARIABLES!$B$45,0,S81)+P82)*C82*VARIABLES!$B$49)</f>
        <v/>
      </c>
      <c r="S82" s="31">
        <f>IF($A82&lt;VARIABLES!$B$45,0,(IF($A82=VARIABLES!$B$45,0,S81)+P82)*(1+C82)-R82)</f>
        <v/>
      </c>
      <c r="T82" s="32">
        <f>IF($A82&lt;VARIABLES!$B$53,0,MIN(VARIABLES!$B$52,INT(($A82-VARIABLES!$B$53)/VARIABLES!$B$54)+1)*VARIABLES!$B$55)</f>
        <v/>
      </c>
      <c r="U82" s="31">
        <f>T82*VARIABLES!$B$57+IF(AND($A82&gt;=VARIABLES!$B$53,MOD($A82-VARIABLES!$B$53,VARIABLES!$B$54)=0,INT(($A82-VARIABLES!$B$53)/VARIABLES!$B$54)&lt;VARIABLES!$B$52),VARIABLES!$B$55*VARIABLES!$B$56,0)</f>
        <v/>
      </c>
      <c r="V82" s="31">
        <f>U82*VARIABLES!$B$58</f>
        <v/>
      </c>
      <c r="W82" s="31">
        <f>IF($A82&lt;VARIABLES!$B$53,0,(IF($A82&lt;VARIABLES!$B$53+1,0,X81)+U82)*C82*VARIABLES!$B$59)</f>
        <v/>
      </c>
      <c r="X82" s="31">
        <f>IF($A82&lt;VARIABLES!$B$53,0,(IF($A82&lt;VARIABLES!$B$53+1,0,X81)+U82)*(1+C82)-W82)</f>
        <v/>
      </c>
      <c r="Y82" s="31">
        <f>D82+H82+L82+P82+U82</f>
        <v/>
      </c>
      <c r="Z82" s="31">
        <f>E82+I82+M82+Q82+V82</f>
        <v/>
      </c>
      <c r="AA82" s="31">
        <f>F82+J82+N82+R82+W82</f>
        <v/>
      </c>
      <c r="AB82" s="31">
        <f>Y82*VARIABLES!$B$14*VARIABLES!$B$15</f>
        <v/>
      </c>
      <c r="AC82" s="33">
        <f>Z82+AA82+AB82</f>
        <v/>
      </c>
      <c r="AD82" s="34">
        <f>G82+K82+O82+S82+X82</f>
        <v/>
      </c>
      <c r="AE82" s="31">
        <f>0</f>
        <v/>
      </c>
      <c r="AF82" s="31">
        <f>Z82*VARIABLES!$B$19</f>
        <v/>
      </c>
      <c r="AG82" s="31">
        <f>AA82*VARIABLES!$B$18</f>
        <v/>
      </c>
      <c r="AH82" s="31">
        <f>VARIABLES!$B$20</f>
        <v/>
      </c>
      <c r="AI82" s="31">
        <f>IF(MOD($A82,12)=0,VARIABLES!$B$21,0)</f>
        <v/>
      </c>
      <c r="AJ82" s="35">
        <f>AE82+AF82+AG82+AH82+AI82</f>
        <v/>
      </c>
      <c r="AK82" s="36">
        <f>IF($A82&lt;VARIABLES!$B$7,VARIABLES!$B$11,0)</f>
        <v/>
      </c>
      <c r="AL82" s="37">
        <f>AC82-AJ82-AK82</f>
        <v/>
      </c>
      <c r="AM82" s="37">
        <f>AM81+AL82</f>
        <v/>
      </c>
      <c r="AN82" s="38">
        <f>AN81+AK82</f>
        <v/>
      </c>
    </row>
    <row r="83">
      <c r="A83" s="39" t="n">
        <v>80</v>
      </c>
      <c r="B83" s="40">
        <f>TEXT(DATE(VARIABLES!$B$63+INT((VARIABLES!$B$64+$A83-2)/12),MOD(VARIABLES!$B$64+$A83-2,12)+1,1),"mmm-yy")</f>
        <v/>
      </c>
      <c r="C83" s="41">
        <f>IF($A83&lt;VARIABLES!$B$7,VARIABLES!$B$5/12,IF($A83&lt;VARIABLES!$B$8,VARIABLES!$B$6/12,VARIABLES!$B$9/12))</f>
        <v/>
      </c>
      <c r="D83" s="42">
        <f>IF($A83&lt;VARIABLES!$B$24,0,IF($A83=VARIABLES!$B$24,VARIABLES!$B$25+VARIABLES!$B$26,VARIABLES!$B$26))</f>
        <v/>
      </c>
      <c r="E83" s="42">
        <f>D83*VARIABLES!$B$27</f>
        <v/>
      </c>
      <c r="F83" s="42">
        <f>IF($A83&lt;VARIABLES!$B$24,0,(IF($A83=VARIABLES!$B$24,0,G82)+D83)*C83*VARIABLES!$B$28)</f>
        <v/>
      </c>
      <c r="G83" s="42">
        <f>IF($A83&lt;VARIABLES!$B$24,0,(IF($A83=VARIABLES!$B$24,0,G82)+D83)*(1+C83)-F83)</f>
        <v/>
      </c>
      <c r="H83" s="42">
        <f>IF($A83&lt;VARIABLES!$B$31,0,IF($A83=VARIABLES!$B$31,VARIABLES!$B$32+VARIABLES!$B$33,VARIABLES!$B$33))</f>
        <v/>
      </c>
      <c r="I83" s="42">
        <f>H83*VARIABLES!$B$34</f>
        <v/>
      </c>
      <c r="J83" s="42">
        <f>IF($A83&lt;VARIABLES!$B$31,0,(IF($A83=VARIABLES!$B$31,0,K82)+H83)*C83*VARIABLES!$B$35)</f>
        <v/>
      </c>
      <c r="K83" s="42">
        <f>IF($A83&lt;VARIABLES!$B$31,0,(IF($A83=VARIABLES!$B$31,0,K82)+H83)*(1+C83)-J83)</f>
        <v/>
      </c>
      <c r="L83" s="42">
        <f>IF($A83&lt;VARIABLES!$B$38,0,IF($A83=VARIABLES!$B$38,VARIABLES!$B$39+VARIABLES!$B$40,VARIABLES!$B$40))</f>
        <v/>
      </c>
      <c r="M83" s="42">
        <f>L83*VARIABLES!$B$41</f>
        <v/>
      </c>
      <c r="N83" s="42">
        <f>IF($A83&lt;VARIABLES!$B$38,0,(IF($A83=VARIABLES!$B$38,0,O82)+L83)*C83*VARIABLES!$B$42)</f>
        <v/>
      </c>
      <c r="O83" s="42">
        <f>IF($A83&lt;VARIABLES!$B$38,0,(IF($A83=VARIABLES!$B$38,0,O82)+L83)*(1+C83)-N83)</f>
        <v/>
      </c>
      <c r="P83" s="42">
        <f>IF($A83&lt;VARIABLES!$B$45,0,IF($A83=VARIABLES!$B$45,VARIABLES!$B$46+VARIABLES!$B$47,VARIABLES!$B$47))</f>
        <v/>
      </c>
      <c r="Q83" s="42">
        <f>P83*VARIABLES!$B$48</f>
        <v/>
      </c>
      <c r="R83" s="42">
        <f>IF($A83&lt;VARIABLES!$B$45,0,(IF($A83=VARIABLES!$B$45,0,S82)+P83)*C83*VARIABLES!$B$49)</f>
        <v/>
      </c>
      <c r="S83" s="42">
        <f>IF($A83&lt;VARIABLES!$B$45,0,(IF($A83=VARIABLES!$B$45,0,S82)+P83)*(1+C83)-R83)</f>
        <v/>
      </c>
      <c r="T83" s="43">
        <f>IF($A83&lt;VARIABLES!$B$53,0,MIN(VARIABLES!$B$52,INT(($A83-VARIABLES!$B$53)/VARIABLES!$B$54)+1)*VARIABLES!$B$55)</f>
        <v/>
      </c>
      <c r="U83" s="42">
        <f>T83*VARIABLES!$B$57+IF(AND($A83&gt;=VARIABLES!$B$53,MOD($A83-VARIABLES!$B$53,VARIABLES!$B$54)=0,INT(($A83-VARIABLES!$B$53)/VARIABLES!$B$54)&lt;VARIABLES!$B$52),VARIABLES!$B$55*VARIABLES!$B$56,0)</f>
        <v/>
      </c>
      <c r="V83" s="42">
        <f>U83*VARIABLES!$B$58</f>
        <v/>
      </c>
      <c r="W83" s="42">
        <f>IF($A83&lt;VARIABLES!$B$53,0,(IF($A83&lt;VARIABLES!$B$53+1,0,X82)+U83)*C83*VARIABLES!$B$59)</f>
        <v/>
      </c>
      <c r="X83" s="42">
        <f>IF($A83&lt;VARIABLES!$B$53,0,(IF($A83&lt;VARIABLES!$B$53+1,0,X82)+U83)*(1+C83)-W83)</f>
        <v/>
      </c>
      <c r="Y83" s="42">
        <f>D83+H83+L83+P83+U83</f>
        <v/>
      </c>
      <c r="Z83" s="42">
        <f>E83+I83+M83+Q83+V83</f>
        <v/>
      </c>
      <c r="AA83" s="42">
        <f>F83+J83+N83+R83+W83</f>
        <v/>
      </c>
      <c r="AB83" s="42">
        <f>Y83*VARIABLES!$B$14*VARIABLES!$B$15</f>
        <v/>
      </c>
      <c r="AC83" s="33">
        <f>Z83+AA83+AB83</f>
        <v/>
      </c>
      <c r="AD83" s="34">
        <f>G83+K83+O83+S83+X83</f>
        <v/>
      </c>
      <c r="AE83" s="42">
        <f>0</f>
        <v/>
      </c>
      <c r="AF83" s="42">
        <f>Z83*VARIABLES!$B$19</f>
        <v/>
      </c>
      <c r="AG83" s="42">
        <f>AA83*VARIABLES!$B$18</f>
        <v/>
      </c>
      <c r="AH83" s="42">
        <f>VARIABLES!$B$20</f>
        <v/>
      </c>
      <c r="AI83" s="42">
        <f>IF(MOD($A83,12)=0,VARIABLES!$B$21,0)</f>
        <v/>
      </c>
      <c r="AJ83" s="35">
        <f>AE83+AF83+AG83+AH83+AI83</f>
        <v/>
      </c>
      <c r="AK83" s="36">
        <f>IF($A83&lt;VARIABLES!$B$7,VARIABLES!$B$11,0)</f>
        <v/>
      </c>
      <c r="AL83" s="44">
        <f>AC83-AJ83-AK83</f>
        <v/>
      </c>
      <c r="AM83" s="44">
        <f>AM82+AL83</f>
        <v/>
      </c>
      <c r="AN83" s="38">
        <f>AN82+AK83</f>
        <v/>
      </c>
    </row>
    <row r="84">
      <c r="A84" s="28" t="n">
        <v>81</v>
      </c>
      <c r="B84" s="29">
        <f>TEXT(DATE(VARIABLES!$B$63+INT((VARIABLES!$B$64+$A84-2)/12),MOD(VARIABLES!$B$64+$A84-2,12)+1,1),"mmm-yy")</f>
        <v/>
      </c>
      <c r="C84" s="30">
        <f>IF($A84&lt;VARIABLES!$B$7,VARIABLES!$B$5/12,IF($A84&lt;VARIABLES!$B$8,VARIABLES!$B$6/12,VARIABLES!$B$9/12))</f>
        <v/>
      </c>
      <c r="D84" s="31">
        <f>IF($A84&lt;VARIABLES!$B$24,0,IF($A84=VARIABLES!$B$24,VARIABLES!$B$25+VARIABLES!$B$26,VARIABLES!$B$26))</f>
        <v/>
      </c>
      <c r="E84" s="31">
        <f>D84*VARIABLES!$B$27</f>
        <v/>
      </c>
      <c r="F84" s="31">
        <f>IF($A84&lt;VARIABLES!$B$24,0,(IF($A84=VARIABLES!$B$24,0,G83)+D84)*C84*VARIABLES!$B$28)</f>
        <v/>
      </c>
      <c r="G84" s="31">
        <f>IF($A84&lt;VARIABLES!$B$24,0,(IF($A84=VARIABLES!$B$24,0,G83)+D84)*(1+C84)-F84)</f>
        <v/>
      </c>
      <c r="H84" s="31">
        <f>IF($A84&lt;VARIABLES!$B$31,0,IF($A84=VARIABLES!$B$31,VARIABLES!$B$32+VARIABLES!$B$33,VARIABLES!$B$33))</f>
        <v/>
      </c>
      <c r="I84" s="31">
        <f>H84*VARIABLES!$B$34</f>
        <v/>
      </c>
      <c r="J84" s="31">
        <f>IF($A84&lt;VARIABLES!$B$31,0,(IF($A84=VARIABLES!$B$31,0,K83)+H84)*C84*VARIABLES!$B$35)</f>
        <v/>
      </c>
      <c r="K84" s="31">
        <f>IF($A84&lt;VARIABLES!$B$31,0,(IF($A84=VARIABLES!$B$31,0,K83)+H84)*(1+C84)-J84)</f>
        <v/>
      </c>
      <c r="L84" s="31">
        <f>IF($A84&lt;VARIABLES!$B$38,0,IF($A84=VARIABLES!$B$38,VARIABLES!$B$39+VARIABLES!$B$40,VARIABLES!$B$40))</f>
        <v/>
      </c>
      <c r="M84" s="31">
        <f>L84*VARIABLES!$B$41</f>
        <v/>
      </c>
      <c r="N84" s="31">
        <f>IF($A84&lt;VARIABLES!$B$38,0,(IF($A84=VARIABLES!$B$38,0,O83)+L84)*C84*VARIABLES!$B$42)</f>
        <v/>
      </c>
      <c r="O84" s="31">
        <f>IF($A84&lt;VARIABLES!$B$38,0,(IF($A84=VARIABLES!$B$38,0,O83)+L84)*(1+C84)-N84)</f>
        <v/>
      </c>
      <c r="P84" s="31">
        <f>IF($A84&lt;VARIABLES!$B$45,0,IF($A84=VARIABLES!$B$45,VARIABLES!$B$46+VARIABLES!$B$47,VARIABLES!$B$47))</f>
        <v/>
      </c>
      <c r="Q84" s="31">
        <f>P84*VARIABLES!$B$48</f>
        <v/>
      </c>
      <c r="R84" s="31">
        <f>IF($A84&lt;VARIABLES!$B$45,0,(IF($A84=VARIABLES!$B$45,0,S83)+P84)*C84*VARIABLES!$B$49)</f>
        <v/>
      </c>
      <c r="S84" s="31">
        <f>IF($A84&lt;VARIABLES!$B$45,0,(IF($A84=VARIABLES!$B$45,0,S83)+P84)*(1+C84)-R84)</f>
        <v/>
      </c>
      <c r="T84" s="32">
        <f>IF($A84&lt;VARIABLES!$B$53,0,MIN(VARIABLES!$B$52,INT(($A84-VARIABLES!$B$53)/VARIABLES!$B$54)+1)*VARIABLES!$B$55)</f>
        <v/>
      </c>
      <c r="U84" s="31">
        <f>T84*VARIABLES!$B$57+IF(AND($A84&gt;=VARIABLES!$B$53,MOD($A84-VARIABLES!$B$53,VARIABLES!$B$54)=0,INT(($A84-VARIABLES!$B$53)/VARIABLES!$B$54)&lt;VARIABLES!$B$52),VARIABLES!$B$55*VARIABLES!$B$56,0)</f>
        <v/>
      </c>
      <c r="V84" s="31">
        <f>U84*VARIABLES!$B$58</f>
        <v/>
      </c>
      <c r="W84" s="31">
        <f>IF($A84&lt;VARIABLES!$B$53,0,(IF($A84&lt;VARIABLES!$B$53+1,0,X83)+U84)*C84*VARIABLES!$B$59)</f>
        <v/>
      </c>
      <c r="X84" s="31">
        <f>IF($A84&lt;VARIABLES!$B$53,0,(IF($A84&lt;VARIABLES!$B$53+1,0,X83)+U84)*(1+C84)-W84)</f>
        <v/>
      </c>
      <c r="Y84" s="31">
        <f>D84+H84+L84+P84+U84</f>
        <v/>
      </c>
      <c r="Z84" s="31">
        <f>E84+I84+M84+Q84+V84</f>
        <v/>
      </c>
      <c r="AA84" s="31">
        <f>F84+J84+N84+R84+W84</f>
        <v/>
      </c>
      <c r="AB84" s="31">
        <f>Y84*VARIABLES!$B$14*VARIABLES!$B$15</f>
        <v/>
      </c>
      <c r="AC84" s="33">
        <f>Z84+AA84+AB84</f>
        <v/>
      </c>
      <c r="AD84" s="34">
        <f>G84+K84+O84+S84+X84</f>
        <v/>
      </c>
      <c r="AE84" s="31">
        <f>0</f>
        <v/>
      </c>
      <c r="AF84" s="31">
        <f>Z84*VARIABLES!$B$19</f>
        <v/>
      </c>
      <c r="AG84" s="31">
        <f>AA84*VARIABLES!$B$18</f>
        <v/>
      </c>
      <c r="AH84" s="31">
        <f>VARIABLES!$B$20</f>
        <v/>
      </c>
      <c r="AI84" s="31">
        <f>IF(MOD($A84,12)=0,VARIABLES!$B$21,0)</f>
        <v/>
      </c>
      <c r="AJ84" s="35">
        <f>AE84+AF84+AG84+AH84+AI84</f>
        <v/>
      </c>
      <c r="AK84" s="36">
        <f>IF($A84&lt;VARIABLES!$B$7,VARIABLES!$B$11,0)</f>
        <v/>
      </c>
      <c r="AL84" s="37">
        <f>AC84-AJ84-AK84</f>
        <v/>
      </c>
      <c r="AM84" s="37">
        <f>AM83+AL84</f>
        <v/>
      </c>
      <c r="AN84" s="38">
        <f>AN83+AK84</f>
        <v/>
      </c>
    </row>
    <row r="85">
      <c r="A85" s="39" t="n">
        <v>82</v>
      </c>
      <c r="B85" s="40">
        <f>TEXT(DATE(VARIABLES!$B$63+INT((VARIABLES!$B$64+$A85-2)/12),MOD(VARIABLES!$B$64+$A85-2,12)+1,1),"mmm-yy")</f>
        <v/>
      </c>
      <c r="C85" s="41">
        <f>IF($A85&lt;VARIABLES!$B$7,VARIABLES!$B$5/12,IF($A85&lt;VARIABLES!$B$8,VARIABLES!$B$6/12,VARIABLES!$B$9/12))</f>
        <v/>
      </c>
      <c r="D85" s="42">
        <f>IF($A85&lt;VARIABLES!$B$24,0,IF($A85=VARIABLES!$B$24,VARIABLES!$B$25+VARIABLES!$B$26,VARIABLES!$B$26))</f>
        <v/>
      </c>
      <c r="E85" s="42">
        <f>D85*VARIABLES!$B$27</f>
        <v/>
      </c>
      <c r="F85" s="42">
        <f>IF($A85&lt;VARIABLES!$B$24,0,(IF($A85=VARIABLES!$B$24,0,G84)+D85)*C85*VARIABLES!$B$28)</f>
        <v/>
      </c>
      <c r="G85" s="42">
        <f>IF($A85&lt;VARIABLES!$B$24,0,(IF($A85=VARIABLES!$B$24,0,G84)+D85)*(1+C85)-F85)</f>
        <v/>
      </c>
      <c r="H85" s="42">
        <f>IF($A85&lt;VARIABLES!$B$31,0,IF($A85=VARIABLES!$B$31,VARIABLES!$B$32+VARIABLES!$B$33,VARIABLES!$B$33))</f>
        <v/>
      </c>
      <c r="I85" s="42">
        <f>H85*VARIABLES!$B$34</f>
        <v/>
      </c>
      <c r="J85" s="42">
        <f>IF($A85&lt;VARIABLES!$B$31,0,(IF($A85=VARIABLES!$B$31,0,K84)+H85)*C85*VARIABLES!$B$35)</f>
        <v/>
      </c>
      <c r="K85" s="42">
        <f>IF($A85&lt;VARIABLES!$B$31,0,(IF($A85=VARIABLES!$B$31,0,K84)+H85)*(1+C85)-J85)</f>
        <v/>
      </c>
      <c r="L85" s="42">
        <f>IF($A85&lt;VARIABLES!$B$38,0,IF($A85=VARIABLES!$B$38,VARIABLES!$B$39+VARIABLES!$B$40,VARIABLES!$B$40))</f>
        <v/>
      </c>
      <c r="M85" s="42">
        <f>L85*VARIABLES!$B$41</f>
        <v/>
      </c>
      <c r="N85" s="42">
        <f>IF($A85&lt;VARIABLES!$B$38,0,(IF($A85=VARIABLES!$B$38,0,O84)+L85)*C85*VARIABLES!$B$42)</f>
        <v/>
      </c>
      <c r="O85" s="42">
        <f>IF($A85&lt;VARIABLES!$B$38,0,(IF($A85=VARIABLES!$B$38,0,O84)+L85)*(1+C85)-N85)</f>
        <v/>
      </c>
      <c r="P85" s="42">
        <f>IF($A85&lt;VARIABLES!$B$45,0,IF($A85=VARIABLES!$B$45,VARIABLES!$B$46+VARIABLES!$B$47,VARIABLES!$B$47))</f>
        <v/>
      </c>
      <c r="Q85" s="42">
        <f>P85*VARIABLES!$B$48</f>
        <v/>
      </c>
      <c r="R85" s="42">
        <f>IF($A85&lt;VARIABLES!$B$45,0,(IF($A85=VARIABLES!$B$45,0,S84)+P85)*C85*VARIABLES!$B$49)</f>
        <v/>
      </c>
      <c r="S85" s="42">
        <f>IF($A85&lt;VARIABLES!$B$45,0,(IF($A85=VARIABLES!$B$45,0,S84)+P85)*(1+C85)-R85)</f>
        <v/>
      </c>
      <c r="T85" s="43">
        <f>IF($A85&lt;VARIABLES!$B$53,0,MIN(VARIABLES!$B$52,INT(($A85-VARIABLES!$B$53)/VARIABLES!$B$54)+1)*VARIABLES!$B$55)</f>
        <v/>
      </c>
      <c r="U85" s="42">
        <f>T85*VARIABLES!$B$57+IF(AND($A85&gt;=VARIABLES!$B$53,MOD($A85-VARIABLES!$B$53,VARIABLES!$B$54)=0,INT(($A85-VARIABLES!$B$53)/VARIABLES!$B$54)&lt;VARIABLES!$B$52),VARIABLES!$B$55*VARIABLES!$B$56,0)</f>
        <v/>
      </c>
      <c r="V85" s="42">
        <f>U85*VARIABLES!$B$58</f>
        <v/>
      </c>
      <c r="W85" s="42">
        <f>IF($A85&lt;VARIABLES!$B$53,0,(IF($A85&lt;VARIABLES!$B$53+1,0,X84)+U85)*C85*VARIABLES!$B$59)</f>
        <v/>
      </c>
      <c r="X85" s="42">
        <f>IF($A85&lt;VARIABLES!$B$53,0,(IF($A85&lt;VARIABLES!$B$53+1,0,X84)+U85)*(1+C85)-W85)</f>
        <v/>
      </c>
      <c r="Y85" s="42">
        <f>D85+H85+L85+P85+U85</f>
        <v/>
      </c>
      <c r="Z85" s="42">
        <f>E85+I85+M85+Q85+V85</f>
        <v/>
      </c>
      <c r="AA85" s="42">
        <f>F85+J85+N85+R85+W85</f>
        <v/>
      </c>
      <c r="AB85" s="42">
        <f>Y85*VARIABLES!$B$14*VARIABLES!$B$15</f>
        <v/>
      </c>
      <c r="AC85" s="33">
        <f>Z85+AA85+AB85</f>
        <v/>
      </c>
      <c r="AD85" s="34">
        <f>G85+K85+O85+S85+X85</f>
        <v/>
      </c>
      <c r="AE85" s="42">
        <f>0</f>
        <v/>
      </c>
      <c r="AF85" s="42">
        <f>Z85*VARIABLES!$B$19</f>
        <v/>
      </c>
      <c r="AG85" s="42">
        <f>AA85*VARIABLES!$B$18</f>
        <v/>
      </c>
      <c r="AH85" s="42">
        <f>VARIABLES!$B$20</f>
        <v/>
      </c>
      <c r="AI85" s="42">
        <f>IF(MOD($A85,12)=0,VARIABLES!$B$21,0)</f>
        <v/>
      </c>
      <c r="AJ85" s="35">
        <f>AE85+AF85+AG85+AH85+AI85</f>
        <v/>
      </c>
      <c r="AK85" s="36">
        <f>IF($A85&lt;VARIABLES!$B$7,VARIABLES!$B$11,0)</f>
        <v/>
      </c>
      <c r="AL85" s="44">
        <f>AC85-AJ85-AK85</f>
        <v/>
      </c>
      <c r="AM85" s="44">
        <f>AM84+AL85</f>
        <v/>
      </c>
      <c r="AN85" s="38">
        <f>AN84+AK85</f>
        <v/>
      </c>
    </row>
    <row r="86">
      <c r="A86" s="28" t="n">
        <v>83</v>
      </c>
      <c r="B86" s="29">
        <f>TEXT(DATE(VARIABLES!$B$63+INT((VARIABLES!$B$64+$A86-2)/12),MOD(VARIABLES!$B$64+$A86-2,12)+1,1),"mmm-yy")</f>
        <v/>
      </c>
      <c r="C86" s="30">
        <f>IF($A86&lt;VARIABLES!$B$7,VARIABLES!$B$5/12,IF($A86&lt;VARIABLES!$B$8,VARIABLES!$B$6/12,VARIABLES!$B$9/12))</f>
        <v/>
      </c>
      <c r="D86" s="31">
        <f>IF($A86&lt;VARIABLES!$B$24,0,IF($A86=VARIABLES!$B$24,VARIABLES!$B$25+VARIABLES!$B$26,VARIABLES!$B$26))</f>
        <v/>
      </c>
      <c r="E86" s="31">
        <f>D86*VARIABLES!$B$27</f>
        <v/>
      </c>
      <c r="F86" s="31">
        <f>IF($A86&lt;VARIABLES!$B$24,0,(IF($A86=VARIABLES!$B$24,0,G85)+D86)*C86*VARIABLES!$B$28)</f>
        <v/>
      </c>
      <c r="G86" s="31">
        <f>IF($A86&lt;VARIABLES!$B$24,0,(IF($A86=VARIABLES!$B$24,0,G85)+D86)*(1+C86)-F86)</f>
        <v/>
      </c>
      <c r="H86" s="31">
        <f>IF($A86&lt;VARIABLES!$B$31,0,IF($A86=VARIABLES!$B$31,VARIABLES!$B$32+VARIABLES!$B$33,VARIABLES!$B$33))</f>
        <v/>
      </c>
      <c r="I86" s="31">
        <f>H86*VARIABLES!$B$34</f>
        <v/>
      </c>
      <c r="J86" s="31">
        <f>IF($A86&lt;VARIABLES!$B$31,0,(IF($A86=VARIABLES!$B$31,0,K85)+H86)*C86*VARIABLES!$B$35)</f>
        <v/>
      </c>
      <c r="K86" s="31">
        <f>IF($A86&lt;VARIABLES!$B$31,0,(IF($A86=VARIABLES!$B$31,0,K85)+H86)*(1+C86)-J86)</f>
        <v/>
      </c>
      <c r="L86" s="31">
        <f>IF($A86&lt;VARIABLES!$B$38,0,IF($A86=VARIABLES!$B$38,VARIABLES!$B$39+VARIABLES!$B$40,VARIABLES!$B$40))</f>
        <v/>
      </c>
      <c r="M86" s="31">
        <f>L86*VARIABLES!$B$41</f>
        <v/>
      </c>
      <c r="N86" s="31">
        <f>IF($A86&lt;VARIABLES!$B$38,0,(IF($A86=VARIABLES!$B$38,0,O85)+L86)*C86*VARIABLES!$B$42)</f>
        <v/>
      </c>
      <c r="O86" s="31">
        <f>IF($A86&lt;VARIABLES!$B$38,0,(IF($A86=VARIABLES!$B$38,0,O85)+L86)*(1+C86)-N86)</f>
        <v/>
      </c>
      <c r="P86" s="31">
        <f>IF($A86&lt;VARIABLES!$B$45,0,IF($A86=VARIABLES!$B$45,VARIABLES!$B$46+VARIABLES!$B$47,VARIABLES!$B$47))</f>
        <v/>
      </c>
      <c r="Q86" s="31">
        <f>P86*VARIABLES!$B$48</f>
        <v/>
      </c>
      <c r="R86" s="31">
        <f>IF($A86&lt;VARIABLES!$B$45,0,(IF($A86=VARIABLES!$B$45,0,S85)+P86)*C86*VARIABLES!$B$49)</f>
        <v/>
      </c>
      <c r="S86" s="31">
        <f>IF($A86&lt;VARIABLES!$B$45,0,(IF($A86=VARIABLES!$B$45,0,S85)+P86)*(1+C86)-R86)</f>
        <v/>
      </c>
      <c r="T86" s="32">
        <f>IF($A86&lt;VARIABLES!$B$53,0,MIN(VARIABLES!$B$52,INT(($A86-VARIABLES!$B$53)/VARIABLES!$B$54)+1)*VARIABLES!$B$55)</f>
        <v/>
      </c>
      <c r="U86" s="31">
        <f>T86*VARIABLES!$B$57+IF(AND($A86&gt;=VARIABLES!$B$53,MOD($A86-VARIABLES!$B$53,VARIABLES!$B$54)=0,INT(($A86-VARIABLES!$B$53)/VARIABLES!$B$54)&lt;VARIABLES!$B$52),VARIABLES!$B$55*VARIABLES!$B$56,0)</f>
        <v/>
      </c>
      <c r="V86" s="31">
        <f>U86*VARIABLES!$B$58</f>
        <v/>
      </c>
      <c r="W86" s="31">
        <f>IF($A86&lt;VARIABLES!$B$53,0,(IF($A86&lt;VARIABLES!$B$53+1,0,X85)+U86)*C86*VARIABLES!$B$59)</f>
        <v/>
      </c>
      <c r="X86" s="31">
        <f>IF($A86&lt;VARIABLES!$B$53,0,(IF($A86&lt;VARIABLES!$B$53+1,0,X85)+U86)*(1+C86)-W86)</f>
        <v/>
      </c>
      <c r="Y86" s="31">
        <f>D86+H86+L86+P86+U86</f>
        <v/>
      </c>
      <c r="Z86" s="31">
        <f>E86+I86+M86+Q86+V86</f>
        <v/>
      </c>
      <c r="AA86" s="31">
        <f>F86+J86+N86+R86+W86</f>
        <v/>
      </c>
      <c r="AB86" s="31">
        <f>Y86*VARIABLES!$B$14*VARIABLES!$B$15</f>
        <v/>
      </c>
      <c r="AC86" s="33">
        <f>Z86+AA86+AB86</f>
        <v/>
      </c>
      <c r="AD86" s="34">
        <f>G86+K86+O86+S86+X86</f>
        <v/>
      </c>
      <c r="AE86" s="31">
        <f>0</f>
        <v/>
      </c>
      <c r="AF86" s="31">
        <f>Z86*VARIABLES!$B$19</f>
        <v/>
      </c>
      <c r="AG86" s="31">
        <f>AA86*VARIABLES!$B$18</f>
        <v/>
      </c>
      <c r="AH86" s="31">
        <f>VARIABLES!$B$20</f>
        <v/>
      </c>
      <c r="AI86" s="31">
        <f>IF(MOD($A86,12)=0,VARIABLES!$B$21,0)</f>
        <v/>
      </c>
      <c r="AJ86" s="35">
        <f>AE86+AF86+AG86+AH86+AI86</f>
        <v/>
      </c>
      <c r="AK86" s="36">
        <f>IF($A86&lt;VARIABLES!$B$7,VARIABLES!$B$11,0)</f>
        <v/>
      </c>
      <c r="AL86" s="37">
        <f>AC86-AJ86-AK86</f>
        <v/>
      </c>
      <c r="AM86" s="37">
        <f>AM85+AL86</f>
        <v/>
      </c>
      <c r="AN86" s="38">
        <f>AN85+AK86</f>
        <v/>
      </c>
    </row>
    <row r="87">
      <c r="A87" s="39" t="n">
        <v>84</v>
      </c>
      <c r="B87" s="40">
        <f>TEXT(DATE(VARIABLES!$B$63+INT((VARIABLES!$B$64+$A87-2)/12),MOD(VARIABLES!$B$64+$A87-2,12)+1,1),"mmm-yy")</f>
        <v/>
      </c>
      <c r="C87" s="41">
        <f>IF($A87&lt;VARIABLES!$B$7,VARIABLES!$B$5/12,IF($A87&lt;VARIABLES!$B$8,VARIABLES!$B$6/12,VARIABLES!$B$9/12))</f>
        <v/>
      </c>
      <c r="D87" s="42">
        <f>IF($A87&lt;VARIABLES!$B$24,0,IF($A87=VARIABLES!$B$24,VARIABLES!$B$25+VARIABLES!$B$26,VARIABLES!$B$26))</f>
        <v/>
      </c>
      <c r="E87" s="42">
        <f>D87*VARIABLES!$B$27</f>
        <v/>
      </c>
      <c r="F87" s="42">
        <f>IF($A87&lt;VARIABLES!$B$24,0,(IF($A87=VARIABLES!$B$24,0,G86)+D87)*C87*VARIABLES!$B$28)</f>
        <v/>
      </c>
      <c r="G87" s="42">
        <f>IF($A87&lt;VARIABLES!$B$24,0,(IF($A87=VARIABLES!$B$24,0,G86)+D87)*(1+C87)-F87)</f>
        <v/>
      </c>
      <c r="H87" s="42">
        <f>IF($A87&lt;VARIABLES!$B$31,0,IF($A87=VARIABLES!$B$31,VARIABLES!$B$32+VARIABLES!$B$33,VARIABLES!$B$33))</f>
        <v/>
      </c>
      <c r="I87" s="42">
        <f>H87*VARIABLES!$B$34</f>
        <v/>
      </c>
      <c r="J87" s="42">
        <f>IF($A87&lt;VARIABLES!$B$31,0,(IF($A87=VARIABLES!$B$31,0,K86)+H87)*C87*VARIABLES!$B$35)</f>
        <v/>
      </c>
      <c r="K87" s="42">
        <f>IF($A87&lt;VARIABLES!$B$31,0,(IF($A87=VARIABLES!$B$31,0,K86)+H87)*(1+C87)-J87)</f>
        <v/>
      </c>
      <c r="L87" s="42">
        <f>IF($A87&lt;VARIABLES!$B$38,0,IF($A87=VARIABLES!$B$38,VARIABLES!$B$39+VARIABLES!$B$40,VARIABLES!$B$40))</f>
        <v/>
      </c>
      <c r="M87" s="42">
        <f>L87*VARIABLES!$B$41</f>
        <v/>
      </c>
      <c r="N87" s="42">
        <f>IF($A87&lt;VARIABLES!$B$38,0,(IF($A87=VARIABLES!$B$38,0,O86)+L87)*C87*VARIABLES!$B$42)</f>
        <v/>
      </c>
      <c r="O87" s="42">
        <f>IF($A87&lt;VARIABLES!$B$38,0,(IF($A87=VARIABLES!$B$38,0,O86)+L87)*(1+C87)-N87)</f>
        <v/>
      </c>
      <c r="P87" s="42">
        <f>IF($A87&lt;VARIABLES!$B$45,0,IF($A87=VARIABLES!$B$45,VARIABLES!$B$46+VARIABLES!$B$47,VARIABLES!$B$47))</f>
        <v/>
      </c>
      <c r="Q87" s="42">
        <f>P87*VARIABLES!$B$48</f>
        <v/>
      </c>
      <c r="R87" s="42">
        <f>IF($A87&lt;VARIABLES!$B$45,0,(IF($A87=VARIABLES!$B$45,0,S86)+P87)*C87*VARIABLES!$B$49)</f>
        <v/>
      </c>
      <c r="S87" s="42">
        <f>IF($A87&lt;VARIABLES!$B$45,0,(IF($A87=VARIABLES!$B$45,0,S86)+P87)*(1+C87)-R87)</f>
        <v/>
      </c>
      <c r="T87" s="43">
        <f>IF($A87&lt;VARIABLES!$B$53,0,MIN(VARIABLES!$B$52,INT(($A87-VARIABLES!$B$53)/VARIABLES!$B$54)+1)*VARIABLES!$B$55)</f>
        <v/>
      </c>
      <c r="U87" s="42">
        <f>T87*VARIABLES!$B$57+IF(AND($A87&gt;=VARIABLES!$B$53,MOD($A87-VARIABLES!$B$53,VARIABLES!$B$54)=0,INT(($A87-VARIABLES!$B$53)/VARIABLES!$B$54)&lt;VARIABLES!$B$52),VARIABLES!$B$55*VARIABLES!$B$56,0)</f>
        <v/>
      </c>
      <c r="V87" s="42">
        <f>U87*VARIABLES!$B$58</f>
        <v/>
      </c>
      <c r="W87" s="42">
        <f>IF($A87&lt;VARIABLES!$B$53,0,(IF($A87&lt;VARIABLES!$B$53+1,0,X86)+U87)*C87*VARIABLES!$B$59)</f>
        <v/>
      </c>
      <c r="X87" s="42">
        <f>IF($A87&lt;VARIABLES!$B$53,0,(IF($A87&lt;VARIABLES!$B$53+1,0,X86)+U87)*(1+C87)-W87)</f>
        <v/>
      </c>
      <c r="Y87" s="42">
        <f>D87+H87+L87+P87+U87</f>
        <v/>
      </c>
      <c r="Z87" s="42">
        <f>E87+I87+M87+Q87+V87</f>
        <v/>
      </c>
      <c r="AA87" s="42">
        <f>F87+J87+N87+R87+W87</f>
        <v/>
      </c>
      <c r="AB87" s="42">
        <f>Y87*VARIABLES!$B$14*VARIABLES!$B$15</f>
        <v/>
      </c>
      <c r="AC87" s="33">
        <f>Z87+AA87+AB87</f>
        <v/>
      </c>
      <c r="AD87" s="34">
        <f>G87+K87+O87+S87+X87</f>
        <v/>
      </c>
      <c r="AE87" s="42">
        <f>0</f>
        <v/>
      </c>
      <c r="AF87" s="42">
        <f>Z87*VARIABLES!$B$19</f>
        <v/>
      </c>
      <c r="AG87" s="42">
        <f>AA87*VARIABLES!$B$18</f>
        <v/>
      </c>
      <c r="AH87" s="42">
        <f>VARIABLES!$B$20</f>
        <v/>
      </c>
      <c r="AI87" s="42">
        <f>IF(MOD($A87,12)=0,VARIABLES!$B$21,0)</f>
        <v/>
      </c>
      <c r="AJ87" s="35">
        <f>AE87+AF87+AG87+AH87+AI87</f>
        <v/>
      </c>
      <c r="AK87" s="36">
        <f>IF($A87&lt;VARIABLES!$B$7,VARIABLES!$B$11,0)</f>
        <v/>
      </c>
      <c r="AL87" s="44">
        <f>AC87-AJ87-AK87</f>
        <v/>
      </c>
      <c r="AM87" s="44">
        <f>AM86+AL87</f>
        <v/>
      </c>
      <c r="AN87" s="38">
        <f>AN86+AK87</f>
        <v/>
      </c>
    </row>
    <row r="88">
      <c r="A88" s="28" t="n">
        <v>85</v>
      </c>
      <c r="B88" s="29">
        <f>TEXT(DATE(VARIABLES!$B$63+INT((VARIABLES!$B$64+$A88-2)/12),MOD(VARIABLES!$B$64+$A88-2,12)+1,1),"mmm-yy")</f>
        <v/>
      </c>
      <c r="C88" s="30">
        <f>IF($A88&lt;VARIABLES!$B$7,VARIABLES!$B$5/12,IF($A88&lt;VARIABLES!$B$8,VARIABLES!$B$6/12,VARIABLES!$B$9/12))</f>
        <v/>
      </c>
      <c r="D88" s="31">
        <f>IF($A88&lt;VARIABLES!$B$24,0,IF($A88=VARIABLES!$B$24,VARIABLES!$B$25+VARIABLES!$B$26,VARIABLES!$B$26))</f>
        <v/>
      </c>
      <c r="E88" s="31">
        <f>D88*VARIABLES!$B$27</f>
        <v/>
      </c>
      <c r="F88" s="31">
        <f>IF($A88&lt;VARIABLES!$B$24,0,(IF($A88=VARIABLES!$B$24,0,G87)+D88)*C88*VARIABLES!$B$28)</f>
        <v/>
      </c>
      <c r="G88" s="31">
        <f>IF($A88&lt;VARIABLES!$B$24,0,(IF($A88=VARIABLES!$B$24,0,G87)+D88)*(1+C88)-F88)</f>
        <v/>
      </c>
      <c r="H88" s="31">
        <f>IF($A88&lt;VARIABLES!$B$31,0,IF($A88=VARIABLES!$B$31,VARIABLES!$B$32+VARIABLES!$B$33,VARIABLES!$B$33))</f>
        <v/>
      </c>
      <c r="I88" s="31">
        <f>H88*VARIABLES!$B$34</f>
        <v/>
      </c>
      <c r="J88" s="31">
        <f>IF($A88&lt;VARIABLES!$B$31,0,(IF($A88=VARIABLES!$B$31,0,K87)+H88)*C88*VARIABLES!$B$35)</f>
        <v/>
      </c>
      <c r="K88" s="31">
        <f>IF($A88&lt;VARIABLES!$B$31,0,(IF($A88=VARIABLES!$B$31,0,K87)+H88)*(1+C88)-J88)</f>
        <v/>
      </c>
      <c r="L88" s="31">
        <f>IF($A88&lt;VARIABLES!$B$38,0,IF($A88=VARIABLES!$B$38,VARIABLES!$B$39+VARIABLES!$B$40,VARIABLES!$B$40))</f>
        <v/>
      </c>
      <c r="M88" s="31">
        <f>L88*VARIABLES!$B$41</f>
        <v/>
      </c>
      <c r="N88" s="31">
        <f>IF($A88&lt;VARIABLES!$B$38,0,(IF($A88=VARIABLES!$B$38,0,O87)+L88)*C88*VARIABLES!$B$42)</f>
        <v/>
      </c>
      <c r="O88" s="31">
        <f>IF($A88&lt;VARIABLES!$B$38,0,(IF($A88=VARIABLES!$B$38,0,O87)+L88)*(1+C88)-N88)</f>
        <v/>
      </c>
      <c r="P88" s="31">
        <f>IF($A88&lt;VARIABLES!$B$45,0,IF($A88=VARIABLES!$B$45,VARIABLES!$B$46+VARIABLES!$B$47,VARIABLES!$B$47))</f>
        <v/>
      </c>
      <c r="Q88" s="31">
        <f>P88*VARIABLES!$B$48</f>
        <v/>
      </c>
      <c r="R88" s="31">
        <f>IF($A88&lt;VARIABLES!$B$45,0,(IF($A88=VARIABLES!$B$45,0,S87)+P88)*C88*VARIABLES!$B$49)</f>
        <v/>
      </c>
      <c r="S88" s="31">
        <f>IF($A88&lt;VARIABLES!$B$45,0,(IF($A88=VARIABLES!$B$45,0,S87)+P88)*(1+C88)-R88)</f>
        <v/>
      </c>
      <c r="T88" s="32">
        <f>IF($A88&lt;VARIABLES!$B$53,0,MIN(VARIABLES!$B$52,INT(($A88-VARIABLES!$B$53)/VARIABLES!$B$54)+1)*VARIABLES!$B$55)</f>
        <v/>
      </c>
      <c r="U88" s="31">
        <f>T88*VARIABLES!$B$57+IF(AND($A88&gt;=VARIABLES!$B$53,MOD($A88-VARIABLES!$B$53,VARIABLES!$B$54)=0,INT(($A88-VARIABLES!$B$53)/VARIABLES!$B$54)&lt;VARIABLES!$B$52),VARIABLES!$B$55*VARIABLES!$B$56,0)</f>
        <v/>
      </c>
      <c r="V88" s="31">
        <f>U88*VARIABLES!$B$58</f>
        <v/>
      </c>
      <c r="W88" s="31">
        <f>IF($A88&lt;VARIABLES!$B$53,0,(IF($A88&lt;VARIABLES!$B$53+1,0,X87)+U88)*C88*VARIABLES!$B$59)</f>
        <v/>
      </c>
      <c r="X88" s="31">
        <f>IF($A88&lt;VARIABLES!$B$53,0,(IF($A88&lt;VARIABLES!$B$53+1,0,X87)+U88)*(1+C88)-W88)</f>
        <v/>
      </c>
      <c r="Y88" s="31">
        <f>D88+H88+L88+P88+U88</f>
        <v/>
      </c>
      <c r="Z88" s="31">
        <f>E88+I88+M88+Q88+V88</f>
        <v/>
      </c>
      <c r="AA88" s="31">
        <f>F88+J88+N88+R88+W88</f>
        <v/>
      </c>
      <c r="AB88" s="31">
        <f>Y88*VARIABLES!$B$14*VARIABLES!$B$15</f>
        <v/>
      </c>
      <c r="AC88" s="33">
        <f>Z88+AA88+AB88</f>
        <v/>
      </c>
      <c r="AD88" s="34">
        <f>G88+K88+O88+S88+X88</f>
        <v/>
      </c>
      <c r="AE88" s="31">
        <f>0</f>
        <v/>
      </c>
      <c r="AF88" s="31">
        <f>Z88*VARIABLES!$B$19</f>
        <v/>
      </c>
      <c r="AG88" s="31">
        <f>AA88*VARIABLES!$B$18</f>
        <v/>
      </c>
      <c r="AH88" s="31">
        <f>VARIABLES!$B$20</f>
        <v/>
      </c>
      <c r="AI88" s="31">
        <f>IF(MOD($A88,12)=0,VARIABLES!$B$21,0)</f>
        <v/>
      </c>
      <c r="AJ88" s="35">
        <f>AE88+AF88+AG88+AH88+AI88</f>
        <v/>
      </c>
      <c r="AK88" s="36">
        <f>IF($A88&lt;VARIABLES!$B$7,VARIABLES!$B$11,0)</f>
        <v/>
      </c>
      <c r="AL88" s="37">
        <f>AC88-AJ88-AK88</f>
        <v/>
      </c>
      <c r="AM88" s="37">
        <f>AM87+AL88</f>
        <v/>
      </c>
      <c r="AN88" s="38">
        <f>AN87+AK88</f>
        <v/>
      </c>
    </row>
    <row r="89">
      <c r="A89" s="39" t="n">
        <v>86</v>
      </c>
      <c r="B89" s="40">
        <f>TEXT(DATE(VARIABLES!$B$63+INT((VARIABLES!$B$64+$A89-2)/12),MOD(VARIABLES!$B$64+$A89-2,12)+1,1),"mmm-yy")</f>
        <v/>
      </c>
      <c r="C89" s="41">
        <f>IF($A89&lt;VARIABLES!$B$7,VARIABLES!$B$5/12,IF($A89&lt;VARIABLES!$B$8,VARIABLES!$B$6/12,VARIABLES!$B$9/12))</f>
        <v/>
      </c>
      <c r="D89" s="42">
        <f>IF($A89&lt;VARIABLES!$B$24,0,IF($A89=VARIABLES!$B$24,VARIABLES!$B$25+VARIABLES!$B$26,VARIABLES!$B$26))</f>
        <v/>
      </c>
      <c r="E89" s="42">
        <f>D89*VARIABLES!$B$27</f>
        <v/>
      </c>
      <c r="F89" s="42">
        <f>IF($A89&lt;VARIABLES!$B$24,0,(IF($A89=VARIABLES!$B$24,0,G88)+D89)*C89*VARIABLES!$B$28)</f>
        <v/>
      </c>
      <c r="G89" s="42">
        <f>IF($A89&lt;VARIABLES!$B$24,0,(IF($A89=VARIABLES!$B$24,0,G88)+D89)*(1+C89)-F89)</f>
        <v/>
      </c>
      <c r="H89" s="42">
        <f>IF($A89&lt;VARIABLES!$B$31,0,IF($A89=VARIABLES!$B$31,VARIABLES!$B$32+VARIABLES!$B$33,VARIABLES!$B$33))</f>
        <v/>
      </c>
      <c r="I89" s="42">
        <f>H89*VARIABLES!$B$34</f>
        <v/>
      </c>
      <c r="J89" s="42">
        <f>IF($A89&lt;VARIABLES!$B$31,0,(IF($A89=VARIABLES!$B$31,0,K88)+H89)*C89*VARIABLES!$B$35)</f>
        <v/>
      </c>
      <c r="K89" s="42">
        <f>IF($A89&lt;VARIABLES!$B$31,0,(IF($A89=VARIABLES!$B$31,0,K88)+H89)*(1+C89)-J89)</f>
        <v/>
      </c>
      <c r="L89" s="42">
        <f>IF($A89&lt;VARIABLES!$B$38,0,IF($A89=VARIABLES!$B$38,VARIABLES!$B$39+VARIABLES!$B$40,VARIABLES!$B$40))</f>
        <v/>
      </c>
      <c r="M89" s="42">
        <f>L89*VARIABLES!$B$41</f>
        <v/>
      </c>
      <c r="N89" s="42">
        <f>IF($A89&lt;VARIABLES!$B$38,0,(IF($A89=VARIABLES!$B$38,0,O88)+L89)*C89*VARIABLES!$B$42)</f>
        <v/>
      </c>
      <c r="O89" s="42">
        <f>IF($A89&lt;VARIABLES!$B$38,0,(IF($A89=VARIABLES!$B$38,0,O88)+L89)*(1+C89)-N89)</f>
        <v/>
      </c>
      <c r="P89" s="42">
        <f>IF($A89&lt;VARIABLES!$B$45,0,IF($A89=VARIABLES!$B$45,VARIABLES!$B$46+VARIABLES!$B$47,VARIABLES!$B$47))</f>
        <v/>
      </c>
      <c r="Q89" s="42">
        <f>P89*VARIABLES!$B$48</f>
        <v/>
      </c>
      <c r="R89" s="42">
        <f>IF($A89&lt;VARIABLES!$B$45,0,(IF($A89=VARIABLES!$B$45,0,S88)+P89)*C89*VARIABLES!$B$49)</f>
        <v/>
      </c>
      <c r="S89" s="42">
        <f>IF($A89&lt;VARIABLES!$B$45,0,(IF($A89=VARIABLES!$B$45,0,S88)+P89)*(1+C89)-R89)</f>
        <v/>
      </c>
      <c r="T89" s="43">
        <f>IF($A89&lt;VARIABLES!$B$53,0,MIN(VARIABLES!$B$52,INT(($A89-VARIABLES!$B$53)/VARIABLES!$B$54)+1)*VARIABLES!$B$55)</f>
        <v/>
      </c>
      <c r="U89" s="42">
        <f>T89*VARIABLES!$B$57+IF(AND($A89&gt;=VARIABLES!$B$53,MOD($A89-VARIABLES!$B$53,VARIABLES!$B$54)=0,INT(($A89-VARIABLES!$B$53)/VARIABLES!$B$54)&lt;VARIABLES!$B$52),VARIABLES!$B$55*VARIABLES!$B$56,0)</f>
        <v/>
      </c>
      <c r="V89" s="42">
        <f>U89*VARIABLES!$B$58</f>
        <v/>
      </c>
      <c r="W89" s="42">
        <f>IF($A89&lt;VARIABLES!$B$53,0,(IF($A89&lt;VARIABLES!$B$53+1,0,X88)+U89)*C89*VARIABLES!$B$59)</f>
        <v/>
      </c>
      <c r="X89" s="42">
        <f>IF($A89&lt;VARIABLES!$B$53,0,(IF($A89&lt;VARIABLES!$B$53+1,0,X88)+U89)*(1+C89)-W89)</f>
        <v/>
      </c>
      <c r="Y89" s="42">
        <f>D89+H89+L89+P89+U89</f>
        <v/>
      </c>
      <c r="Z89" s="42">
        <f>E89+I89+M89+Q89+V89</f>
        <v/>
      </c>
      <c r="AA89" s="42">
        <f>F89+J89+N89+R89+W89</f>
        <v/>
      </c>
      <c r="AB89" s="42">
        <f>Y89*VARIABLES!$B$14*VARIABLES!$B$15</f>
        <v/>
      </c>
      <c r="AC89" s="33">
        <f>Z89+AA89+AB89</f>
        <v/>
      </c>
      <c r="AD89" s="34">
        <f>G89+K89+O89+S89+X89</f>
        <v/>
      </c>
      <c r="AE89" s="42">
        <f>0</f>
        <v/>
      </c>
      <c r="AF89" s="42">
        <f>Z89*VARIABLES!$B$19</f>
        <v/>
      </c>
      <c r="AG89" s="42">
        <f>AA89*VARIABLES!$B$18</f>
        <v/>
      </c>
      <c r="AH89" s="42">
        <f>VARIABLES!$B$20</f>
        <v/>
      </c>
      <c r="AI89" s="42">
        <f>IF(MOD($A89,12)=0,VARIABLES!$B$21,0)</f>
        <v/>
      </c>
      <c r="AJ89" s="35">
        <f>AE89+AF89+AG89+AH89+AI89</f>
        <v/>
      </c>
      <c r="AK89" s="36">
        <f>IF($A89&lt;VARIABLES!$B$7,VARIABLES!$B$11,0)</f>
        <v/>
      </c>
      <c r="AL89" s="44">
        <f>AC89-AJ89-AK89</f>
        <v/>
      </c>
      <c r="AM89" s="44">
        <f>AM88+AL89</f>
        <v/>
      </c>
      <c r="AN89" s="38">
        <f>AN88+AK89</f>
        <v/>
      </c>
    </row>
    <row r="90">
      <c r="A90" s="28" t="n">
        <v>87</v>
      </c>
      <c r="B90" s="29">
        <f>TEXT(DATE(VARIABLES!$B$63+INT((VARIABLES!$B$64+$A90-2)/12),MOD(VARIABLES!$B$64+$A90-2,12)+1,1),"mmm-yy")</f>
        <v/>
      </c>
      <c r="C90" s="30">
        <f>IF($A90&lt;VARIABLES!$B$7,VARIABLES!$B$5/12,IF($A90&lt;VARIABLES!$B$8,VARIABLES!$B$6/12,VARIABLES!$B$9/12))</f>
        <v/>
      </c>
      <c r="D90" s="31">
        <f>IF($A90&lt;VARIABLES!$B$24,0,IF($A90=VARIABLES!$B$24,VARIABLES!$B$25+VARIABLES!$B$26,VARIABLES!$B$26))</f>
        <v/>
      </c>
      <c r="E90" s="31">
        <f>D90*VARIABLES!$B$27</f>
        <v/>
      </c>
      <c r="F90" s="31">
        <f>IF($A90&lt;VARIABLES!$B$24,0,(IF($A90=VARIABLES!$B$24,0,G89)+D90)*C90*VARIABLES!$B$28)</f>
        <v/>
      </c>
      <c r="G90" s="31">
        <f>IF($A90&lt;VARIABLES!$B$24,0,(IF($A90=VARIABLES!$B$24,0,G89)+D90)*(1+C90)-F90)</f>
        <v/>
      </c>
      <c r="H90" s="31">
        <f>IF($A90&lt;VARIABLES!$B$31,0,IF($A90=VARIABLES!$B$31,VARIABLES!$B$32+VARIABLES!$B$33,VARIABLES!$B$33))</f>
        <v/>
      </c>
      <c r="I90" s="31">
        <f>H90*VARIABLES!$B$34</f>
        <v/>
      </c>
      <c r="J90" s="31">
        <f>IF($A90&lt;VARIABLES!$B$31,0,(IF($A90=VARIABLES!$B$31,0,K89)+H90)*C90*VARIABLES!$B$35)</f>
        <v/>
      </c>
      <c r="K90" s="31">
        <f>IF($A90&lt;VARIABLES!$B$31,0,(IF($A90=VARIABLES!$B$31,0,K89)+H90)*(1+C90)-J90)</f>
        <v/>
      </c>
      <c r="L90" s="31">
        <f>IF($A90&lt;VARIABLES!$B$38,0,IF($A90=VARIABLES!$B$38,VARIABLES!$B$39+VARIABLES!$B$40,VARIABLES!$B$40))</f>
        <v/>
      </c>
      <c r="M90" s="31">
        <f>L90*VARIABLES!$B$41</f>
        <v/>
      </c>
      <c r="N90" s="31">
        <f>IF($A90&lt;VARIABLES!$B$38,0,(IF($A90=VARIABLES!$B$38,0,O89)+L90)*C90*VARIABLES!$B$42)</f>
        <v/>
      </c>
      <c r="O90" s="31">
        <f>IF($A90&lt;VARIABLES!$B$38,0,(IF($A90=VARIABLES!$B$38,0,O89)+L90)*(1+C90)-N90)</f>
        <v/>
      </c>
      <c r="P90" s="31">
        <f>IF($A90&lt;VARIABLES!$B$45,0,IF($A90=VARIABLES!$B$45,VARIABLES!$B$46+VARIABLES!$B$47,VARIABLES!$B$47))</f>
        <v/>
      </c>
      <c r="Q90" s="31">
        <f>P90*VARIABLES!$B$48</f>
        <v/>
      </c>
      <c r="R90" s="31">
        <f>IF($A90&lt;VARIABLES!$B$45,0,(IF($A90=VARIABLES!$B$45,0,S89)+P90)*C90*VARIABLES!$B$49)</f>
        <v/>
      </c>
      <c r="S90" s="31">
        <f>IF($A90&lt;VARIABLES!$B$45,0,(IF($A90=VARIABLES!$B$45,0,S89)+P90)*(1+C90)-R90)</f>
        <v/>
      </c>
      <c r="T90" s="32">
        <f>IF($A90&lt;VARIABLES!$B$53,0,MIN(VARIABLES!$B$52,INT(($A90-VARIABLES!$B$53)/VARIABLES!$B$54)+1)*VARIABLES!$B$55)</f>
        <v/>
      </c>
      <c r="U90" s="31">
        <f>T90*VARIABLES!$B$57+IF(AND($A90&gt;=VARIABLES!$B$53,MOD($A90-VARIABLES!$B$53,VARIABLES!$B$54)=0,INT(($A90-VARIABLES!$B$53)/VARIABLES!$B$54)&lt;VARIABLES!$B$52),VARIABLES!$B$55*VARIABLES!$B$56,0)</f>
        <v/>
      </c>
      <c r="V90" s="31">
        <f>U90*VARIABLES!$B$58</f>
        <v/>
      </c>
      <c r="W90" s="31">
        <f>IF($A90&lt;VARIABLES!$B$53,0,(IF($A90&lt;VARIABLES!$B$53+1,0,X89)+U90)*C90*VARIABLES!$B$59)</f>
        <v/>
      </c>
      <c r="X90" s="31">
        <f>IF($A90&lt;VARIABLES!$B$53,0,(IF($A90&lt;VARIABLES!$B$53+1,0,X89)+U90)*(1+C90)-W90)</f>
        <v/>
      </c>
      <c r="Y90" s="31">
        <f>D90+H90+L90+P90+U90</f>
        <v/>
      </c>
      <c r="Z90" s="31">
        <f>E90+I90+M90+Q90+V90</f>
        <v/>
      </c>
      <c r="AA90" s="31">
        <f>F90+J90+N90+R90+W90</f>
        <v/>
      </c>
      <c r="AB90" s="31">
        <f>Y90*VARIABLES!$B$14*VARIABLES!$B$15</f>
        <v/>
      </c>
      <c r="AC90" s="33">
        <f>Z90+AA90+AB90</f>
        <v/>
      </c>
      <c r="AD90" s="34">
        <f>G90+K90+O90+S90+X90</f>
        <v/>
      </c>
      <c r="AE90" s="31">
        <f>0</f>
        <v/>
      </c>
      <c r="AF90" s="31">
        <f>Z90*VARIABLES!$B$19</f>
        <v/>
      </c>
      <c r="AG90" s="31">
        <f>AA90*VARIABLES!$B$18</f>
        <v/>
      </c>
      <c r="AH90" s="31">
        <f>VARIABLES!$B$20</f>
        <v/>
      </c>
      <c r="AI90" s="31">
        <f>IF(MOD($A90,12)=0,VARIABLES!$B$21,0)</f>
        <v/>
      </c>
      <c r="AJ90" s="35">
        <f>AE90+AF90+AG90+AH90+AI90</f>
        <v/>
      </c>
      <c r="AK90" s="36">
        <f>IF($A90&lt;VARIABLES!$B$7,VARIABLES!$B$11,0)</f>
        <v/>
      </c>
      <c r="AL90" s="37">
        <f>AC90-AJ90-AK90</f>
        <v/>
      </c>
      <c r="AM90" s="37">
        <f>AM89+AL90</f>
        <v/>
      </c>
      <c r="AN90" s="38">
        <f>AN89+AK90</f>
        <v/>
      </c>
    </row>
    <row r="91">
      <c r="A91" s="39" t="n">
        <v>88</v>
      </c>
      <c r="B91" s="40">
        <f>TEXT(DATE(VARIABLES!$B$63+INT((VARIABLES!$B$64+$A91-2)/12),MOD(VARIABLES!$B$64+$A91-2,12)+1,1),"mmm-yy")</f>
        <v/>
      </c>
      <c r="C91" s="41">
        <f>IF($A91&lt;VARIABLES!$B$7,VARIABLES!$B$5/12,IF($A91&lt;VARIABLES!$B$8,VARIABLES!$B$6/12,VARIABLES!$B$9/12))</f>
        <v/>
      </c>
      <c r="D91" s="42">
        <f>IF($A91&lt;VARIABLES!$B$24,0,IF($A91=VARIABLES!$B$24,VARIABLES!$B$25+VARIABLES!$B$26,VARIABLES!$B$26))</f>
        <v/>
      </c>
      <c r="E91" s="42">
        <f>D91*VARIABLES!$B$27</f>
        <v/>
      </c>
      <c r="F91" s="42">
        <f>IF($A91&lt;VARIABLES!$B$24,0,(IF($A91=VARIABLES!$B$24,0,G90)+D91)*C91*VARIABLES!$B$28)</f>
        <v/>
      </c>
      <c r="G91" s="42">
        <f>IF($A91&lt;VARIABLES!$B$24,0,(IF($A91=VARIABLES!$B$24,0,G90)+D91)*(1+C91)-F91)</f>
        <v/>
      </c>
      <c r="H91" s="42">
        <f>IF($A91&lt;VARIABLES!$B$31,0,IF($A91=VARIABLES!$B$31,VARIABLES!$B$32+VARIABLES!$B$33,VARIABLES!$B$33))</f>
        <v/>
      </c>
      <c r="I91" s="42">
        <f>H91*VARIABLES!$B$34</f>
        <v/>
      </c>
      <c r="J91" s="42">
        <f>IF($A91&lt;VARIABLES!$B$31,0,(IF($A91=VARIABLES!$B$31,0,K90)+H91)*C91*VARIABLES!$B$35)</f>
        <v/>
      </c>
      <c r="K91" s="42">
        <f>IF($A91&lt;VARIABLES!$B$31,0,(IF($A91=VARIABLES!$B$31,0,K90)+H91)*(1+C91)-J91)</f>
        <v/>
      </c>
      <c r="L91" s="42">
        <f>IF($A91&lt;VARIABLES!$B$38,0,IF($A91=VARIABLES!$B$38,VARIABLES!$B$39+VARIABLES!$B$40,VARIABLES!$B$40))</f>
        <v/>
      </c>
      <c r="M91" s="42">
        <f>L91*VARIABLES!$B$41</f>
        <v/>
      </c>
      <c r="N91" s="42">
        <f>IF($A91&lt;VARIABLES!$B$38,0,(IF($A91=VARIABLES!$B$38,0,O90)+L91)*C91*VARIABLES!$B$42)</f>
        <v/>
      </c>
      <c r="O91" s="42">
        <f>IF($A91&lt;VARIABLES!$B$38,0,(IF($A91=VARIABLES!$B$38,0,O90)+L91)*(1+C91)-N91)</f>
        <v/>
      </c>
      <c r="P91" s="42">
        <f>IF($A91&lt;VARIABLES!$B$45,0,IF($A91=VARIABLES!$B$45,VARIABLES!$B$46+VARIABLES!$B$47,VARIABLES!$B$47))</f>
        <v/>
      </c>
      <c r="Q91" s="42">
        <f>P91*VARIABLES!$B$48</f>
        <v/>
      </c>
      <c r="R91" s="42">
        <f>IF($A91&lt;VARIABLES!$B$45,0,(IF($A91=VARIABLES!$B$45,0,S90)+P91)*C91*VARIABLES!$B$49)</f>
        <v/>
      </c>
      <c r="S91" s="42">
        <f>IF($A91&lt;VARIABLES!$B$45,0,(IF($A91=VARIABLES!$B$45,0,S90)+P91)*(1+C91)-R91)</f>
        <v/>
      </c>
      <c r="T91" s="43">
        <f>IF($A91&lt;VARIABLES!$B$53,0,MIN(VARIABLES!$B$52,INT(($A91-VARIABLES!$B$53)/VARIABLES!$B$54)+1)*VARIABLES!$B$55)</f>
        <v/>
      </c>
      <c r="U91" s="42">
        <f>T91*VARIABLES!$B$57+IF(AND($A91&gt;=VARIABLES!$B$53,MOD($A91-VARIABLES!$B$53,VARIABLES!$B$54)=0,INT(($A91-VARIABLES!$B$53)/VARIABLES!$B$54)&lt;VARIABLES!$B$52),VARIABLES!$B$55*VARIABLES!$B$56,0)</f>
        <v/>
      </c>
      <c r="V91" s="42">
        <f>U91*VARIABLES!$B$58</f>
        <v/>
      </c>
      <c r="W91" s="42">
        <f>IF($A91&lt;VARIABLES!$B$53,0,(IF($A91&lt;VARIABLES!$B$53+1,0,X90)+U91)*C91*VARIABLES!$B$59)</f>
        <v/>
      </c>
      <c r="X91" s="42">
        <f>IF($A91&lt;VARIABLES!$B$53,0,(IF($A91&lt;VARIABLES!$B$53+1,0,X90)+U91)*(1+C91)-W91)</f>
        <v/>
      </c>
      <c r="Y91" s="42">
        <f>D91+H91+L91+P91+U91</f>
        <v/>
      </c>
      <c r="Z91" s="42">
        <f>E91+I91+M91+Q91+V91</f>
        <v/>
      </c>
      <c r="AA91" s="42">
        <f>F91+J91+N91+R91+W91</f>
        <v/>
      </c>
      <c r="AB91" s="42">
        <f>Y91*VARIABLES!$B$14*VARIABLES!$B$15</f>
        <v/>
      </c>
      <c r="AC91" s="33">
        <f>Z91+AA91+AB91</f>
        <v/>
      </c>
      <c r="AD91" s="34">
        <f>G91+K91+O91+S91+X91</f>
        <v/>
      </c>
      <c r="AE91" s="42">
        <f>0</f>
        <v/>
      </c>
      <c r="AF91" s="42">
        <f>Z91*VARIABLES!$B$19</f>
        <v/>
      </c>
      <c r="AG91" s="42">
        <f>AA91*VARIABLES!$B$18</f>
        <v/>
      </c>
      <c r="AH91" s="42">
        <f>VARIABLES!$B$20</f>
        <v/>
      </c>
      <c r="AI91" s="42">
        <f>IF(MOD($A91,12)=0,VARIABLES!$B$21,0)</f>
        <v/>
      </c>
      <c r="AJ91" s="35">
        <f>AE91+AF91+AG91+AH91+AI91</f>
        <v/>
      </c>
      <c r="AK91" s="36">
        <f>IF($A91&lt;VARIABLES!$B$7,VARIABLES!$B$11,0)</f>
        <v/>
      </c>
      <c r="AL91" s="44">
        <f>AC91-AJ91-AK91</f>
        <v/>
      </c>
      <c r="AM91" s="44">
        <f>AM90+AL91</f>
        <v/>
      </c>
      <c r="AN91" s="38">
        <f>AN90+AK91</f>
        <v/>
      </c>
    </row>
    <row r="92">
      <c r="A92" s="28" t="n">
        <v>89</v>
      </c>
      <c r="B92" s="29">
        <f>TEXT(DATE(VARIABLES!$B$63+INT((VARIABLES!$B$64+$A92-2)/12),MOD(VARIABLES!$B$64+$A92-2,12)+1,1),"mmm-yy")</f>
        <v/>
      </c>
      <c r="C92" s="30">
        <f>IF($A92&lt;VARIABLES!$B$7,VARIABLES!$B$5/12,IF($A92&lt;VARIABLES!$B$8,VARIABLES!$B$6/12,VARIABLES!$B$9/12))</f>
        <v/>
      </c>
      <c r="D92" s="31">
        <f>IF($A92&lt;VARIABLES!$B$24,0,IF($A92=VARIABLES!$B$24,VARIABLES!$B$25+VARIABLES!$B$26,VARIABLES!$B$26))</f>
        <v/>
      </c>
      <c r="E92" s="31">
        <f>D92*VARIABLES!$B$27</f>
        <v/>
      </c>
      <c r="F92" s="31">
        <f>IF($A92&lt;VARIABLES!$B$24,0,(IF($A92=VARIABLES!$B$24,0,G91)+D92)*C92*VARIABLES!$B$28)</f>
        <v/>
      </c>
      <c r="G92" s="31">
        <f>IF($A92&lt;VARIABLES!$B$24,0,(IF($A92=VARIABLES!$B$24,0,G91)+D92)*(1+C92)-F92)</f>
        <v/>
      </c>
      <c r="H92" s="31">
        <f>IF($A92&lt;VARIABLES!$B$31,0,IF($A92=VARIABLES!$B$31,VARIABLES!$B$32+VARIABLES!$B$33,VARIABLES!$B$33))</f>
        <v/>
      </c>
      <c r="I92" s="31">
        <f>H92*VARIABLES!$B$34</f>
        <v/>
      </c>
      <c r="J92" s="31">
        <f>IF($A92&lt;VARIABLES!$B$31,0,(IF($A92=VARIABLES!$B$31,0,K91)+H92)*C92*VARIABLES!$B$35)</f>
        <v/>
      </c>
      <c r="K92" s="31">
        <f>IF($A92&lt;VARIABLES!$B$31,0,(IF($A92=VARIABLES!$B$31,0,K91)+H92)*(1+C92)-J92)</f>
        <v/>
      </c>
      <c r="L92" s="31">
        <f>IF($A92&lt;VARIABLES!$B$38,0,IF($A92=VARIABLES!$B$38,VARIABLES!$B$39+VARIABLES!$B$40,VARIABLES!$B$40))</f>
        <v/>
      </c>
      <c r="M92" s="31">
        <f>L92*VARIABLES!$B$41</f>
        <v/>
      </c>
      <c r="N92" s="31">
        <f>IF($A92&lt;VARIABLES!$B$38,0,(IF($A92=VARIABLES!$B$38,0,O91)+L92)*C92*VARIABLES!$B$42)</f>
        <v/>
      </c>
      <c r="O92" s="31">
        <f>IF($A92&lt;VARIABLES!$B$38,0,(IF($A92=VARIABLES!$B$38,0,O91)+L92)*(1+C92)-N92)</f>
        <v/>
      </c>
      <c r="P92" s="31">
        <f>IF($A92&lt;VARIABLES!$B$45,0,IF($A92=VARIABLES!$B$45,VARIABLES!$B$46+VARIABLES!$B$47,VARIABLES!$B$47))</f>
        <v/>
      </c>
      <c r="Q92" s="31">
        <f>P92*VARIABLES!$B$48</f>
        <v/>
      </c>
      <c r="R92" s="31">
        <f>IF($A92&lt;VARIABLES!$B$45,0,(IF($A92=VARIABLES!$B$45,0,S91)+P92)*C92*VARIABLES!$B$49)</f>
        <v/>
      </c>
      <c r="S92" s="31">
        <f>IF($A92&lt;VARIABLES!$B$45,0,(IF($A92=VARIABLES!$B$45,0,S91)+P92)*(1+C92)-R92)</f>
        <v/>
      </c>
      <c r="T92" s="32">
        <f>IF($A92&lt;VARIABLES!$B$53,0,MIN(VARIABLES!$B$52,INT(($A92-VARIABLES!$B$53)/VARIABLES!$B$54)+1)*VARIABLES!$B$55)</f>
        <v/>
      </c>
      <c r="U92" s="31">
        <f>T92*VARIABLES!$B$57+IF(AND($A92&gt;=VARIABLES!$B$53,MOD($A92-VARIABLES!$B$53,VARIABLES!$B$54)=0,INT(($A92-VARIABLES!$B$53)/VARIABLES!$B$54)&lt;VARIABLES!$B$52),VARIABLES!$B$55*VARIABLES!$B$56,0)</f>
        <v/>
      </c>
      <c r="V92" s="31">
        <f>U92*VARIABLES!$B$58</f>
        <v/>
      </c>
      <c r="W92" s="31">
        <f>IF($A92&lt;VARIABLES!$B$53,0,(IF($A92&lt;VARIABLES!$B$53+1,0,X91)+U92)*C92*VARIABLES!$B$59)</f>
        <v/>
      </c>
      <c r="X92" s="31">
        <f>IF($A92&lt;VARIABLES!$B$53,0,(IF($A92&lt;VARIABLES!$B$53+1,0,X91)+U92)*(1+C92)-W92)</f>
        <v/>
      </c>
      <c r="Y92" s="31">
        <f>D92+H92+L92+P92+U92</f>
        <v/>
      </c>
      <c r="Z92" s="31">
        <f>E92+I92+M92+Q92+V92</f>
        <v/>
      </c>
      <c r="AA92" s="31">
        <f>F92+J92+N92+R92+W92</f>
        <v/>
      </c>
      <c r="AB92" s="31">
        <f>Y92*VARIABLES!$B$14*VARIABLES!$B$15</f>
        <v/>
      </c>
      <c r="AC92" s="33">
        <f>Z92+AA92+AB92</f>
        <v/>
      </c>
      <c r="AD92" s="34">
        <f>G92+K92+O92+S92+X92</f>
        <v/>
      </c>
      <c r="AE92" s="31">
        <f>0</f>
        <v/>
      </c>
      <c r="AF92" s="31">
        <f>Z92*VARIABLES!$B$19</f>
        <v/>
      </c>
      <c r="AG92" s="31">
        <f>AA92*VARIABLES!$B$18</f>
        <v/>
      </c>
      <c r="AH92" s="31">
        <f>VARIABLES!$B$20</f>
        <v/>
      </c>
      <c r="AI92" s="31">
        <f>IF(MOD($A92,12)=0,VARIABLES!$B$21,0)</f>
        <v/>
      </c>
      <c r="AJ92" s="35">
        <f>AE92+AF92+AG92+AH92+AI92</f>
        <v/>
      </c>
      <c r="AK92" s="36">
        <f>IF($A92&lt;VARIABLES!$B$7,VARIABLES!$B$11,0)</f>
        <v/>
      </c>
      <c r="AL92" s="37">
        <f>AC92-AJ92-AK92</f>
        <v/>
      </c>
      <c r="AM92" s="37">
        <f>AM91+AL92</f>
        <v/>
      </c>
      <c r="AN92" s="38">
        <f>AN91+AK92</f>
        <v/>
      </c>
    </row>
    <row r="93">
      <c r="A93" s="39" t="n">
        <v>90</v>
      </c>
      <c r="B93" s="40">
        <f>TEXT(DATE(VARIABLES!$B$63+INT((VARIABLES!$B$64+$A93-2)/12),MOD(VARIABLES!$B$64+$A93-2,12)+1,1),"mmm-yy")</f>
        <v/>
      </c>
      <c r="C93" s="41">
        <f>IF($A93&lt;VARIABLES!$B$7,VARIABLES!$B$5/12,IF($A93&lt;VARIABLES!$B$8,VARIABLES!$B$6/12,VARIABLES!$B$9/12))</f>
        <v/>
      </c>
      <c r="D93" s="42">
        <f>IF($A93&lt;VARIABLES!$B$24,0,IF($A93=VARIABLES!$B$24,VARIABLES!$B$25+VARIABLES!$B$26,VARIABLES!$B$26))</f>
        <v/>
      </c>
      <c r="E93" s="42">
        <f>D93*VARIABLES!$B$27</f>
        <v/>
      </c>
      <c r="F93" s="42">
        <f>IF($A93&lt;VARIABLES!$B$24,0,(IF($A93=VARIABLES!$B$24,0,G92)+D93)*C93*VARIABLES!$B$28)</f>
        <v/>
      </c>
      <c r="G93" s="42">
        <f>IF($A93&lt;VARIABLES!$B$24,0,(IF($A93=VARIABLES!$B$24,0,G92)+D93)*(1+C93)-F93)</f>
        <v/>
      </c>
      <c r="H93" s="42">
        <f>IF($A93&lt;VARIABLES!$B$31,0,IF($A93=VARIABLES!$B$31,VARIABLES!$B$32+VARIABLES!$B$33,VARIABLES!$B$33))</f>
        <v/>
      </c>
      <c r="I93" s="42">
        <f>H93*VARIABLES!$B$34</f>
        <v/>
      </c>
      <c r="J93" s="42">
        <f>IF($A93&lt;VARIABLES!$B$31,0,(IF($A93=VARIABLES!$B$31,0,K92)+H93)*C93*VARIABLES!$B$35)</f>
        <v/>
      </c>
      <c r="K93" s="42">
        <f>IF($A93&lt;VARIABLES!$B$31,0,(IF($A93=VARIABLES!$B$31,0,K92)+H93)*(1+C93)-J93)</f>
        <v/>
      </c>
      <c r="L93" s="42">
        <f>IF($A93&lt;VARIABLES!$B$38,0,IF($A93=VARIABLES!$B$38,VARIABLES!$B$39+VARIABLES!$B$40,VARIABLES!$B$40))</f>
        <v/>
      </c>
      <c r="M93" s="42">
        <f>L93*VARIABLES!$B$41</f>
        <v/>
      </c>
      <c r="N93" s="42">
        <f>IF($A93&lt;VARIABLES!$B$38,0,(IF($A93=VARIABLES!$B$38,0,O92)+L93)*C93*VARIABLES!$B$42)</f>
        <v/>
      </c>
      <c r="O93" s="42">
        <f>IF($A93&lt;VARIABLES!$B$38,0,(IF($A93=VARIABLES!$B$38,0,O92)+L93)*(1+C93)-N93)</f>
        <v/>
      </c>
      <c r="P93" s="42">
        <f>IF($A93&lt;VARIABLES!$B$45,0,IF($A93=VARIABLES!$B$45,VARIABLES!$B$46+VARIABLES!$B$47,VARIABLES!$B$47))</f>
        <v/>
      </c>
      <c r="Q93" s="42">
        <f>P93*VARIABLES!$B$48</f>
        <v/>
      </c>
      <c r="R93" s="42">
        <f>IF($A93&lt;VARIABLES!$B$45,0,(IF($A93=VARIABLES!$B$45,0,S92)+P93)*C93*VARIABLES!$B$49)</f>
        <v/>
      </c>
      <c r="S93" s="42">
        <f>IF($A93&lt;VARIABLES!$B$45,0,(IF($A93=VARIABLES!$B$45,0,S92)+P93)*(1+C93)-R93)</f>
        <v/>
      </c>
      <c r="T93" s="43">
        <f>IF($A93&lt;VARIABLES!$B$53,0,MIN(VARIABLES!$B$52,INT(($A93-VARIABLES!$B$53)/VARIABLES!$B$54)+1)*VARIABLES!$B$55)</f>
        <v/>
      </c>
      <c r="U93" s="42">
        <f>T93*VARIABLES!$B$57+IF(AND($A93&gt;=VARIABLES!$B$53,MOD($A93-VARIABLES!$B$53,VARIABLES!$B$54)=0,INT(($A93-VARIABLES!$B$53)/VARIABLES!$B$54)&lt;VARIABLES!$B$52),VARIABLES!$B$55*VARIABLES!$B$56,0)</f>
        <v/>
      </c>
      <c r="V93" s="42">
        <f>U93*VARIABLES!$B$58</f>
        <v/>
      </c>
      <c r="W93" s="42">
        <f>IF($A93&lt;VARIABLES!$B$53,0,(IF($A93&lt;VARIABLES!$B$53+1,0,X92)+U93)*C93*VARIABLES!$B$59)</f>
        <v/>
      </c>
      <c r="X93" s="42">
        <f>IF($A93&lt;VARIABLES!$B$53,0,(IF($A93&lt;VARIABLES!$B$53+1,0,X92)+U93)*(1+C93)-W93)</f>
        <v/>
      </c>
      <c r="Y93" s="42">
        <f>D93+H93+L93+P93+U93</f>
        <v/>
      </c>
      <c r="Z93" s="42">
        <f>E93+I93+M93+Q93+V93</f>
        <v/>
      </c>
      <c r="AA93" s="42">
        <f>F93+J93+N93+R93+W93</f>
        <v/>
      </c>
      <c r="AB93" s="42">
        <f>Y93*VARIABLES!$B$14*VARIABLES!$B$15</f>
        <v/>
      </c>
      <c r="AC93" s="33">
        <f>Z93+AA93+AB93</f>
        <v/>
      </c>
      <c r="AD93" s="34">
        <f>G93+K93+O93+S93+X93</f>
        <v/>
      </c>
      <c r="AE93" s="42">
        <f>0</f>
        <v/>
      </c>
      <c r="AF93" s="42">
        <f>Z93*VARIABLES!$B$19</f>
        <v/>
      </c>
      <c r="AG93" s="42">
        <f>AA93*VARIABLES!$B$18</f>
        <v/>
      </c>
      <c r="AH93" s="42">
        <f>VARIABLES!$B$20</f>
        <v/>
      </c>
      <c r="AI93" s="42">
        <f>IF(MOD($A93,12)=0,VARIABLES!$B$21,0)</f>
        <v/>
      </c>
      <c r="AJ93" s="35">
        <f>AE93+AF93+AG93+AH93+AI93</f>
        <v/>
      </c>
      <c r="AK93" s="36">
        <f>IF($A93&lt;VARIABLES!$B$7,VARIABLES!$B$11,0)</f>
        <v/>
      </c>
      <c r="AL93" s="44">
        <f>AC93-AJ93-AK93</f>
        <v/>
      </c>
      <c r="AM93" s="44">
        <f>AM92+AL93</f>
        <v/>
      </c>
      <c r="AN93" s="38">
        <f>AN92+AK93</f>
        <v/>
      </c>
    </row>
    <row r="94">
      <c r="A94" s="28" t="n">
        <v>91</v>
      </c>
      <c r="B94" s="29">
        <f>TEXT(DATE(VARIABLES!$B$63+INT((VARIABLES!$B$64+$A94-2)/12),MOD(VARIABLES!$B$64+$A94-2,12)+1,1),"mmm-yy")</f>
        <v/>
      </c>
      <c r="C94" s="30">
        <f>IF($A94&lt;VARIABLES!$B$7,VARIABLES!$B$5/12,IF($A94&lt;VARIABLES!$B$8,VARIABLES!$B$6/12,VARIABLES!$B$9/12))</f>
        <v/>
      </c>
      <c r="D94" s="31">
        <f>IF($A94&lt;VARIABLES!$B$24,0,IF($A94=VARIABLES!$B$24,VARIABLES!$B$25+VARIABLES!$B$26,VARIABLES!$B$26))</f>
        <v/>
      </c>
      <c r="E94" s="31">
        <f>D94*VARIABLES!$B$27</f>
        <v/>
      </c>
      <c r="F94" s="31">
        <f>IF($A94&lt;VARIABLES!$B$24,0,(IF($A94=VARIABLES!$B$24,0,G93)+D94)*C94*VARIABLES!$B$28)</f>
        <v/>
      </c>
      <c r="G94" s="31">
        <f>IF($A94&lt;VARIABLES!$B$24,0,(IF($A94=VARIABLES!$B$24,0,G93)+D94)*(1+C94)-F94)</f>
        <v/>
      </c>
      <c r="H94" s="31">
        <f>IF($A94&lt;VARIABLES!$B$31,0,IF($A94=VARIABLES!$B$31,VARIABLES!$B$32+VARIABLES!$B$33,VARIABLES!$B$33))</f>
        <v/>
      </c>
      <c r="I94" s="31">
        <f>H94*VARIABLES!$B$34</f>
        <v/>
      </c>
      <c r="J94" s="31">
        <f>IF($A94&lt;VARIABLES!$B$31,0,(IF($A94=VARIABLES!$B$31,0,K93)+H94)*C94*VARIABLES!$B$35)</f>
        <v/>
      </c>
      <c r="K94" s="31">
        <f>IF($A94&lt;VARIABLES!$B$31,0,(IF($A94=VARIABLES!$B$31,0,K93)+H94)*(1+C94)-J94)</f>
        <v/>
      </c>
      <c r="L94" s="31">
        <f>IF($A94&lt;VARIABLES!$B$38,0,IF($A94=VARIABLES!$B$38,VARIABLES!$B$39+VARIABLES!$B$40,VARIABLES!$B$40))</f>
        <v/>
      </c>
      <c r="M94" s="31">
        <f>L94*VARIABLES!$B$41</f>
        <v/>
      </c>
      <c r="N94" s="31">
        <f>IF($A94&lt;VARIABLES!$B$38,0,(IF($A94=VARIABLES!$B$38,0,O93)+L94)*C94*VARIABLES!$B$42)</f>
        <v/>
      </c>
      <c r="O94" s="31">
        <f>IF($A94&lt;VARIABLES!$B$38,0,(IF($A94=VARIABLES!$B$38,0,O93)+L94)*(1+C94)-N94)</f>
        <v/>
      </c>
      <c r="P94" s="31">
        <f>IF($A94&lt;VARIABLES!$B$45,0,IF($A94=VARIABLES!$B$45,VARIABLES!$B$46+VARIABLES!$B$47,VARIABLES!$B$47))</f>
        <v/>
      </c>
      <c r="Q94" s="31">
        <f>P94*VARIABLES!$B$48</f>
        <v/>
      </c>
      <c r="R94" s="31">
        <f>IF($A94&lt;VARIABLES!$B$45,0,(IF($A94=VARIABLES!$B$45,0,S93)+P94)*C94*VARIABLES!$B$49)</f>
        <v/>
      </c>
      <c r="S94" s="31">
        <f>IF($A94&lt;VARIABLES!$B$45,0,(IF($A94=VARIABLES!$B$45,0,S93)+P94)*(1+C94)-R94)</f>
        <v/>
      </c>
      <c r="T94" s="32">
        <f>IF($A94&lt;VARIABLES!$B$53,0,MIN(VARIABLES!$B$52,INT(($A94-VARIABLES!$B$53)/VARIABLES!$B$54)+1)*VARIABLES!$B$55)</f>
        <v/>
      </c>
      <c r="U94" s="31">
        <f>T94*VARIABLES!$B$57+IF(AND($A94&gt;=VARIABLES!$B$53,MOD($A94-VARIABLES!$B$53,VARIABLES!$B$54)=0,INT(($A94-VARIABLES!$B$53)/VARIABLES!$B$54)&lt;VARIABLES!$B$52),VARIABLES!$B$55*VARIABLES!$B$56,0)</f>
        <v/>
      </c>
      <c r="V94" s="31">
        <f>U94*VARIABLES!$B$58</f>
        <v/>
      </c>
      <c r="W94" s="31">
        <f>IF($A94&lt;VARIABLES!$B$53,0,(IF($A94&lt;VARIABLES!$B$53+1,0,X93)+U94)*C94*VARIABLES!$B$59)</f>
        <v/>
      </c>
      <c r="X94" s="31">
        <f>IF($A94&lt;VARIABLES!$B$53,0,(IF($A94&lt;VARIABLES!$B$53+1,0,X93)+U94)*(1+C94)-W94)</f>
        <v/>
      </c>
      <c r="Y94" s="31">
        <f>D94+H94+L94+P94+U94</f>
        <v/>
      </c>
      <c r="Z94" s="31">
        <f>E94+I94+M94+Q94+V94</f>
        <v/>
      </c>
      <c r="AA94" s="31">
        <f>F94+J94+N94+R94+W94</f>
        <v/>
      </c>
      <c r="AB94" s="31">
        <f>Y94*VARIABLES!$B$14*VARIABLES!$B$15</f>
        <v/>
      </c>
      <c r="AC94" s="33">
        <f>Z94+AA94+AB94</f>
        <v/>
      </c>
      <c r="AD94" s="34">
        <f>G94+K94+O94+S94+X94</f>
        <v/>
      </c>
      <c r="AE94" s="31">
        <f>0</f>
        <v/>
      </c>
      <c r="AF94" s="31">
        <f>Z94*VARIABLES!$B$19</f>
        <v/>
      </c>
      <c r="AG94" s="31">
        <f>AA94*VARIABLES!$B$18</f>
        <v/>
      </c>
      <c r="AH94" s="31">
        <f>VARIABLES!$B$20</f>
        <v/>
      </c>
      <c r="AI94" s="31">
        <f>IF(MOD($A94,12)=0,VARIABLES!$B$21,0)</f>
        <v/>
      </c>
      <c r="AJ94" s="35">
        <f>AE94+AF94+AG94+AH94+AI94</f>
        <v/>
      </c>
      <c r="AK94" s="36">
        <f>IF($A94&lt;VARIABLES!$B$7,VARIABLES!$B$11,0)</f>
        <v/>
      </c>
      <c r="AL94" s="37">
        <f>AC94-AJ94-AK94</f>
        <v/>
      </c>
      <c r="AM94" s="37">
        <f>AM93+AL94</f>
        <v/>
      </c>
      <c r="AN94" s="38">
        <f>AN93+AK94</f>
        <v/>
      </c>
    </row>
    <row r="95">
      <c r="A95" s="39" t="n">
        <v>92</v>
      </c>
      <c r="B95" s="40">
        <f>TEXT(DATE(VARIABLES!$B$63+INT((VARIABLES!$B$64+$A95-2)/12),MOD(VARIABLES!$B$64+$A95-2,12)+1,1),"mmm-yy")</f>
        <v/>
      </c>
      <c r="C95" s="41">
        <f>IF($A95&lt;VARIABLES!$B$7,VARIABLES!$B$5/12,IF($A95&lt;VARIABLES!$B$8,VARIABLES!$B$6/12,VARIABLES!$B$9/12))</f>
        <v/>
      </c>
      <c r="D95" s="42">
        <f>IF($A95&lt;VARIABLES!$B$24,0,IF($A95=VARIABLES!$B$24,VARIABLES!$B$25+VARIABLES!$B$26,VARIABLES!$B$26))</f>
        <v/>
      </c>
      <c r="E95" s="42">
        <f>D95*VARIABLES!$B$27</f>
        <v/>
      </c>
      <c r="F95" s="42">
        <f>IF($A95&lt;VARIABLES!$B$24,0,(IF($A95=VARIABLES!$B$24,0,G94)+D95)*C95*VARIABLES!$B$28)</f>
        <v/>
      </c>
      <c r="G95" s="42">
        <f>IF($A95&lt;VARIABLES!$B$24,0,(IF($A95=VARIABLES!$B$24,0,G94)+D95)*(1+C95)-F95)</f>
        <v/>
      </c>
      <c r="H95" s="42">
        <f>IF($A95&lt;VARIABLES!$B$31,0,IF($A95=VARIABLES!$B$31,VARIABLES!$B$32+VARIABLES!$B$33,VARIABLES!$B$33))</f>
        <v/>
      </c>
      <c r="I95" s="42">
        <f>H95*VARIABLES!$B$34</f>
        <v/>
      </c>
      <c r="J95" s="42">
        <f>IF($A95&lt;VARIABLES!$B$31,0,(IF($A95=VARIABLES!$B$31,0,K94)+H95)*C95*VARIABLES!$B$35)</f>
        <v/>
      </c>
      <c r="K95" s="42">
        <f>IF($A95&lt;VARIABLES!$B$31,0,(IF($A95=VARIABLES!$B$31,0,K94)+H95)*(1+C95)-J95)</f>
        <v/>
      </c>
      <c r="L95" s="42">
        <f>IF($A95&lt;VARIABLES!$B$38,0,IF($A95=VARIABLES!$B$38,VARIABLES!$B$39+VARIABLES!$B$40,VARIABLES!$B$40))</f>
        <v/>
      </c>
      <c r="M95" s="42">
        <f>L95*VARIABLES!$B$41</f>
        <v/>
      </c>
      <c r="N95" s="42">
        <f>IF($A95&lt;VARIABLES!$B$38,0,(IF($A95=VARIABLES!$B$38,0,O94)+L95)*C95*VARIABLES!$B$42)</f>
        <v/>
      </c>
      <c r="O95" s="42">
        <f>IF($A95&lt;VARIABLES!$B$38,0,(IF($A95=VARIABLES!$B$38,0,O94)+L95)*(1+C95)-N95)</f>
        <v/>
      </c>
      <c r="P95" s="42">
        <f>IF($A95&lt;VARIABLES!$B$45,0,IF($A95=VARIABLES!$B$45,VARIABLES!$B$46+VARIABLES!$B$47,VARIABLES!$B$47))</f>
        <v/>
      </c>
      <c r="Q95" s="42">
        <f>P95*VARIABLES!$B$48</f>
        <v/>
      </c>
      <c r="R95" s="42">
        <f>IF($A95&lt;VARIABLES!$B$45,0,(IF($A95=VARIABLES!$B$45,0,S94)+P95)*C95*VARIABLES!$B$49)</f>
        <v/>
      </c>
      <c r="S95" s="42">
        <f>IF($A95&lt;VARIABLES!$B$45,0,(IF($A95=VARIABLES!$B$45,0,S94)+P95)*(1+C95)-R95)</f>
        <v/>
      </c>
      <c r="T95" s="43">
        <f>IF($A95&lt;VARIABLES!$B$53,0,MIN(VARIABLES!$B$52,INT(($A95-VARIABLES!$B$53)/VARIABLES!$B$54)+1)*VARIABLES!$B$55)</f>
        <v/>
      </c>
      <c r="U95" s="42">
        <f>T95*VARIABLES!$B$57+IF(AND($A95&gt;=VARIABLES!$B$53,MOD($A95-VARIABLES!$B$53,VARIABLES!$B$54)=0,INT(($A95-VARIABLES!$B$53)/VARIABLES!$B$54)&lt;VARIABLES!$B$52),VARIABLES!$B$55*VARIABLES!$B$56,0)</f>
        <v/>
      </c>
      <c r="V95" s="42">
        <f>U95*VARIABLES!$B$58</f>
        <v/>
      </c>
      <c r="W95" s="42">
        <f>IF($A95&lt;VARIABLES!$B$53,0,(IF($A95&lt;VARIABLES!$B$53+1,0,X94)+U95)*C95*VARIABLES!$B$59)</f>
        <v/>
      </c>
      <c r="X95" s="42">
        <f>IF($A95&lt;VARIABLES!$B$53,0,(IF($A95&lt;VARIABLES!$B$53+1,0,X94)+U95)*(1+C95)-W95)</f>
        <v/>
      </c>
      <c r="Y95" s="42">
        <f>D95+H95+L95+P95+U95</f>
        <v/>
      </c>
      <c r="Z95" s="42">
        <f>E95+I95+M95+Q95+V95</f>
        <v/>
      </c>
      <c r="AA95" s="42">
        <f>F95+J95+N95+R95+W95</f>
        <v/>
      </c>
      <c r="AB95" s="42">
        <f>Y95*VARIABLES!$B$14*VARIABLES!$B$15</f>
        <v/>
      </c>
      <c r="AC95" s="33">
        <f>Z95+AA95+AB95</f>
        <v/>
      </c>
      <c r="AD95" s="34">
        <f>G95+K95+O95+S95+X95</f>
        <v/>
      </c>
      <c r="AE95" s="42">
        <f>0</f>
        <v/>
      </c>
      <c r="AF95" s="42">
        <f>Z95*VARIABLES!$B$19</f>
        <v/>
      </c>
      <c r="AG95" s="42">
        <f>AA95*VARIABLES!$B$18</f>
        <v/>
      </c>
      <c r="AH95" s="42">
        <f>VARIABLES!$B$20</f>
        <v/>
      </c>
      <c r="AI95" s="42">
        <f>IF(MOD($A95,12)=0,VARIABLES!$B$21,0)</f>
        <v/>
      </c>
      <c r="AJ95" s="35">
        <f>AE95+AF95+AG95+AH95+AI95</f>
        <v/>
      </c>
      <c r="AK95" s="36">
        <f>IF($A95&lt;VARIABLES!$B$7,VARIABLES!$B$11,0)</f>
        <v/>
      </c>
      <c r="AL95" s="44">
        <f>AC95-AJ95-AK95</f>
        <v/>
      </c>
      <c r="AM95" s="44">
        <f>AM94+AL95</f>
        <v/>
      </c>
      <c r="AN95" s="38">
        <f>AN94+AK95</f>
        <v/>
      </c>
    </row>
    <row r="96">
      <c r="A96" s="28" t="n">
        <v>93</v>
      </c>
      <c r="B96" s="29">
        <f>TEXT(DATE(VARIABLES!$B$63+INT((VARIABLES!$B$64+$A96-2)/12),MOD(VARIABLES!$B$64+$A96-2,12)+1,1),"mmm-yy")</f>
        <v/>
      </c>
      <c r="C96" s="30">
        <f>IF($A96&lt;VARIABLES!$B$7,VARIABLES!$B$5/12,IF($A96&lt;VARIABLES!$B$8,VARIABLES!$B$6/12,VARIABLES!$B$9/12))</f>
        <v/>
      </c>
      <c r="D96" s="31">
        <f>IF($A96&lt;VARIABLES!$B$24,0,IF($A96=VARIABLES!$B$24,VARIABLES!$B$25+VARIABLES!$B$26,VARIABLES!$B$26))</f>
        <v/>
      </c>
      <c r="E96" s="31">
        <f>D96*VARIABLES!$B$27</f>
        <v/>
      </c>
      <c r="F96" s="31">
        <f>IF($A96&lt;VARIABLES!$B$24,0,(IF($A96=VARIABLES!$B$24,0,G95)+D96)*C96*VARIABLES!$B$28)</f>
        <v/>
      </c>
      <c r="G96" s="31">
        <f>IF($A96&lt;VARIABLES!$B$24,0,(IF($A96=VARIABLES!$B$24,0,G95)+D96)*(1+C96)-F96)</f>
        <v/>
      </c>
      <c r="H96" s="31">
        <f>IF($A96&lt;VARIABLES!$B$31,0,IF($A96=VARIABLES!$B$31,VARIABLES!$B$32+VARIABLES!$B$33,VARIABLES!$B$33))</f>
        <v/>
      </c>
      <c r="I96" s="31">
        <f>H96*VARIABLES!$B$34</f>
        <v/>
      </c>
      <c r="J96" s="31">
        <f>IF($A96&lt;VARIABLES!$B$31,0,(IF($A96=VARIABLES!$B$31,0,K95)+H96)*C96*VARIABLES!$B$35)</f>
        <v/>
      </c>
      <c r="K96" s="31">
        <f>IF($A96&lt;VARIABLES!$B$31,0,(IF($A96=VARIABLES!$B$31,0,K95)+H96)*(1+C96)-J96)</f>
        <v/>
      </c>
      <c r="L96" s="31">
        <f>IF($A96&lt;VARIABLES!$B$38,0,IF($A96=VARIABLES!$B$38,VARIABLES!$B$39+VARIABLES!$B$40,VARIABLES!$B$40))</f>
        <v/>
      </c>
      <c r="M96" s="31">
        <f>L96*VARIABLES!$B$41</f>
        <v/>
      </c>
      <c r="N96" s="31">
        <f>IF($A96&lt;VARIABLES!$B$38,0,(IF($A96=VARIABLES!$B$38,0,O95)+L96)*C96*VARIABLES!$B$42)</f>
        <v/>
      </c>
      <c r="O96" s="31">
        <f>IF($A96&lt;VARIABLES!$B$38,0,(IF($A96=VARIABLES!$B$38,0,O95)+L96)*(1+C96)-N96)</f>
        <v/>
      </c>
      <c r="P96" s="31">
        <f>IF($A96&lt;VARIABLES!$B$45,0,IF($A96=VARIABLES!$B$45,VARIABLES!$B$46+VARIABLES!$B$47,VARIABLES!$B$47))</f>
        <v/>
      </c>
      <c r="Q96" s="31">
        <f>P96*VARIABLES!$B$48</f>
        <v/>
      </c>
      <c r="R96" s="31">
        <f>IF($A96&lt;VARIABLES!$B$45,0,(IF($A96=VARIABLES!$B$45,0,S95)+P96)*C96*VARIABLES!$B$49)</f>
        <v/>
      </c>
      <c r="S96" s="31">
        <f>IF($A96&lt;VARIABLES!$B$45,0,(IF($A96=VARIABLES!$B$45,0,S95)+P96)*(1+C96)-R96)</f>
        <v/>
      </c>
      <c r="T96" s="32">
        <f>IF($A96&lt;VARIABLES!$B$53,0,MIN(VARIABLES!$B$52,INT(($A96-VARIABLES!$B$53)/VARIABLES!$B$54)+1)*VARIABLES!$B$55)</f>
        <v/>
      </c>
      <c r="U96" s="31">
        <f>T96*VARIABLES!$B$57+IF(AND($A96&gt;=VARIABLES!$B$53,MOD($A96-VARIABLES!$B$53,VARIABLES!$B$54)=0,INT(($A96-VARIABLES!$B$53)/VARIABLES!$B$54)&lt;VARIABLES!$B$52),VARIABLES!$B$55*VARIABLES!$B$56,0)</f>
        <v/>
      </c>
      <c r="V96" s="31">
        <f>U96*VARIABLES!$B$58</f>
        <v/>
      </c>
      <c r="W96" s="31">
        <f>IF($A96&lt;VARIABLES!$B$53,0,(IF($A96&lt;VARIABLES!$B$53+1,0,X95)+U96)*C96*VARIABLES!$B$59)</f>
        <v/>
      </c>
      <c r="X96" s="31">
        <f>IF($A96&lt;VARIABLES!$B$53,0,(IF($A96&lt;VARIABLES!$B$53+1,0,X95)+U96)*(1+C96)-W96)</f>
        <v/>
      </c>
      <c r="Y96" s="31">
        <f>D96+H96+L96+P96+U96</f>
        <v/>
      </c>
      <c r="Z96" s="31">
        <f>E96+I96+M96+Q96+V96</f>
        <v/>
      </c>
      <c r="AA96" s="31">
        <f>F96+J96+N96+R96+W96</f>
        <v/>
      </c>
      <c r="AB96" s="31">
        <f>Y96*VARIABLES!$B$14*VARIABLES!$B$15</f>
        <v/>
      </c>
      <c r="AC96" s="33">
        <f>Z96+AA96+AB96</f>
        <v/>
      </c>
      <c r="AD96" s="34">
        <f>G96+K96+O96+S96+X96</f>
        <v/>
      </c>
      <c r="AE96" s="31">
        <f>0</f>
        <v/>
      </c>
      <c r="AF96" s="31">
        <f>Z96*VARIABLES!$B$19</f>
        <v/>
      </c>
      <c r="AG96" s="31">
        <f>AA96*VARIABLES!$B$18</f>
        <v/>
      </c>
      <c r="AH96" s="31">
        <f>VARIABLES!$B$20</f>
        <v/>
      </c>
      <c r="AI96" s="31">
        <f>IF(MOD($A96,12)=0,VARIABLES!$B$21,0)</f>
        <v/>
      </c>
      <c r="AJ96" s="35">
        <f>AE96+AF96+AG96+AH96+AI96</f>
        <v/>
      </c>
      <c r="AK96" s="36">
        <f>IF($A96&lt;VARIABLES!$B$7,VARIABLES!$B$11,0)</f>
        <v/>
      </c>
      <c r="AL96" s="37">
        <f>AC96-AJ96-AK96</f>
        <v/>
      </c>
      <c r="AM96" s="37">
        <f>AM95+AL96</f>
        <v/>
      </c>
      <c r="AN96" s="38">
        <f>AN95+AK96</f>
        <v/>
      </c>
    </row>
    <row r="97">
      <c r="A97" s="39" t="n">
        <v>94</v>
      </c>
      <c r="B97" s="40">
        <f>TEXT(DATE(VARIABLES!$B$63+INT((VARIABLES!$B$64+$A97-2)/12),MOD(VARIABLES!$B$64+$A97-2,12)+1,1),"mmm-yy")</f>
        <v/>
      </c>
      <c r="C97" s="41">
        <f>IF($A97&lt;VARIABLES!$B$7,VARIABLES!$B$5/12,IF($A97&lt;VARIABLES!$B$8,VARIABLES!$B$6/12,VARIABLES!$B$9/12))</f>
        <v/>
      </c>
      <c r="D97" s="42">
        <f>IF($A97&lt;VARIABLES!$B$24,0,IF($A97=VARIABLES!$B$24,VARIABLES!$B$25+VARIABLES!$B$26,VARIABLES!$B$26))</f>
        <v/>
      </c>
      <c r="E97" s="42">
        <f>D97*VARIABLES!$B$27</f>
        <v/>
      </c>
      <c r="F97" s="42">
        <f>IF($A97&lt;VARIABLES!$B$24,0,(IF($A97=VARIABLES!$B$24,0,G96)+D97)*C97*VARIABLES!$B$28)</f>
        <v/>
      </c>
      <c r="G97" s="42">
        <f>IF($A97&lt;VARIABLES!$B$24,0,(IF($A97=VARIABLES!$B$24,0,G96)+D97)*(1+C97)-F97)</f>
        <v/>
      </c>
      <c r="H97" s="42">
        <f>IF($A97&lt;VARIABLES!$B$31,0,IF($A97=VARIABLES!$B$31,VARIABLES!$B$32+VARIABLES!$B$33,VARIABLES!$B$33))</f>
        <v/>
      </c>
      <c r="I97" s="42">
        <f>H97*VARIABLES!$B$34</f>
        <v/>
      </c>
      <c r="J97" s="42">
        <f>IF($A97&lt;VARIABLES!$B$31,0,(IF($A97=VARIABLES!$B$31,0,K96)+H97)*C97*VARIABLES!$B$35)</f>
        <v/>
      </c>
      <c r="K97" s="42">
        <f>IF($A97&lt;VARIABLES!$B$31,0,(IF($A97=VARIABLES!$B$31,0,K96)+H97)*(1+C97)-J97)</f>
        <v/>
      </c>
      <c r="L97" s="42">
        <f>IF($A97&lt;VARIABLES!$B$38,0,IF($A97=VARIABLES!$B$38,VARIABLES!$B$39+VARIABLES!$B$40,VARIABLES!$B$40))</f>
        <v/>
      </c>
      <c r="M97" s="42">
        <f>L97*VARIABLES!$B$41</f>
        <v/>
      </c>
      <c r="N97" s="42">
        <f>IF($A97&lt;VARIABLES!$B$38,0,(IF($A97=VARIABLES!$B$38,0,O96)+L97)*C97*VARIABLES!$B$42)</f>
        <v/>
      </c>
      <c r="O97" s="42">
        <f>IF($A97&lt;VARIABLES!$B$38,0,(IF($A97=VARIABLES!$B$38,0,O96)+L97)*(1+C97)-N97)</f>
        <v/>
      </c>
      <c r="P97" s="42">
        <f>IF($A97&lt;VARIABLES!$B$45,0,IF($A97=VARIABLES!$B$45,VARIABLES!$B$46+VARIABLES!$B$47,VARIABLES!$B$47))</f>
        <v/>
      </c>
      <c r="Q97" s="42">
        <f>P97*VARIABLES!$B$48</f>
        <v/>
      </c>
      <c r="R97" s="42">
        <f>IF($A97&lt;VARIABLES!$B$45,0,(IF($A97=VARIABLES!$B$45,0,S96)+P97)*C97*VARIABLES!$B$49)</f>
        <v/>
      </c>
      <c r="S97" s="42">
        <f>IF($A97&lt;VARIABLES!$B$45,0,(IF($A97=VARIABLES!$B$45,0,S96)+P97)*(1+C97)-R97)</f>
        <v/>
      </c>
      <c r="T97" s="43">
        <f>IF($A97&lt;VARIABLES!$B$53,0,MIN(VARIABLES!$B$52,INT(($A97-VARIABLES!$B$53)/VARIABLES!$B$54)+1)*VARIABLES!$B$55)</f>
        <v/>
      </c>
      <c r="U97" s="42">
        <f>T97*VARIABLES!$B$57+IF(AND($A97&gt;=VARIABLES!$B$53,MOD($A97-VARIABLES!$B$53,VARIABLES!$B$54)=0,INT(($A97-VARIABLES!$B$53)/VARIABLES!$B$54)&lt;VARIABLES!$B$52),VARIABLES!$B$55*VARIABLES!$B$56,0)</f>
        <v/>
      </c>
      <c r="V97" s="42">
        <f>U97*VARIABLES!$B$58</f>
        <v/>
      </c>
      <c r="W97" s="42">
        <f>IF($A97&lt;VARIABLES!$B$53,0,(IF($A97&lt;VARIABLES!$B$53+1,0,X96)+U97)*C97*VARIABLES!$B$59)</f>
        <v/>
      </c>
      <c r="X97" s="42">
        <f>IF($A97&lt;VARIABLES!$B$53,0,(IF($A97&lt;VARIABLES!$B$53+1,0,X96)+U97)*(1+C97)-W97)</f>
        <v/>
      </c>
      <c r="Y97" s="42">
        <f>D97+H97+L97+P97+U97</f>
        <v/>
      </c>
      <c r="Z97" s="42">
        <f>E97+I97+M97+Q97+V97</f>
        <v/>
      </c>
      <c r="AA97" s="42">
        <f>F97+J97+N97+R97+W97</f>
        <v/>
      </c>
      <c r="AB97" s="42">
        <f>Y97*VARIABLES!$B$14*VARIABLES!$B$15</f>
        <v/>
      </c>
      <c r="AC97" s="33">
        <f>Z97+AA97+AB97</f>
        <v/>
      </c>
      <c r="AD97" s="34">
        <f>G97+K97+O97+S97+X97</f>
        <v/>
      </c>
      <c r="AE97" s="42">
        <f>0</f>
        <v/>
      </c>
      <c r="AF97" s="42">
        <f>Z97*VARIABLES!$B$19</f>
        <v/>
      </c>
      <c r="AG97" s="42">
        <f>AA97*VARIABLES!$B$18</f>
        <v/>
      </c>
      <c r="AH97" s="42">
        <f>VARIABLES!$B$20</f>
        <v/>
      </c>
      <c r="AI97" s="42">
        <f>IF(MOD($A97,12)=0,VARIABLES!$B$21,0)</f>
        <v/>
      </c>
      <c r="AJ97" s="35">
        <f>AE97+AF97+AG97+AH97+AI97</f>
        <v/>
      </c>
      <c r="AK97" s="36">
        <f>IF($A97&lt;VARIABLES!$B$7,VARIABLES!$B$11,0)</f>
        <v/>
      </c>
      <c r="AL97" s="44">
        <f>AC97-AJ97-AK97</f>
        <v/>
      </c>
      <c r="AM97" s="44">
        <f>AM96+AL97</f>
        <v/>
      </c>
      <c r="AN97" s="38">
        <f>AN96+AK97</f>
        <v/>
      </c>
    </row>
    <row r="98">
      <c r="A98" s="28" t="n">
        <v>95</v>
      </c>
      <c r="B98" s="29">
        <f>TEXT(DATE(VARIABLES!$B$63+INT((VARIABLES!$B$64+$A98-2)/12),MOD(VARIABLES!$B$64+$A98-2,12)+1,1),"mmm-yy")</f>
        <v/>
      </c>
      <c r="C98" s="30">
        <f>IF($A98&lt;VARIABLES!$B$7,VARIABLES!$B$5/12,IF($A98&lt;VARIABLES!$B$8,VARIABLES!$B$6/12,VARIABLES!$B$9/12))</f>
        <v/>
      </c>
      <c r="D98" s="31">
        <f>IF($A98&lt;VARIABLES!$B$24,0,IF($A98=VARIABLES!$B$24,VARIABLES!$B$25+VARIABLES!$B$26,VARIABLES!$B$26))</f>
        <v/>
      </c>
      <c r="E98" s="31">
        <f>D98*VARIABLES!$B$27</f>
        <v/>
      </c>
      <c r="F98" s="31">
        <f>IF($A98&lt;VARIABLES!$B$24,0,(IF($A98=VARIABLES!$B$24,0,G97)+D98)*C98*VARIABLES!$B$28)</f>
        <v/>
      </c>
      <c r="G98" s="31">
        <f>IF($A98&lt;VARIABLES!$B$24,0,(IF($A98=VARIABLES!$B$24,0,G97)+D98)*(1+C98)-F98)</f>
        <v/>
      </c>
      <c r="H98" s="31">
        <f>IF($A98&lt;VARIABLES!$B$31,0,IF($A98=VARIABLES!$B$31,VARIABLES!$B$32+VARIABLES!$B$33,VARIABLES!$B$33))</f>
        <v/>
      </c>
      <c r="I98" s="31">
        <f>H98*VARIABLES!$B$34</f>
        <v/>
      </c>
      <c r="J98" s="31">
        <f>IF($A98&lt;VARIABLES!$B$31,0,(IF($A98=VARIABLES!$B$31,0,K97)+H98)*C98*VARIABLES!$B$35)</f>
        <v/>
      </c>
      <c r="K98" s="31">
        <f>IF($A98&lt;VARIABLES!$B$31,0,(IF($A98=VARIABLES!$B$31,0,K97)+H98)*(1+C98)-J98)</f>
        <v/>
      </c>
      <c r="L98" s="31">
        <f>IF($A98&lt;VARIABLES!$B$38,0,IF($A98=VARIABLES!$B$38,VARIABLES!$B$39+VARIABLES!$B$40,VARIABLES!$B$40))</f>
        <v/>
      </c>
      <c r="M98" s="31">
        <f>L98*VARIABLES!$B$41</f>
        <v/>
      </c>
      <c r="N98" s="31">
        <f>IF($A98&lt;VARIABLES!$B$38,0,(IF($A98=VARIABLES!$B$38,0,O97)+L98)*C98*VARIABLES!$B$42)</f>
        <v/>
      </c>
      <c r="O98" s="31">
        <f>IF($A98&lt;VARIABLES!$B$38,0,(IF($A98=VARIABLES!$B$38,0,O97)+L98)*(1+C98)-N98)</f>
        <v/>
      </c>
      <c r="P98" s="31">
        <f>IF($A98&lt;VARIABLES!$B$45,0,IF($A98=VARIABLES!$B$45,VARIABLES!$B$46+VARIABLES!$B$47,VARIABLES!$B$47))</f>
        <v/>
      </c>
      <c r="Q98" s="31">
        <f>P98*VARIABLES!$B$48</f>
        <v/>
      </c>
      <c r="R98" s="31">
        <f>IF($A98&lt;VARIABLES!$B$45,0,(IF($A98=VARIABLES!$B$45,0,S97)+P98)*C98*VARIABLES!$B$49)</f>
        <v/>
      </c>
      <c r="S98" s="31">
        <f>IF($A98&lt;VARIABLES!$B$45,0,(IF($A98=VARIABLES!$B$45,0,S97)+P98)*(1+C98)-R98)</f>
        <v/>
      </c>
      <c r="T98" s="32">
        <f>IF($A98&lt;VARIABLES!$B$53,0,MIN(VARIABLES!$B$52,INT(($A98-VARIABLES!$B$53)/VARIABLES!$B$54)+1)*VARIABLES!$B$55)</f>
        <v/>
      </c>
      <c r="U98" s="31">
        <f>T98*VARIABLES!$B$57+IF(AND($A98&gt;=VARIABLES!$B$53,MOD($A98-VARIABLES!$B$53,VARIABLES!$B$54)=0,INT(($A98-VARIABLES!$B$53)/VARIABLES!$B$54)&lt;VARIABLES!$B$52),VARIABLES!$B$55*VARIABLES!$B$56,0)</f>
        <v/>
      </c>
      <c r="V98" s="31">
        <f>U98*VARIABLES!$B$58</f>
        <v/>
      </c>
      <c r="W98" s="31">
        <f>IF($A98&lt;VARIABLES!$B$53,0,(IF($A98&lt;VARIABLES!$B$53+1,0,X97)+U98)*C98*VARIABLES!$B$59)</f>
        <v/>
      </c>
      <c r="X98" s="31">
        <f>IF($A98&lt;VARIABLES!$B$53,0,(IF($A98&lt;VARIABLES!$B$53+1,0,X97)+U98)*(1+C98)-W98)</f>
        <v/>
      </c>
      <c r="Y98" s="31">
        <f>D98+H98+L98+P98+U98</f>
        <v/>
      </c>
      <c r="Z98" s="31">
        <f>E98+I98+M98+Q98+V98</f>
        <v/>
      </c>
      <c r="AA98" s="31">
        <f>F98+J98+N98+R98+W98</f>
        <v/>
      </c>
      <c r="AB98" s="31">
        <f>Y98*VARIABLES!$B$14*VARIABLES!$B$15</f>
        <v/>
      </c>
      <c r="AC98" s="33">
        <f>Z98+AA98+AB98</f>
        <v/>
      </c>
      <c r="AD98" s="34">
        <f>G98+K98+O98+S98+X98</f>
        <v/>
      </c>
      <c r="AE98" s="31">
        <f>0</f>
        <v/>
      </c>
      <c r="AF98" s="31">
        <f>Z98*VARIABLES!$B$19</f>
        <v/>
      </c>
      <c r="AG98" s="31">
        <f>AA98*VARIABLES!$B$18</f>
        <v/>
      </c>
      <c r="AH98" s="31">
        <f>VARIABLES!$B$20</f>
        <v/>
      </c>
      <c r="AI98" s="31">
        <f>IF(MOD($A98,12)=0,VARIABLES!$B$21,0)</f>
        <v/>
      </c>
      <c r="AJ98" s="35">
        <f>AE98+AF98+AG98+AH98+AI98</f>
        <v/>
      </c>
      <c r="AK98" s="36">
        <f>IF($A98&lt;VARIABLES!$B$7,VARIABLES!$B$11,0)</f>
        <v/>
      </c>
      <c r="AL98" s="37">
        <f>AC98-AJ98-AK98</f>
        <v/>
      </c>
      <c r="AM98" s="37">
        <f>AM97+AL98</f>
        <v/>
      </c>
      <c r="AN98" s="38">
        <f>AN97+AK98</f>
        <v/>
      </c>
    </row>
    <row r="99">
      <c r="A99" s="39" t="n">
        <v>96</v>
      </c>
      <c r="B99" s="40">
        <f>TEXT(DATE(VARIABLES!$B$63+INT((VARIABLES!$B$64+$A99-2)/12),MOD(VARIABLES!$B$64+$A99-2,12)+1,1),"mmm-yy")</f>
        <v/>
      </c>
      <c r="C99" s="41">
        <f>IF($A99&lt;VARIABLES!$B$7,VARIABLES!$B$5/12,IF($A99&lt;VARIABLES!$B$8,VARIABLES!$B$6/12,VARIABLES!$B$9/12))</f>
        <v/>
      </c>
      <c r="D99" s="42">
        <f>IF($A99&lt;VARIABLES!$B$24,0,IF($A99=VARIABLES!$B$24,VARIABLES!$B$25+VARIABLES!$B$26,VARIABLES!$B$26))</f>
        <v/>
      </c>
      <c r="E99" s="42">
        <f>D99*VARIABLES!$B$27</f>
        <v/>
      </c>
      <c r="F99" s="42">
        <f>IF($A99&lt;VARIABLES!$B$24,0,(IF($A99=VARIABLES!$B$24,0,G98)+D99)*C99*VARIABLES!$B$28)</f>
        <v/>
      </c>
      <c r="G99" s="42">
        <f>IF($A99&lt;VARIABLES!$B$24,0,(IF($A99=VARIABLES!$B$24,0,G98)+D99)*(1+C99)-F99)</f>
        <v/>
      </c>
      <c r="H99" s="42">
        <f>IF($A99&lt;VARIABLES!$B$31,0,IF($A99=VARIABLES!$B$31,VARIABLES!$B$32+VARIABLES!$B$33,VARIABLES!$B$33))</f>
        <v/>
      </c>
      <c r="I99" s="42">
        <f>H99*VARIABLES!$B$34</f>
        <v/>
      </c>
      <c r="J99" s="42">
        <f>IF($A99&lt;VARIABLES!$B$31,0,(IF($A99=VARIABLES!$B$31,0,K98)+H99)*C99*VARIABLES!$B$35)</f>
        <v/>
      </c>
      <c r="K99" s="42">
        <f>IF($A99&lt;VARIABLES!$B$31,0,(IF($A99=VARIABLES!$B$31,0,K98)+H99)*(1+C99)-J99)</f>
        <v/>
      </c>
      <c r="L99" s="42">
        <f>IF($A99&lt;VARIABLES!$B$38,0,IF($A99=VARIABLES!$B$38,VARIABLES!$B$39+VARIABLES!$B$40,VARIABLES!$B$40))</f>
        <v/>
      </c>
      <c r="M99" s="42">
        <f>L99*VARIABLES!$B$41</f>
        <v/>
      </c>
      <c r="N99" s="42">
        <f>IF($A99&lt;VARIABLES!$B$38,0,(IF($A99=VARIABLES!$B$38,0,O98)+L99)*C99*VARIABLES!$B$42)</f>
        <v/>
      </c>
      <c r="O99" s="42">
        <f>IF($A99&lt;VARIABLES!$B$38,0,(IF($A99=VARIABLES!$B$38,0,O98)+L99)*(1+C99)-N99)</f>
        <v/>
      </c>
      <c r="P99" s="42">
        <f>IF($A99&lt;VARIABLES!$B$45,0,IF($A99=VARIABLES!$B$45,VARIABLES!$B$46+VARIABLES!$B$47,VARIABLES!$B$47))</f>
        <v/>
      </c>
      <c r="Q99" s="42">
        <f>P99*VARIABLES!$B$48</f>
        <v/>
      </c>
      <c r="R99" s="42">
        <f>IF($A99&lt;VARIABLES!$B$45,0,(IF($A99=VARIABLES!$B$45,0,S98)+P99)*C99*VARIABLES!$B$49)</f>
        <v/>
      </c>
      <c r="S99" s="42">
        <f>IF($A99&lt;VARIABLES!$B$45,0,(IF($A99=VARIABLES!$B$45,0,S98)+P99)*(1+C99)-R99)</f>
        <v/>
      </c>
      <c r="T99" s="43">
        <f>IF($A99&lt;VARIABLES!$B$53,0,MIN(VARIABLES!$B$52,INT(($A99-VARIABLES!$B$53)/VARIABLES!$B$54)+1)*VARIABLES!$B$55)</f>
        <v/>
      </c>
      <c r="U99" s="42">
        <f>T99*VARIABLES!$B$57+IF(AND($A99&gt;=VARIABLES!$B$53,MOD($A99-VARIABLES!$B$53,VARIABLES!$B$54)=0,INT(($A99-VARIABLES!$B$53)/VARIABLES!$B$54)&lt;VARIABLES!$B$52),VARIABLES!$B$55*VARIABLES!$B$56,0)</f>
        <v/>
      </c>
      <c r="V99" s="42">
        <f>U99*VARIABLES!$B$58</f>
        <v/>
      </c>
      <c r="W99" s="42">
        <f>IF($A99&lt;VARIABLES!$B$53,0,(IF($A99&lt;VARIABLES!$B$53+1,0,X98)+U99)*C99*VARIABLES!$B$59)</f>
        <v/>
      </c>
      <c r="X99" s="42">
        <f>IF($A99&lt;VARIABLES!$B$53,0,(IF($A99&lt;VARIABLES!$B$53+1,0,X98)+U99)*(1+C99)-W99)</f>
        <v/>
      </c>
      <c r="Y99" s="42">
        <f>D99+H99+L99+P99+U99</f>
        <v/>
      </c>
      <c r="Z99" s="42">
        <f>E99+I99+M99+Q99+V99</f>
        <v/>
      </c>
      <c r="AA99" s="42">
        <f>F99+J99+N99+R99+W99</f>
        <v/>
      </c>
      <c r="AB99" s="42">
        <f>Y99*VARIABLES!$B$14*VARIABLES!$B$15</f>
        <v/>
      </c>
      <c r="AC99" s="33">
        <f>Z99+AA99+AB99</f>
        <v/>
      </c>
      <c r="AD99" s="34">
        <f>G99+K99+O99+S99+X99</f>
        <v/>
      </c>
      <c r="AE99" s="42">
        <f>0</f>
        <v/>
      </c>
      <c r="AF99" s="42">
        <f>Z99*VARIABLES!$B$19</f>
        <v/>
      </c>
      <c r="AG99" s="42">
        <f>AA99*VARIABLES!$B$18</f>
        <v/>
      </c>
      <c r="AH99" s="42">
        <f>VARIABLES!$B$20</f>
        <v/>
      </c>
      <c r="AI99" s="42">
        <f>IF(MOD($A99,12)=0,VARIABLES!$B$21,0)</f>
        <v/>
      </c>
      <c r="AJ99" s="35">
        <f>AE99+AF99+AG99+AH99+AI99</f>
        <v/>
      </c>
      <c r="AK99" s="36">
        <f>IF($A99&lt;VARIABLES!$B$7,VARIABLES!$B$11,0)</f>
        <v/>
      </c>
      <c r="AL99" s="44">
        <f>AC99-AJ99-AK99</f>
        <v/>
      </c>
      <c r="AM99" s="44">
        <f>AM98+AL99</f>
        <v/>
      </c>
      <c r="AN99" s="38">
        <f>AN98+AK99</f>
        <v/>
      </c>
    </row>
    <row r="100">
      <c r="A100" s="45" t="inlineStr">
        <is>
          <t>TOTAL / FINAL (96 months)</t>
        </is>
      </c>
      <c r="Y100" s="46">
        <f>SUM(Y4:Y99)</f>
        <v/>
      </c>
      <c r="Z100" s="46">
        <f>SUM(Z4:Z99)</f>
        <v/>
      </c>
      <c r="AA100" s="46">
        <f>SUM(AA4:AA99)</f>
        <v/>
      </c>
      <c r="AB100" s="46">
        <f>SUM(AB4:AB99)</f>
        <v/>
      </c>
      <c r="AC100" s="46">
        <f>SUM(AC4:AC99)</f>
        <v/>
      </c>
      <c r="AD100" s="46">
        <f>AD99</f>
        <v/>
      </c>
      <c r="AE100" s="46">
        <f>SUM(AE4:AE99)</f>
        <v/>
      </c>
      <c r="AF100" s="46">
        <f>SUM(AF4:AF99)</f>
        <v/>
      </c>
      <c r="AG100" s="46">
        <f>SUM(AG4:AG99)</f>
        <v/>
      </c>
      <c r="AH100" s="46">
        <f>SUM(AH4:AH99)</f>
        <v/>
      </c>
      <c r="AI100" s="46">
        <f>SUM(AI4:AI99)</f>
        <v/>
      </c>
      <c r="AJ100" s="46">
        <f>SUM(AJ4:AJ99)</f>
        <v/>
      </c>
      <c r="AK100" s="46">
        <f>SUM(AK4:AK99)</f>
        <v/>
      </c>
      <c r="AL100" s="46">
        <f>SUM(AL4:AL99)</f>
        <v/>
      </c>
      <c r="AM100" s="46">
        <f>AM99</f>
        <v/>
      </c>
      <c r="AN100" s="46">
        <f>AN99</f>
        <v/>
      </c>
    </row>
    <row r="102" ht="75" customHeight="1">
      <c r="A102" s="47" t="inlineStr">
        <is>
          <t>NOTES:  ① Expand group D:X (click + above column D) to view per-client detail.  ② Performance fee = simplified monthly accrual (AUM × monthly_return × perf_rate).  ③ Exchange fee revenue = total contributions × exch_fee_rate × exch_fee_share (Variables).     Applies to ZAR/USDT, USDT/BTC, and USDT/USDPC conversions.  ④ Returns: 3-tier: 60% p.a. Y1-3 → 10% Y4 → 50% Y5-8 (next BTC cycle); all adjustable in Variables.  ⑤ Reserve provision accumulates monthly (Y1-3) in the Reserve Fund Balance column;    no automated drawdown — compare Reserve Fund Bal vs Cumulative Cash to assess Y4 coverage.  ⑥ FINOVA CAPITAL costs: 20% of performance fees + 50% of platform fees (no fixed monthly hosting).</t>
        </is>
      </c>
    </row>
  </sheetData>
  <mergeCells count="10">
    <mergeCell ref="A100:B100"/>
    <mergeCell ref="AE2:AJ2"/>
    <mergeCell ref="AL2:AN2"/>
    <mergeCell ref="D2:X2"/>
    <mergeCell ref="Y2:AC2"/>
    <mergeCell ref="AD2"/>
    <mergeCell ref="AK2"/>
    <mergeCell ref="A102:AN102"/>
    <mergeCell ref="A1:AN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48" t="inlineStr">
        <is>
          <t>BitWealth (Pty) Ltd — 96-Month Visual Summary  ·  FSP: FINOVA CAPITAL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2026-06-24T22:00:34Z</dcterms:created>
  <dcterms:modified xmlns:dcterms="http://purl.org/dc/terms/" xmlns:xsi="http://www.w3.org/2001/XMLSchema-instance" xsi:type="dcterms:W3CDTF">2026-06-24T22:00:35Z</dcterms:modified>
</cp:coreProperties>
</file>