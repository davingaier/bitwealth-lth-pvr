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vin\Dropbox\BitWealth\bitwealth-lth-pvr\bitwealth-lth-pvr\docs\Financial\"/>
    </mc:Choice>
  </mc:AlternateContent>
  <xr:revisionPtr revIDLastSave="0" documentId="13_ncr:1_{B2E14E4C-F5CB-46C6-8EE3-BF0EFF92AC05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VARIABLES" sheetId="1" r:id="rId1"/>
    <sheet name="MONTHLY FORECAST" sheetId="2" r:id="rId2"/>
    <sheet name="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9" i="2" l="1"/>
  <c r="T20" i="2"/>
  <c r="T21" i="2"/>
  <c r="T22" i="2"/>
  <c r="T23" i="2"/>
  <c r="T24" i="2"/>
  <c r="T25" i="2"/>
  <c r="B9" i="1"/>
  <c r="AJ30" i="2" s="1"/>
  <c r="AJ51" i="2"/>
  <c r="AH51" i="2"/>
  <c r="AG51" i="2"/>
  <c r="AE51" i="2"/>
  <c r="AD51" i="2"/>
  <c r="T51" i="2"/>
  <c r="U51" i="2" s="1"/>
  <c r="V51" i="2" s="1"/>
  <c r="P51" i="2"/>
  <c r="Q51" i="2" s="1"/>
  <c r="L51" i="2"/>
  <c r="M51" i="2" s="1"/>
  <c r="H51" i="2"/>
  <c r="I51" i="2" s="1"/>
  <c r="D51" i="2"/>
  <c r="C51" i="2"/>
  <c r="B51" i="2"/>
  <c r="AJ50" i="2"/>
  <c r="AH50" i="2"/>
  <c r="AG50" i="2"/>
  <c r="AF50" i="2"/>
  <c r="AE50" i="2"/>
  <c r="AD50" i="2"/>
  <c r="T50" i="2"/>
  <c r="U50" i="2" s="1"/>
  <c r="V50" i="2" s="1"/>
  <c r="P50" i="2"/>
  <c r="Q50" i="2" s="1"/>
  <c r="M50" i="2"/>
  <c r="L50" i="2"/>
  <c r="H50" i="2"/>
  <c r="I50" i="2" s="1"/>
  <c r="D50" i="2"/>
  <c r="C50" i="2"/>
  <c r="B50" i="2"/>
  <c r="AJ49" i="2"/>
  <c r="AH49" i="2"/>
  <c r="AG49" i="2"/>
  <c r="AF49" i="2"/>
  <c r="AE49" i="2"/>
  <c r="AD49" i="2"/>
  <c r="T49" i="2"/>
  <c r="U49" i="2" s="1"/>
  <c r="V49" i="2" s="1"/>
  <c r="P49" i="2"/>
  <c r="Q49" i="2" s="1"/>
  <c r="L49" i="2"/>
  <c r="M49" i="2" s="1"/>
  <c r="H49" i="2"/>
  <c r="I49" i="2" s="1"/>
  <c r="D49" i="2"/>
  <c r="C49" i="2"/>
  <c r="B49" i="2"/>
  <c r="AJ48" i="2"/>
  <c r="AH48" i="2"/>
  <c r="AG48" i="2"/>
  <c r="AF48" i="2"/>
  <c r="AE48" i="2"/>
  <c r="AD48" i="2"/>
  <c r="T48" i="2"/>
  <c r="U48" i="2" s="1"/>
  <c r="V48" i="2" s="1"/>
  <c r="P48" i="2"/>
  <c r="Q48" i="2" s="1"/>
  <c r="L48" i="2"/>
  <c r="M48" i="2" s="1"/>
  <c r="I48" i="2"/>
  <c r="H48" i="2"/>
  <c r="D48" i="2"/>
  <c r="E48" i="2" s="1"/>
  <c r="C48" i="2"/>
  <c r="B48" i="2"/>
  <c r="AJ47" i="2"/>
  <c r="AH47" i="2"/>
  <c r="AG47" i="2"/>
  <c r="AF47" i="2"/>
  <c r="AE47" i="2"/>
  <c r="AD47" i="2"/>
  <c r="T47" i="2"/>
  <c r="U47" i="2" s="1"/>
  <c r="V47" i="2" s="1"/>
  <c r="P47" i="2"/>
  <c r="Q47" i="2" s="1"/>
  <c r="L47" i="2"/>
  <c r="M47" i="2" s="1"/>
  <c r="H47" i="2"/>
  <c r="I47" i="2" s="1"/>
  <c r="D47" i="2"/>
  <c r="C47" i="2"/>
  <c r="B47" i="2"/>
  <c r="AJ46" i="2"/>
  <c r="AH46" i="2"/>
  <c r="AG46" i="2"/>
  <c r="AF46" i="2"/>
  <c r="AE46" i="2"/>
  <c r="AD46" i="2"/>
  <c r="U46" i="2"/>
  <c r="V46" i="2" s="1"/>
  <c r="T46" i="2"/>
  <c r="P46" i="2"/>
  <c r="Q46" i="2" s="1"/>
  <c r="M46" i="2"/>
  <c r="L46" i="2"/>
  <c r="H46" i="2"/>
  <c r="I46" i="2" s="1"/>
  <c r="D46" i="2"/>
  <c r="C46" i="2"/>
  <c r="B46" i="2"/>
  <c r="AJ45" i="2"/>
  <c r="AH45" i="2"/>
  <c r="AG45" i="2"/>
  <c r="AF45" i="2"/>
  <c r="AI45" i="2" s="1"/>
  <c r="AE45" i="2"/>
  <c r="AD45" i="2"/>
  <c r="T45" i="2"/>
  <c r="U45" i="2" s="1"/>
  <c r="V45" i="2" s="1"/>
  <c r="P45" i="2"/>
  <c r="Q45" i="2" s="1"/>
  <c r="L45" i="2"/>
  <c r="M45" i="2" s="1"/>
  <c r="H45" i="2"/>
  <c r="I45" i="2" s="1"/>
  <c r="D45" i="2"/>
  <c r="C45" i="2"/>
  <c r="B45" i="2"/>
  <c r="AJ44" i="2"/>
  <c r="AH44" i="2"/>
  <c r="AG44" i="2"/>
  <c r="AF44" i="2"/>
  <c r="AE44" i="2"/>
  <c r="AD44" i="2"/>
  <c r="T44" i="2"/>
  <c r="U44" i="2" s="1"/>
  <c r="V44" i="2" s="1"/>
  <c r="P44" i="2"/>
  <c r="Q44" i="2" s="1"/>
  <c r="L44" i="2"/>
  <c r="M44" i="2" s="1"/>
  <c r="I44" i="2"/>
  <c r="H44" i="2"/>
  <c r="D44" i="2"/>
  <c r="E44" i="2" s="1"/>
  <c r="C44" i="2"/>
  <c r="B44" i="2"/>
  <c r="AJ43" i="2"/>
  <c r="AH43" i="2"/>
  <c r="AG43" i="2"/>
  <c r="AF43" i="2"/>
  <c r="AE43" i="2"/>
  <c r="AD43" i="2"/>
  <c r="T43" i="2"/>
  <c r="U43" i="2" s="1"/>
  <c r="V43" i="2" s="1"/>
  <c r="P43" i="2"/>
  <c r="Q43" i="2" s="1"/>
  <c r="L43" i="2"/>
  <c r="M43" i="2" s="1"/>
  <c r="H43" i="2"/>
  <c r="I43" i="2" s="1"/>
  <c r="D43" i="2"/>
  <c r="C43" i="2"/>
  <c r="B43" i="2"/>
  <c r="AJ42" i="2"/>
  <c r="AH42" i="2"/>
  <c r="AG42" i="2"/>
  <c r="AF42" i="2"/>
  <c r="AE42" i="2"/>
  <c r="AD42" i="2"/>
  <c r="T42" i="2"/>
  <c r="U42" i="2" s="1"/>
  <c r="V42" i="2" s="1"/>
  <c r="P42" i="2"/>
  <c r="Q42" i="2" s="1"/>
  <c r="M42" i="2"/>
  <c r="L42" i="2"/>
  <c r="H42" i="2"/>
  <c r="I42" i="2" s="1"/>
  <c r="E42" i="2"/>
  <c r="D42" i="2"/>
  <c r="C42" i="2"/>
  <c r="B42" i="2"/>
  <c r="AJ41" i="2"/>
  <c r="AH41" i="2"/>
  <c r="AG41" i="2"/>
  <c r="AF41" i="2"/>
  <c r="AE41" i="2"/>
  <c r="AD41" i="2"/>
  <c r="T41" i="2"/>
  <c r="U41" i="2" s="1"/>
  <c r="V41" i="2" s="1"/>
  <c r="P41" i="2"/>
  <c r="Q41" i="2" s="1"/>
  <c r="L41" i="2"/>
  <c r="M41" i="2" s="1"/>
  <c r="H41" i="2"/>
  <c r="I41" i="2" s="1"/>
  <c r="D41" i="2"/>
  <c r="C41" i="2"/>
  <c r="B41" i="2"/>
  <c r="AJ40" i="2"/>
  <c r="AH40" i="2"/>
  <c r="AG40" i="2"/>
  <c r="AF40" i="2"/>
  <c r="AE40" i="2"/>
  <c r="AD40" i="2"/>
  <c r="T40" i="2"/>
  <c r="U40" i="2" s="1"/>
  <c r="V40" i="2" s="1"/>
  <c r="Z40" i="2" s="1"/>
  <c r="P40" i="2"/>
  <c r="Q40" i="2" s="1"/>
  <c r="L40" i="2"/>
  <c r="M40" i="2" s="1"/>
  <c r="I40" i="2"/>
  <c r="H40" i="2"/>
  <c r="D40" i="2"/>
  <c r="E40" i="2" s="1"/>
  <c r="C40" i="2"/>
  <c r="B40" i="2"/>
  <c r="AH39" i="2"/>
  <c r="AG39" i="2"/>
  <c r="AE39" i="2"/>
  <c r="AD39" i="2"/>
  <c r="T39" i="2"/>
  <c r="U39" i="2" s="1"/>
  <c r="V39" i="2" s="1"/>
  <c r="P39" i="2"/>
  <c r="Q39" i="2" s="1"/>
  <c r="L39" i="2"/>
  <c r="M39" i="2" s="1"/>
  <c r="H39" i="2"/>
  <c r="I39" i="2" s="1"/>
  <c r="D39" i="2"/>
  <c r="C39" i="2"/>
  <c r="B39" i="2"/>
  <c r="AH38" i="2"/>
  <c r="AG38" i="2"/>
  <c r="AF38" i="2"/>
  <c r="AE38" i="2"/>
  <c r="AD38" i="2"/>
  <c r="U38" i="2"/>
  <c r="V38" i="2" s="1"/>
  <c r="T38" i="2"/>
  <c r="P38" i="2"/>
  <c r="Q38" i="2" s="1"/>
  <c r="M38" i="2"/>
  <c r="L38" i="2"/>
  <c r="H38" i="2"/>
  <c r="I38" i="2" s="1"/>
  <c r="E38" i="2"/>
  <c r="D38" i="2"/>
  <c r="C38" i="2"/>
  <c r="B38" i="2"/>
  <c r="AH37" i="2"/>
  <c r="AG37" i="2"/>
  <c r="AF37" i="2"/>
  <c r="AI37" i="2" s="1"/>
  <c r="AE37" i="2"/>
  <c r="AD37" i="2"/>
  <c r="T37" i="2"/>
  <c r="U37" i="2" s="1"/>
  <c r="V37" i="2" s="1"/>
  <c r="P37" i="2"/>
  <c r="Q37" i="2" s="1"/>
  <c r="L37" i="2"/>
  <c r="M37" i="2" s="1"/>
  <c r="H37" i="2"/>
  <c r="I37" i="2" s="1"/>
  <c r="D37" i="2"/>
  <c r="C37" i="2"/>
  <c r="B37" i="2"/>
  <c r="AH36" i="2"/>
  <c r="AG36" i="2"/>
  <c r="AF36" i="2"/>
  <c r="AE36" i="2"/>
  <c r="AD36" i="2"/>
  <c r="T36" i="2"/>
  <c r="U36" i="2" s="1"/>
  <c r="V36" i="2" s="1"/>
  <c r="Z36" i="2" s="1"/>
  <c r="P36" i="2"/>
  <c r="Q36" i="2" s="1"/>
  <c r="L36" i="2"/>
  <c r="M36" i="2" s="1"/>
  <c r="I36" i="2"/>
  <c r="H36" i="2"/>
  <c r="D36" i="2"/>
  <c r="E36" i="2" s="1"/>
  <c r="C36" i="2"/>
  <c r="B36" i="2"/>
  <c r="AH35" i="2"/>
  <c r="AG35" i="2"/>
  <c r="AF35" i="2"/>
  <c r="AE35" i="2"/>
  <c r="AD35" i="2"/>
  <c r="T35" i="2"/>
  <c r="U35" i="2" s="1"/>
  <c r="V35" i="2" s="1"/>
  <c r="P35" i="2"/>
  <c r="Q35" i="2" s="1"/>
  <c r="L35" i="2"/>
  <c r="M35" i="2" s="1"/>
  <c r="H35" i="2"/>
  <c r="I35" i="2" s="1"/>
  <c r="D35" i="2"/>
  <c r="C35" i="2"/>
  <c r="B35" i="2"/>
  <c r="AH34" i="2"/>
  <c r="AG34" i="2"/>
  <c r="AF34" i="2"/>
  <c r="AE34" i="2"/>
  <c r="AD34" i="2"/>
  <c r="U34" i="2"/>
  <c r="V34" i="2" s="1"/>
  <c r="T34" i="2"/>
  <c r="P34" i="2"/>
  <c r="Q34" i="2" s="1"/>
  <c r="M34" i="2"/>
  <c r="L34" i="2"/>
  <c r="H34" i="2"/>
  <c r="I34" i="2" s="1"/>
  <c r="D34" i="2"/>
  <c r="C34" i="2"/>
  <c r="B34" i="2"/>
  <c r="AH33" i="2"/>
  <c r="AG33" i="2"/>
  <c r="AF33" i="2"/>
  <c r="AE33" i="2"/>
  <c r="AD33" i="2"/>
  <c r="T33" i="2"/>
  <c r="U33" i="2" s="1"/>
  <c r="V33" i="2" s="1"/>
  <c r="P33" i="2"/>
  <c r="Q33" i="2" s="1"/>
  <c r="L33" i="2"/>
  <c r="M33" i="2" s="1"/>
  <c r="H33" i="2"/>
  <c r="I33" i="2" s="1"/>
  <c r="D33" i="2"/>
  <c r="C33" i="2"/>
  <c r="B33" i="2"/>
  <c r="AH32" i="2"/>
  <c r="AG32" i="2"/>
  <c r="AF32" i="2"/>
  <c r="AE32" i="2"/>
  <c r="AD32" i="2"/>
  <c r="T32" i="2"/>
  <c r="U32" i="2" s="1"/>
  <c r="V32" i="2" s="1"/>
  <c r="P32" i="2"/>
  <c r="Q32" i="2" s="1"/>
  <c r="L32" i="2"/>
  <c r="M32" i="2" s="1"/>
  <c r="I32" i="2"/>
  <c r="H32" i="2"/>
  <c r="D32" i="2"/>
  <c r="E32" i="2" s="1"/>
  <c r="C32" i="2"/>
  <c r="B32" i="2"/>
  <c r="AH31" i="2"/>
  <c r="AG31" i="2"/>
  <c r="AF31" i="2"/>
  <c r="AE31" i="2"/>
  <c r="AD31" i="2"/>
  <c r="T31" i="2"/>
  <c r="U31" i="2" s="1"/>
  <c r="V31" i="2" s="1"/>
  <c r="Q31" i="2"/>
  <c r="P31" i="2"/>
  <c r="L31" i="2"/>
  <c r="M31" i="2" s="1"/>
  <c r="I31" i="2"/>
  <c r="H31" i="2"/>
  <c r="D31" i="2"/>
  <c r="C31" i="2"/>
  <c r="B31" i="2"/>
  <c r="AH30" i="2"/>
  <c r="AG30" i="2"/>
  <c r="AF30" i="2"/>
  <c r="AE30" i="2"/>
  <c r="AD30" i="2"/>
  <c r="T30" i="2"/>
  <c r="U30" i="2" s="1"/>
  <c r="V30" i="2" s="1"/>
  <c r="Z30" i="2" s="1"/>
  <c r="P30" i="2"/>
  <c r="Q30" i="2" s="1"/>
  <c r="L30" i="2"/>
  <c r="M30" i="2" s="1"/>
  <c r="H30" i="2"/>
  <c r="I30" i="2" s="1"/>
  <c r="E30" i="2"/>
  <c r="D30" i="2"/>
  <c r="C30" i="2"/>
  <c r="B30" i="2"/>
  <c r="AH29" i="2"/>
  <c r="AG29" i="2"/>
  <c r="AF29" i="2"/>
  <c r="AI29" i="2" s="1"/>
  <c r="AE29" i="2"/>
  <c r="AD29" i="2"/>
  <c r="U29" i="2"/>
  <c r="V29" i="2" s="1"/>
  <c r="T29" i="2"/>
  <c r="P29" i="2"/>
  <c r="Q29" i="2" s="1"/>
  <c r="L29" i="2"/>
  <c r="M29" i="2" s="1"/>
  <c r="H29" i="2"/>
  <c r="I29" i="2" s="1"/>
  <c r="D29" i="2"/>
  <c r="C29" i="2"/>
  <c r="B29" i="2"/>
  <c r="AH28" i="2"/>
  <c r="AG28" i="2"/>
  <c r="AF28" i="2"/>
  <c r="AI28" i="2" s="1"/>
  <c r="AE28" i="2"/>
  <c r="AD28" i="2"/>
  <c r="T28" i="2"/>
  <c r="U28" i="2" s="1"/>
  <c r="V28" i="2" s="1"/>
  <c r="Q28" i="2"/>
  <c r="P28" i="2"/>
  <c r="L28" i="2"/>
  <c r="M28" i="2" s="1"/>
  <c r="H28" i="2"/>
  <c r="I28" i="2" s="1"/>
  <c r="D28" i="2"/>
  <c r="E28" i="2" s="1"/>
  <c r="C28" i="2"/>
  <c r="B28" i="2"/>
  <c r="AH27" i="2"/>
  <c r="AG27" i="2"/>
  <c r="AE27" i="2"/>
  <c r="AD27" i="2"/>
  <c r="T27" i="2"/>
  <c r="U27" i="2" s="1"/>
  <c r="V27" i="2" s="1"/>
  <c r="Q27" i="2"/>
  <c r="P27" i="2"/>
  <c r="L27" i="2"/>
  <c r="M27" i="2" s="1"/>
  <c r="I27" i="2"/>
  <c r="H27" i="2"/>
  <c r="D27" i="2"/>
  <c r="E27" i="2" s="1"/>
  <c r="C27" i="2"/>
  <c r="B27" i="2"/>
  <c r="AH26" i="2"/>
  <c r="AG26" i="2"/>
  <c r="AF26" i="2"/>
  <c r="AE26" i="2"/>
  <c r="AD26" i="2"/>
  <c r="T26" i="2"/>
  <c r="U26" i="2" s="1"/>
  <c r="V26" i="2" s="1"/>
  <c r="P26" i="2"/>
  <c r="Q26" i="2" s="1"/>
  <c r="L26" i="2"/>
  <c r="M26" i="2" s="1"/>
  <c r="H26" i="2"/>
  <c r="I26" i="2" s="1"/>
  <c r="E26" i="2"/>
  <c r="D26" i="2"/>
  <c r="C26" i="2"/>
  <c r="B26" i="2"/>
  <c r="AH25" i="2"/>
  <c r="AG25" i="2"/>
  <c r="AF25" i="2"/>
  <c r="AI25" i="2" s="1"/>
  <c r="AE25" i="2"/>
  <c r="AD25" i="2"/>
  <c r="U25" i="2"/>
  <c r="V25" i="2" s="1"/>
  <c r="P25" i="2"/>
  <c r="Q25" i="2" s="1"/>
  <c r="M25" i="2"/>
  <c r="L25" i="2"/>
  <c r="H25" i="2"/>
  <c r="I25" i="2" s="1"/>
  <c r="D25" i="2"/>
  <c r="C25" i="2"/>
  <c r="B25" i="2"/>
  <c r="AH24" i="2"/>
  <c r="AG24" i="2"/>
  <c r="AF24" i="2"/>
  <c r="AI24" i="2" s="1"/>
  <c r="AE24" i="2"/>
  <c r="AD24" i="2"/>
  <c r="U24" i="2"/>
  <c r="V24" i="2" s="1"/>
  <c r="Q24" i="2"/>
  <c r="P24" i="2"/>
  <c r="L24" i="2"/>
  <c r="M24" i="2" s="1"/>
  <c r="H24" i="2"/>
  <c r="I24" i="2" s="1"/>
  <c r="D24" i="2"/>
  <c r="E24" i="2" s="1"/>
  <c r="C24" i="2"/>
  <c r="B24" i="2"/>
  <c r="AH23" i="2"/>
  <c r="AG23" i="2"/>
  <c r="AF23" i="2"/>
  <c r="AE23" i="2"/>
  <c r="AD23" i="2"/>
  <c r="U23" i="2"/>
  <c r="V23" i="2" s="1"/>
  <c r="Q23" i="2"/>
  <c r="P23" i="2"/>
  <c r="L23" i="2"/>
  <c r="M23" i="2" s="1"/>
  <c r="I23" i="2"/>
  <c r="H23" i="2"/>
  <c r="D23" i="2"/>
  <c r="E23" i="2" s="1"/>
  <c r="C23" i="2"/>
  <c r="B23" i="2"/>
  <c r="AH22" i="2"/>
  <c r="AG22" i="2"/>
  <c r="AF22" i="2"/>
  <c r="AE22" i="2"/>
  <c r="AD22" i="2"/>
  <c r="U22" i="2"/>
  <c r="V22" i="2" s="1"/>
  <c r="Z22" i="2" s="1"/>
  <c r="P22" i="2"/>
  <c r="Q22" i="2" s="1"/>
  <c r="L22" i="2"/>
  <c r="M22" i="2" s="1"/>
  <c r="H22" i="2"/>
  <c r="I22" i="2" s="1"/>
  <c r="E22" i="2"/>
  <c r="D22" i="2"/>
  <c r="C22" i="2"/>
  <c r="B22" i="2"/>
  <c r="AH21" i="2"/>
  <c r="AG21" i="2"/>
  <c r="AF21" i="2"/>
  <c r="AE21" i="2"/>
  <c r="AD21" i="2"/>
  <c r="U21" i="2"/>
  <c r="V21" i="2" s="1"/>
  <c r="P21" i="2"/>
  <c r="Q21" i="2" s="1"/>
  <c r="M21" i="2"/>
  <c r="L21" i="2"/>
  <c r="H21" i="2"/>
  <c r="I21" i="2" s="1"/>
  <c r="D21" i="2"/>
  <c r="C21" i="2"/>
  <c r="B21" i="2"/>
  <c r="AH20" i="2"/>
  <c r="AG20" i="2"/>
  <c r="AF20" i="2"/>
  <c r="AE20" i="2"/>
  <c r="AD20" i="2"/>
  <c r="U20" i="2"/>
  <c r="V20" i="2" s="1"/>
  <c r="Q20" i="2"/>
  <c r="P20" i="2"/>
  <c r="L20" i="2"/>
  <c r="M20" i="2" s="1"/>
  <c r="H20" i="2"/>
  <c r="I20" i="2" s="1"/>
  <c r="D20" i="2"/>
  <c r="E20" i="2" s="1"/>
  <c r="C20" i="2"/>
  <c r="B20" i="2"/>
  <c r="AH19" i="2"/>
  <c r="AG19" i="2"/>
  <c r="AF19" i="2"/>
  <c r="AE19" i="2"/>
  <c r="AD19" i="2"/>
  <c r="U19" i="2"/>
  <c r="V19" i="2" s="1"/>
  <c r="Q19" i="2"/>
  <c r="P19" i="2"/>
  <c r="M19" i="2"/>
  <c r="L19" i="2"/>
  <c r="H19" i="2"/>
  <c r="I19" i="2" s="1"/>
  <c r="D19" i="2"/>
  <c r="C19" i="2"/>
  <c r="B19" i="2"/>
  <c r="AH18" i="2"/>
  <c r="AG18" i="2"/>
  <c r="AF18" i="2"/>
  <c r="AE18" i="2"/>
  <c r="AD18" i="2"/>
  <c r="U18" i="2"/>
  <c r="V18" i="2" s="1"/>
  <c r="T18" i="2"/>
  <c r="P18" i="2"/>
  <c r="Q18" i="2" s="1"/>
  <c r="M18" i="2"/>
  <c r="L18" i="2"/>
  <c r="H18" i="2"/>
  <c r="I18" i="2" s="1"/>
  <c r="E18" i="2"/>
  <c r="D18" i="2"/>
  <c r="C18" i="2"/>
  <c r="B18" i="2"/>
  <c r="AH17" i="2"/>
  <c r="AG17" i="2"/>
  <c r="AF17" i="2"/>
  <c r="AE17" i="2"/>
  <c r="AD17" i="2"/>
  <c r="T17" i="2"/>
  <c r="U17" i="2" s="1"/>
  <c r="V17" i="2" s="1"/>
  <c r="Q17" i="2"/>
  <c r="P17" i="2"/>
  <c r="L17" i="2"/>
  <c r="M17" i="2" s="1"/>
  <c r="H17" i="2"/>
  <c r="I17" i="2" s="1"/>
  <c r="E17" i="2"/>
  <c r="D17" i="2"/>
  <c r="C17" i="2"/>
  <c r="B17" i="2"/>
  <c r="AH16" i="2"/>
  <c r="AG16" i="2"/>
  <c r="AF16" i="2"/>
  <c r="AE16" i="2"/>
  <c r="AD16" i="2"/>
  <c r="T16" i="2"/>
  <c r="U16" i="2" s="1"/>
  <c r="V16" i="2" s="1"/>
  <c r="Z16" i="2" s="1"/>
  <c r="Q16" i="2"/>
  <c r="P16" i="2"/>
  <c r="L16" i="2"/>
  <c r="M16" i="2" s="1"/>
  <c r="I16" i="2"/>
  <c r="H16" i="2"/>
  <c r="D16" i="2"/>
  <c r="E16" i="2" s="1"/>
  <c r="C16" i="2"/>
  <c r="B16" i="2"/>
  <c r="AH15" i="2"/>
  <c r="AG15" i="2"/>
  <c r="AE15" i="2"/>
  <c r="AD15" i="2"/>
  <c r="T15" i="2"/>
  <c r="U15" i="2" s="1"/>
  <c r="V15" i="2" s="1"/>
  <c r="P15" i="2"/>
  <c r="Q15" i="2" s="1"/>
  <c r="M15" i="2"/>
  <c r="L15" i="2"/>
  <c r="H15" i="2"/>
  <c r="I15" i="2" s="1"/>
  <c r="D15" i="2"/>
  <c r="E15" i="2" s="1"/>
  <c r="C15" i="2"/>
  <c r="B15" i="2"/>
  <c r="AH14" i="2"/>
  <c r="AG14" i="2"/>
  <c r="AF14" i="2"/>
  <c r="AE14" i="2"/>
  <c r="AD14" i="2"/>
  <c r="T14" i="2"/>
  <c r="U14" i="2" s="1"/>
  <c r="V14" i="2" s="1"/>
  <c r="P14" i="2"/>
  <c r="Q14" i="2" s="1"/>
  <c r="M14" i="2"/>
  <c r="L14" i="2"/>
  <c r="H14" i="2"/>
  <c r="I14" i="2" s="1"/>
  <c r="E14" i="2"/>
  <c r="D14" i="2"/>
  <c r="C14" i="2"/>
  <c r="B14" i="2"/>
  <c r="AH13" i="2"/>
  <c r="AG13" i="2"/>
  <c r="AF13" i="2"/>
  <c r="AI13" i="2" s="1"/>
  <c r="AE13" i="2"/>
  <c r="AD13" i="2"/>
  <c r="T13" i="2"/>
  <c r="U13" i="2" s="1"/>
  <c r="V13" i="2" s="1"/>
  <c r="P13" i="2"/>
  <c r="Q13" i="2" s="1"/>
  <c r="L13" i="2"/>
  <c r="M13" i="2" s="1"/>
  <c r="I13" i="2"/>
  <c r="H13" i="2"/>
  <c r="D13" i="2"/>
  <c r="C13" i="2"/>
  <c r="B13" i="2"/>
  <c r="AH12" i="2"/>
  <c r="AG12" i="2"/>
  <c r="AF12" i="2"/>
  <c r="AE12" i="2"/>
  <c r="AD12" i="2"/>
  <c r="T12" i="2"/>
  <c r="U12" i="2" s="1"/>
  <c r="V12" i="2" s="1"/>
  <c r="P12" i="2"/>
  <c r="L12" i="2"/>
  <c r="M12" i="2" s="1"/>
  <c r="H12" i="2"/>
  <c r="I12" i="2" s="1"/>
  <c r="D12" i="2"/>
  <c r="E12" i="2" s="1"/>
  <c r="C12" i="2"/>
  <c r="B12" i="2"/>
  <c r="AH11" i="2"/>
  <c r="AG11" i="2"/>
  <c r="AF11" i="2"/>
  <c r="AE11" i="2"/>
  <c r="AD11" i="2"/>
  <c r="T11" i="2"/>
  <c r="U11" i="2" s="1"/>
  <c r="V11" i="2" s="1"/>
  <c r="P11" i="2"/>
  <c r="M11" i="2"/>
  <c r="L11" i="2"/>
  <c r="H11" i="2"/>
  <c r="I11" i="2" s="1"/>
  <c r="D11" i="2"/>
  <c r="E11" i="2" s="1"/>
  <c r="C11" i="2"/>
  <c r="B11" i="2"/>
  <c r="AH10" i="2"/>
  <c r="AG10" i="2"/>
  <c r="AF10" i="2"/>
  <c r="AE10" i="2"/>
  <c r="AD10" i="2"/>
  <c r="T10" i="2"/>
  <c r="U10" i="2" s="1"/>
  <c r="V10" i="2" s="1"/>
  <c r="P10" i="2"/>
  <c r="Q10" i="2" s="1"/>
  <c r="L10" i="2"/>
  <c r="M10" i="2" s="1"/>
  <c r="H10" i="2"/>
  <c r="I10" i="2" s="1"/>
  <c r="E10" i="2"/>
  <c r="D10" i="2"/>
  <c r="C10" i="2"/>
  <c r="B10" i="2"/>
  <c r="AH9" i="2"/>
  <c r="AG9" i="2"/>
  <c r="AF9" i="2"/>
  <c r="AI9" i="2" s="1"/>
  <c r="AE9" i="2"/>
  <c r="AD9" i="2"/>
  <c r="T9" i="2"/>
  <c r="U9" i="2" s="1"/>
  <c r="V9" i="2" s="1"/>
  <c r="Q9" i="2"/>
  <c r="P9" i="2"/>
  <c r="M9" i="2"/>
  <c r="L9" i="2"/>
  <c r="H9" i="2"/>
  <c r="I9" i="2" s="1"/>
  <c r="D9" i="2"/>
  <c r="C9" i="2"/>
  <c r="B9" i="2"/>
  <c r="AH8" i="2"/>
  <c r="AG8" i="2"/>
  <c r="AF8" i="2"/>
  <c r="AE8" i="2"/>
  <c r="AD8" i="2"/>
  <c r="T8" i="2"/>
  <c r="U8" i="2" s="1"/>
  <c r="V8" i="2" s="1"/>
  <c r="P8" i="2"/>
  <c r="Q8" i="2" s="1"/>
  <c r="M8" i="2"/>
  <c r="L8" i="2"/>
  <c r="H8" i="2"/>
  <c r="I8" i="2" s="1"/>
  <c r="E8" i="2"/>
  <c r="D8" i="2"/>
  <c r="C8" i="2"/>
  <c r="B8" i="2"/>
  <c r="AH7" i="2"/>
  <c r="AG7" i="2"/>
  <c r="AF7" i="2"/>
  <c r="AI7" i="2" s="1"/>
  <c r="AE7" i="2"/>
  <c r="AD7" i="2"/>
  <c r="T7" i="2"/>
  <c r="U7" i="2" s="1"/>
  <c r="P7" i="2"/>
  <c r="Q7" i="2" s="1"/>
  <c r="M7" i="2"/>
  <c r="L7" i="2"/>
  <c r="H7" i="2"/>
  <c r="I7" i="2" s="1"/>
  <c r="E7" i="2"/>
  <c r="D7" i="2"/>
  <c r="C7" i="2"/>
  <c r="B7" i="2"/>
  <c r="AH6" i="2"/>
  <c r="AG6" i="2"/>
  <c r="AF6" i="2"/>
  <c r="AE6" i="2"/>
  <c r="AD6" i="2"/>
  <c r="X6" i="2"/>
  <c r="W6" i="2"/>
  <c r="T6" i="2"/>
  <c r="U6" i="2" s="1"/>
  <c r="V6" i="2" s="1"/>
  <c r="P6" i="2"/>
  <c r="Q6" i="2" s="1"/>
  <c r="L6" i="2"/>
  <c r="M6" i="2" s="1"/>
  <c r="H6" i="2"/>
  <c r="I6" i="2" s="1"/>
  <c r="D6" i="2"/>
  <c r="E6" i="2" s="1"/>
  <c r="C6" i="2"/>
  <c r="B6" i="2"/>
  <c r="AH5" i="2"/>
  <c r="AG5" i="2"/>
  <c r="AF5" i="2"/>
  <c r="AE5" i="2"/>
  <c r="AD5" i="2"/>
  <c r="X5" i="2"/>
  <c r="W5" i="2"/>
  <c r="T5" i="2"/>
  <c r="U5" i="2" s="1"/>
  <c r="V5" i="2" s="1"/>
  <c r="P5" i="2"/>
  <c r="L5" i="2"/>
  <c r="M5" i="2" s="1"/>
  <c r="H5" i="2"/>
  <c r="D5" i="2"/>
  <c r="C5" i="2"/>
  <c r="B5" i="2"/>
  <c r="AH4" i="2"/>
  <c r="AH52" i="2" s="1"/>
  <c r="AG4" i="2"/>
  <c r="AF4" i="2"/>
  <c r="AE4" i="2"/>
  <c r="AD4" i="2"/>
  <c r="X4" i="2"/>
  <c r="W4" i="2"/>
  <c r="T4" i="2"/>
  <c r="U4" i="2" s="1"/>
  <c r="V4" i="2" s="1"/>
  <c r="S4" i="2"/>
  <c r="R4" i="2"/>
  <c r="P4" i="2"/>
  <c r="Q4" i="2" s="1"/>
  <c r="O4" i="2"/>
  <c r="N4" i="2"/>
  <c r="L4" i="2"/>
  <c r="M4" i="2" s="1"/>
  <c r="K4" i="2"/>
  <c r="J4" i="2"/>
  <c r="H4" i="2"/>
  <c r="I4" i="2" s="1"/>
  <c r="D4" i="2"/>
  <c r="C4" i="2"/>
  <c r="B4" i="2"/>
  <c r="AJ14" i="2" l="1"/>
  <c r="AJ33" i="2"/>
  <c r="AJ9" i="2"/>
  <c r="AJ19" i="2"/>
  <c r="AJ24" i="2"/>
  <c r="AJ28" i="2"/>
  <c r="AJ36" i="2"/>
  <c r="AJ4" i="2"/>
  <c r="AM4" i="2" s="1"/>
  <c r="AM5" i="2" s="1"/>
  <c r="AM6" i="2" s="1"/>
  <c r="AM7" i="2" s="1"/>
  <c r="AM8" i="2" s="1"/>
  <c r="AM9" i="2" s="1"/>
  <c r="AM10" i="2" s="1"/>
  <c r="AM11" i="2" s="1"/>
  <c r="AM12" i="2" s="1"/>
  <c r="AM13" i="2" s="1"/>
  <c r="AM14" i="2" s="1"/>
  <c r="AM15" i="2" s="1"/>
  <c r="AM16" i="2" s="1"/>
  <c r="AM17" i="2" s="1"/>
  <c r="AM18" i="2" s="1"/>
  <c r="AM19" i="2" s="1"/>
  <c r="AM20" i="2" s="1"/>
  <c r="AM21" i="2" s="1"/>
  <c r="AM22" i="2" s="1"/>
  <c r="AM23" i="2" s="1"/>
  <c r="AM24" i="2" s="1"/>
  <c r="AM25" i="2" s="1"/>
  <c r="AM26" i="2" s="1"/>
  <c r="AM27" i="2" s="1"/>
  <c r="AM28" i="2" s="1"/>
  <c r="AM29" i="2" s="1"/>
  <c r="AM30" i="2" s="1"/>
  <c r="AM31" i="2" s="1"/>
  <c r="AM32" i="2" s="1"/>
  <c r="AM33" i="2" s="1"/>
  <c r="AM34" i="2" s="1"/>
  <c r="AM35" i="2" s="1"/>
  <c r="AM36" i="2" s="1"/>
  <c r="AM37" i="2" s="1"/>
  <c r="AM38" i="2" s="1"/>
  <c r="AM39" i="2" s="1"/>
  <c r="AM40" i="2" s="1"/>
  <c r="AM41" i="2" s="1"/>
  <c r="AM42" i="2" s="1"/>
  <c r="AM43" i="2" s="1"/>
  <c r="AM44" i="2" s="1"/>
  <c r="AM45" i="2" s="1"/>
  <c r="AM46" i="2" s="1"/>
  <c r="AM47" i="2" s="1"/>
  <c r="AM48" i="2" s="1"/>
  <c r="AM49" i="2" s="1"/>
  <c r="AM50" i="2" s="1"/>
  <c r="AM51" i="2" s="1"/>
  <c r="AM52" i="2" s="1"/>
  <c r="AJ10" i="2"/>
  <c r="AJ8" i="2"/>
  <c r="AJ12" i="2"/>
  <c r="AJ17" i="2"/>
  <c r="AJ18" i="2"/>
  <c r="AJ32" i="2"/>
  <c r="AJ39" i="2"/>
  <c r="AJ38" i="2"/>
  <c r="AJ25" i="2"/>
  <c r="AJ7" i="2"/>
  <c r="AJ16" i="2"/>
  <c r="AJ23" i="2"/>
  <c r="AJ27" i="2"/>
  <c r="AJ35" i="2"/>
  <c r="AJ21" i="2"/>
  <c r="AJ37" i="2"/>
  <c r="AJ20" i="2"/>
  <c r="AJ13" i="2"/>
  <c r="AJ6" i="2"/>
  <c r="AJ15" i="2"/>
  <c r="AJ22" i="2"/>
  <c r="AJ31" i="2"/>
  <c r="AJ34" i="2"/>
  <c r="AJ29" i="2"/>
  <c r="AJ5" i="2"/>
  <c r="AJ11" i="2"/>
  <c r="AJ26" i="2"/>
  <c r="W7" i="2"/>
  <c r="X7" i="2" s="1"/>
  <c r="AI17" i="2"/>
  <c r="Y21" i="2"/>
  <c r="AI18" i="2"/>
  <c r="Y9" i="2"/>
  <c r="AI31" i="2"/>
  <c r="AI19" i="2"/>
  <c r="Y25" i="2"/>
  <c r="AI43" i="2"/>
  <c r="Y18" i="2"/>
  <c r="AI16" i="2"/>
  <c r="Y16" i="2"/>
  <c r="AI20" i="2"/>
  <c r="AI6" i="2"/>
  <c r="Y8" i="2"/>
  <c r="Z10" i="2"/>
  <c r="Y12" i="2"/>
  <c r="Y17" i="2"/>
  <c r="Y19" i="2"/>
  <c r="Z23" i="2"/>
  <c r="AI38" i="2"/>
  <c r="AI5" i="2"/>
  <c r="Z6" i="2"/>
  <c r="Y11" i="2"/>
  <c r="Z18" i="2"/>
  <c r="AI41" i="2"/>
  <c r="AI42" i="2"/>
  <c r="Z44" i="2"/>
  <c r="Z42" i="2"/>
  <c r="Z32" i="2"/>
  <c r="Z48" i="2"/>
  <c r="AI8" i="2"/>
  <c r="Z27" i="2"/>
  <c r="AI50" i="2"/>
  <c r="AI10" i="2"/>
  <c r="AI12" i="2"/>
  <c r="AI14" i="2"/>
  <c r="AI21" i="2"/>
  <c r="AI23" i="2"/>
  <c r="Z26" i="2"/>
  <c r="AI33" i="2"/>
  <c r="W8" i="2"/>
  <c r="X8" i="2" s="1"/>
  <c r="Z15" i="2"/>
  <c r="Z8" i="2"/>
  <c r="Y13" i="2"/>
  <c r="Z14" i="2"/>
  <c r="Y5" i="2"/>
  <c r="Y4" i="2"/>
  <c r="E9" i="2"/>
  <c r="Z9" i="2" s="1"/>
  <c r="E13" i="2"/>
  <c r="Z13" i="2" s="1"/>
  <c r="Y15" i="2"/>
  <c r="E25" i="2"/>
  <c r="Z25" i="2" s="1"/>
  <c r="E35" i="2"/>
  <c r="Z35" i="2" s="1"/>
  <c r="Y35" i="2"/>
  <c r="AI4" i="2"/>
  <c r="N5" i="2"/>
  <c r="O5" i="2" s="1"/>
  <c r="Y10" i="2"/>
  <c r="Q12" i="2"/>
  <c r="Z12" i="2" s="1"/>
  <c r="Z20" i="2"/>
  <c r="Z24" i="2"/>
  <c r="Y34" i="2"/>
  <c r="E34" i="2"/>
  <c r="Z34" i="2" s="1"/>
  <c r="E5" i="2"/>
  <c r="Q11" i="2"/>
  <c r="Z11" i="2" s="1"/>
  <c r="E4" i="2"/>
  <c r="Z4" i="2" s="1"/>
  <c r="Y6" i="2"/>
  <c r="E19" i="2"/>
  <c r="Z19" i="2" s="1"/>
  <c r="E21" i="2"/>
  <c r="Z21" i="2" s="1"/>
  <c r="Z28" i="2"/>
  <c r="Y7" i="2"/>
  <c r="F4" i="2"/>
  <c r="AA4" i="2" s="1"/>
  <c r="AD52" i="2"/>
  <c r="AI11" i="2"/>
  <c r="Y46" i="2"/>
  <c r="E46" i="2"/>
  <c r="Z46" i="2" s="1"/>
  <c r="Z17" i="2"/>
  <c r="AE52" i="2"/>
  <c r="I5" i="2"/>
  <c r="Q5" i="2"/>
  <c r="Y24" i="2"/>
  <c r="Y28" i="2"/>
  <c r="Z38" i="2"/>
  <c r="J5" i="2"/>
  <c r="K5" i="2" s="1"/>
  <c r="R5" i="2"/>
  <c r="S5" i="2" s="1"/>
  <c r="V7" i="2"/>
  <c r="Z7" i="2" s="1"/>
  <c r="Y20" i="2"/>
  <c r="Y29" i="2"/>
  <c r="AG52" i="2"/>
  <c r="Y14" i="2"/>
  <c r="E29" i="2"/>
  <c r="Z29" i="2" s="1"/>
  <c r="E43" i="2"/>
  <c r="Z43" i="2" s="1"/>
  <c r="Y43" i="2"/>
  <c r="Y49" i="2"/>
  <c r="E49" i="2"/>
  <c r="Z49" i="2" s="1"/>
  <c r="AI22" i="2"/>
  <c r="AI26" i="2"/>
  <c r="AI30" i="2"/>
  <c r="AI35" i="2"/>
  <c r="Y37" i="2"/>
  <c r="E37" i="2"/>
  <c r="Z37" i="2" s="1"/>
  <c r="Y42" i="2"/>
  <c r="Y45" i="2"/>
  <c r="E45" i="2"/>
  <c r="Z45" i="2" s="1"/>
  <c r="E39" i="2"/>
  <c r="Z39" i="2" s="1"/>
  <c r="Y39" i="2"/>
  <c r="AI46" i="2"/>
  <c r="Y23" i="2"/>
  <c r="Y27" i="2"/>
  <c r="Y31" i="2"/>
  <c r="E31" i="2"/>
  <c r="Z31" i="2" s="1"/>
  <c r="Y33" i="2"/>
  <c r="E33" i="2"/>
  <c r="Z33" i="2" s="1"/>
  <c r="E47" i="2"/>
  <c r="Z47" i="2" s="1"/>
  <c r="Y47" i="2"/>
  <c r="Y22" i="2"/>
  <c r="Y26" i="2"/>
  <c r="Y30" i="2"/>
  <c r="AI34" i="2"/>
  <c r="Y38" i="2"/>
  <c r="Y41" i="2"/>
  <c r="E41" i="2"/>
  <c r="Z41" i="2" s="1"/>
  <c r="AI47" i="2"/>
  <c r="AI49" i="2"/>
  <c r="Y50" i="2"/>
  <c r="E50" i="2"/>
  <c r="Z50" i="2" s="1"/>
  <c r="Y32" i="2"/>
  <c r="Y36" i="2"/>
  <c r="Y40" i="2"/>
  <c r="Y44" i="2"/>
  <c r="Y48" i="2"/>
  <c r="E51" i="2"/>
  <c r="Z51" i="2" s="1"/>
  <c r="Y51" i="2"/>
  <c r="AI32" i="2"/>
  <c r="AI36" i="2"/>
  <c r="AI40" i="2"/>
  <c r="AI44" i="2"/>
  <c r="AI48" i="2"/>
  <c r="AJ52" i="2" l="1"/>
  <c r="N6" i="2"/>
  <c r="O6" i="2" s="1"/>
  <c r="J6" i="2"/>
  <c r="K6" i="2" s="1"/>
  <c r="R6" i="2"/>
  <c r="S6" i="2" s="1"/>
  <c r="W9" i="2"/>
  <c r="X9" i="2" s="1"/>
  <c r="Z52" i="2"/>
  <c r="AB4" i="2"/>
  <c r="G4" i="2"/>
  <c r="Y52" i="2"/>
  <c r="Z5" i="2"/>
  <c r="J7" i="2" l="1"/>
  <c r="K7" i="2" s="1"/>
  <c r="R7" i="2"/>
  <c r="S7" i="2" s="1"/>
  <c r="N7" i="2"/>
  <c r="O7" i="2" s="1"/>
  <c r="AC4" i="2"/>
  <c r="F5" i="2"/>
  <c r="AA5" i="2" s="1"/>
  <c r="AB5" i="2" s="1"/>
  <c r="AK5" i="2" s="1"/>
  <c r="W10" i="2"/>
  <c r="X10" i="2" s="1"/>
  <c r="AK4" i="2"/>
  <c r="G5" i="2" l="1"/>
  <c r="W11" i="2"/>
  <c r="X11" i="2" s="1"/>
  <c r="R8" i="2"/>
  <c r="S8" i="2" s="1"/>
  <c r="J8" i="2"/>
  <c r="K8" i="2" s="1"/>
  <c r="N8" i="2"/>
  <c r="O8" i="2" s="1"/>
  <c r="G6" i="2"/>
  <c r="AC5" i="2"/>
  <c r="F6" i="2"/>
  <c r="AA6" i="2" s="1"/>
  <c r="AB6" i="2" s="1"/>
  <c r="AK6" i="2" s="1"/>
  <c r="AL4" i="2"/>
  <c r="AL5" i="2" s="1"/>
  <c r="AL6" i="2" l="1"/>
  <c r="J9" i="2"/>
  <c r="K9" i="2" s="1"/>
  <c r="N9" i="2"/>
  <c r="O9" i="2" s="1"/>
  <c r="R9" i="2"/>
  <c r="S9" i="2" s="1"/>
  <c r="AC6" i="2"/>
  <c r="F7" i="2"/>
  <c r="AA7" i="2" s="1"/>
  <c r="W12" i="2"/>
  <c r="X12" i="2" s="1"/>
  <c r="G7" i="2" l="1"/>
  <c r="R10" i="2"/>
  <c r="S10" i="2" s="1"/>
  <c r="N10" i="2"/>
  <c r="O10" i="2" s="1"/>
  <c r="J10" i="2"/>
  <c r="K10" i="2" s="1"/>
  <c r="W13" i="2"/>
  <c r="X13" i="2" s="1"/>
  <c r="AC7" i="2"/>
  <c r="F8" i="2"/>
  <c r="AA8" i="2" s="1"/>
  <c r="AB8" i="2" s="1"/>
  <c r="AK8" i="2" s="1"/>
  <c r="AB7" i="2"/>
  <c r="N11" i="2" l="1"/>
  <c r="O11" i="2" s="1"/>
  <c r="R11" i="2"/>
  <c r="S11" i="2" s="1"/>
  <c r="W14" i="2"/>
  <c r="X14" i="2" s="1"/>
  <c r="AK7" i="2"/>
  <c r="J11" i="2"/>
  <c r="K11" i="2" s="1"/>
  <c r="G8" i="2"/>
  <c r="J12" i="2" l="1"/>
  <c r="K12" i="2" s="1"/>
  <c r="R12" i="2"/>
  <c r="S12" i="2" s="1"/>
  <c r="N12" i="2"/>
  <c r="O12" i="2"/>
  <c r="W15" i="2"/>
  <c r="X15" i="2" s="1"/>
  <c r="AL7" i="2"/>
  <c r="AL8" i="2" s="1"/>
  <c r="AC8" i="2"/>
  <c r="F9" i="2"/>
  <c r="AA9" i="2" s="1"/>
  <c r="AB9" i="2" s="1"/>
  <c r="R13" i="2" l="1"/>
  <c r="S13" i="2"/>
  <c r="J13" i="2"/>
  <c r="K13" i="2" s="1"/>
  <c r="AK9" i="2"/>
  <c r="AL9" i="2" s="1"/>
  <c r="G9" i="2"/>
  <c r="W16" i="2"/>
  <c r="X16" i="2" s="1"/>
  <c r="N13" i="2"/>
  <c r="O13" i="2" s="1"/>
  <c r="N14" i="2" l="1"/>
  <c r="O14" i="2" s="1"/>
  <c r="J14" i="2"/>
  <c r="K14" i="2" s="1"/>
  <c r="W17" i="2"/>
  <c r="X17" i="2" s="1"/>
  <c r="R14" i="2"/>
  <c r="S14" i="2" s="1"/>
  <c r="AC9" i="2"/>
  <c r="F10" i="2"/>
  <c r="AA10" i="2" s="1"/>
  <c r="AB10" i="2" s="1"/>
  <c r="R15" i="2" l="1"/>
  <c r="S15" i="2" s="1"/>
  <c r="J15" i="2"/>
  <c r="K15" i="2" s="1"/>
  <c r="W18" i="2"/>
  <c r="X18" i="2" s="1"/>
  <c r="N15" i="2"/>
  <c r="O15" i="2"/>
  <c r="AK10" i="2"/>
  <c r="G10" i="2"/>
  <c r="W19" i="2" l="1"/>
  <c r="X19" i="2" s="1"/>
  <c r="J16" i="2"/>
  <c r="K16" i="2" s="1"/>
  <c r="R16" i="2"/>
  <c r="S16" i="2" s="1"/>
  <c r="F11" i="2"/>
  <c r="AA11" i="2" s="1"/>
  <c r="AB11" i="2" s="1"/>
  <c r="AK11" i="2" s="1"/>
  <c r="AC10" i="2"/>
  <c r="N16" i="2"/>
  <c r="O16" i="2"/>
  <c r="AL10" i="2"/>
  <c r="R17" i="2" l="1"/>
  <c r="S17" i="2" s="1"/>
  <c r="J17" i="2"/>
  <c r="K17" i="2" s="1"/>
  <c r="W20" i="2"/>
  <c r="X20" i="2" s="1"/>
  <c r="AL11" i="2"/>
  <c r="N17" i="2"/>
  <c r="O17" i="2" s="1"/>
  <c r="G11" i="2"/>
  <c r="W21" i="2" l="1"/>
  <c r="X21" i="2" s="1"/>
  <c r="J18" i="2"/>
  <c r="K18" i="2" s="1"/>
  <c r="R18" i="2"/>
  <c r="S18" i="2" s="1"/>
  <c r="F12" i="2"/>
  <c r="AA12" i="2" s="1"/>
  <c r="AB12" i="2" s="1"/>
  <c r="AK12" i="2" s="1"/>
  <c r="AL12" i="2" s="1"/>
  <c r="AC11" i="2"/>
  <c r="N18" i="2"/>
  <c r="O18" i="2" s="1"/>
  <c r="G12" i="2" l="1"/>
  <c r="AC12" i="2" s="1"/>
  <c r="R19" i="2"/>
  <c r="S19" i="2" s="1"/>
  <c r="N19" i="2"/>
  <c r="O19" i="2" s="1"/>
  <c r="F13" i="2"/>
  <c r="AA13" i="2" s="1"/>
  <c r="AB13" i="2" s="1"/>
  <c r="AK13" i="2" s="1"/>
  <c r="AL13" i="2" s="1"/>
  <c r="J19" i="2"/>
  <c r="K19" i="2" s="1"/>
  <c r="W22" i="2"/>
  <c r="X22" i="2" s="1"/>
  <c r="J20" i="2" l="1"/>
  <c r="K20" i="2"/>
  <c r="N20" i="2"/>
  <c r="O20" i="2" s="1"/>
  <c r="W23" i="2"/>
  <c r="X23" i="2" s="1"/>
  <c r="R20" i="2"/>
  <c r="S20" i="2" s="1"/>
  <c r="G13" i="2"/>
  <c r="W24" i="2" l="1"/>
  <c r="X24" i="2" s="1"/>
  <c r="N21" i="2"/>
  <c r="O21" i="2" s="1"/>
  <c r="R21" i="2"/>
  <c r="S21" i="2" s="1"/>
  <c r="F14" i="2"/>
  <c r="AA14" i="2" s="1"/>
  <c r="AB14" i="2" s="1"/>
  <c r="AK14" i="2" s="1"/>
  <c r="AL14" i="2" s="1"/>
  <c r="AC13" i="2"/>
  <c r="J21" i="2"/>
  <c r="K21" i="2" s="1"/>
  <c r="J22" i="2" l="1"/>
  <c r="K22" i="2" s="1"/>
  <c r="N22" i="2"/>
  <c r="O22" i="2" s="1"/>
  <c r="R22" i="2"/>
  <c r="S22" i="2" s="1"/>
  <c r="W25" i="2"/>
  <c r="X25" i="2" s="1"/>
  <c r="G14" i="2"/>
  <c r="W26" i="2" l="1"/>
  <c r="X26" i="2" s="1"/>
  <c r="R23" i="2"/>
  <c r="S23" i="2" s="1"/>
  <c r="N23" i="2"/>
  <c r="O23" i="2" s="1"/>
  <c r="J23" i="2"/>
  <c r="K23" i="2" s="1"/>
  <c r="F15" i="2"/>
  <c r="AA15" i="2" s="1"/>
  <c r="AB15" i="2" s="1"/>
  <c r="AC14" i="2"/>
  <c r="G15" i="2"/>
  <c r="N24" i="2" l="1"/>
  <c r="O24" i="2" s="1"/>
  <c r="R24" i="2"/>
  <c r="S24" i="2" s="1"/>
  <c r="J24" i="2"/>
  <c r="K24" i="2" s="1"/>
  <c r="W27" i="2"/>
  <c r="X27" i="2" s="1"/>
  <c r="AC15" i="2"/>
  <c r="AF15" i="2" s="1"/>
  <c r="F16" i="2"/>
  <c r="AA16" i="2" s="1"/>
  <c r="AB16" i="2" s="1"/>
  <c r="AK16" i="2" s="1"/>
  <c r="R25" i="2" l="1"/>
  <c r="S25" i="2" s="1"/>
  <c r="W28" i="2"/>
  <c r="X28" i="2" s="1"/>
  <c r="J25" i="2"/>
  <c r="K25" i="2" s="1"/>
  <c r="N25" i="2"/>
  <c r="O25" i="2" s="1"/>
  <c r="G16" i="2"/>
  <c r="AI15" i="2"/>
  <c r="J26" i="2" l="1"/>
  <c r="K26" i="2" s="1"/>
  <c r="W29" i="2"/>
  <c r="X29" i="2" s="1"/>
  <c r="N26" i="2"/>
  <c r="O26" i="2" s="1"/>
  <c r="R26" i="2"/>
  <c r="S26" i="2" s="1"/>
  <c r="AK15" i="2"/>
  <c r="AL15" i="2" s="1"/>
  <c r="AL16" i="2" s="1"/>
  <c r="AC16" i="2"/>
  <c r="F17" i="2"/>
  <c r="AA17" i="2" s="1"/>
  <c r="AB17" i="2" s="1"/>
  <c r="AK17" i="2" s="1"/>
  <c r="R27" i="2" l="1"/>
  <c r="S27" i="2" s="1"/>
  <c r="J27" i="2"/>
  <c r="K27" i="2" s="1"/>
  <c r="W30" i="2"/>
  <c r="X30" i="2" s="1"/>
  <c r="N27" i="2"/>
  <c r="O27" i="2" s="1"/>
  <c r="AL17" i="2"/>
  <c r="G17" i="2"/>
  <c r="J28" i="2" l="1"/>
  <c r="K28" i="2"/>
  <c r="W31" i="2"/>
  <c r="X31" i="2" s="1"/>
  <c r="R28" i="2"/>
  <c r="S28" i="2" s="1"/>
  <c r="N28" i="2"/>
  <c r="O28" i="2" s="1"/>
  <c r="AC17" i="2"/>
  <c r="F18" i="2"/>
  <c r="AA18" i="2" s="1"/>
  <c r="AB18" i="2" s="1"/>
  <c r="AK18" i="2" s="1"/>
  <c r="AL18" i="2" s="1"/>
  <c r="N29" i="2" l="1"/>
  <c r="O29" i="2" s="1"/>
  <c r="R29" i="2"/>
  <c r="S29" i="2" s="1"/>
  <c r="W32" i="2"/>
  <c r="X32" i="2" s="1"/>
  <c r="J29" i="2"/>
  <c r="K29" i="2" s="1"/>
  <c r="G18" i="2"/>
  <c r="W33" i="2" l="1"/>
  <c r="X33" i="2" s="1"/>
  <c r="N30" i="2"/>
  <c r="O30" i="2" s="1"/>
  <c r="J30" i="2"/>
  <c r="K30" i="2" s="1"/>
  <c r="R30" i="2"/>
  <c r="S30" i="2" s="1"/>
  <c r="AC18" i="2"/>
  <c r="F19" i="2"/>
  <c r="AA19" i="2" s="1"/>
  <c r="AB19" i="2" s="1"/>
  <c r="AK19" i="2" s="1"/>
  <c r="AL19" i="2" s="1"/>
  <c r="R31" i="2" l="1"/>
  <c r="S31" i="2" s="1"/>
  <c r="J31" i="2"/>
  <c r="K31" i="2" s="1"/>
  <c r="N31" i="2"/>
  <c r="O31" i="2" s="1"/>
  <c r="W34" i="2"/>
  <c r="X34" i="2" s="1"/>
  <c r="G19" i="2"/>
  <c r="N32" i="2" l="1"/>
  <c r="O32" i="2" s="1"/>
  <c r="W35" i="2"/>
  <c r="X35" i="2" s="1"/>
  <c r="J32" i="2"/>
  <c r="K32" i="2" s="1"/>
  <c r="R32" i="2"/>
  <c r="S32" i="2" s="1"/>
  <c r="AC19" i="2"/>
  <c r="F20" i="2"/>
  <c r="AA20" i="2" s="1"/>
  <c r="AB20" i="2" s="1"/>
  <c r="AK20" i="2" s="1"/>
  <c r="AL20" i="2" s="1"/>
  <c r="W36" i="2" l="1"/>
  <c r="X36" i="2" s="1"/>
  <c r="R33" i="2"/>
  <c r="S33" i="2" s="1"/>
  <c r="J33" i="2"/>
  <c r="K33" i="2" s="1"/>
  <c r="N33" i="2"/>
  <c r="O33" i="2" s="1"/>
  <c r="G20" i="2"/>
  <c r="N34" i="2" l="1"/>
  <c r="O34" i="2" s="1"/>
  <c r="R34" i="2"/>
  <c r="S34" i="2" s="1"/>
  <c r="J34" i="2"/>
  <c r="K34" i="2" s="1"/>
  <c r="W37" i="2"/>
  <c r="X37" i="2" s="1"/>
  <c r="AC20" i="2"/>
  <c r="F21" i="2"/>
  <c r="AA21" i="2" s="1"/>
  <c r="AB21" i="2" s="1"/>
  <c r="AK21" i="2" s="1"/>
  <c r="AL21" i="2" s="1"/>
  <c r="J35" i="2" l="1"/>
  <c r="K35" i="2" s="1"/>
  <c r="R35" i="2"/>
  <c r="S35" i="2" s="1"/>
  <c r="N35" i="2"/>
  <c r="O35" i="2" s="1"/>
  <c r="W38" i="2"/>
  <c r="X38" i="2" s="1"/>
  <c r="G21" i="2"/>
  <c r="N36" i="2" l="1"/>
  <c r="O36" i="2" s="1"/>
  <c r="R36" i="2"/>
  <c r="S36" i="2" s="1"/>
  <c r="J36" i="2"/>
  <c r="K36" i="2" s="1"/>
  <c r="W39" i="2"/>
  <c r="X39" i="2" s="1"/>
  <c r="AC21" i="2"/>
  <c r="F22" i="2"/>
  <c r="AA22" i="2" s="1"/>
  <c r="AB22" i="2" s="1"/>
  <c r="AK22" i="2" s="1"/>
  <c r="AL22" i="2" s="1"/>
  <c r="R37" i="2" l="1"/>
  <c r="S37" i="2" s="1"/>
  <c r="W40" i="2"/>
  <c r="X40" i="2" s="1"/>
  <c r="N37" i="2"/>
  <c r="O37" i="2" s="1"/>
  <c r="J37" i="2"/>
  <c r="K37" i="2" s="1"/>
  <c r="G22" i="2"/>
  <c r="J38" i="2" l="1"/>
  <c r="K38" i="2" s="1"/>
  <c r="R38" i="2"/>
  <c r="S38" i="2" s="1"/>
  <c r="N38" i="2"/>
  <c r="O38" i="2" s="1"/>
  <c r="W41" i="2"/>
  <c r="X41" i="2" s="1"/>
  <c r="F23" i="2"/>
  <c r="AA23" i="2" s="1"/>
  <c r="AB23" i="2" s="1"/>
  <c r="AK23" i="2" s="1"/>
  <c r="AL23" i="2" s="1"/>
  <c r="G23" i="2"/>
  <c r="AC22" i="2"/>
  <c r="R39" i="2" l="1"/>
  <c r="S39" i="2" s="1"/>
  <c r="W42" i="2"/>
  <c r="X42" i="2" s="1"/>
  <c r="N39" i="2"/>
  <c r="O39" i="2" s="1"/>
  <c r="J39" i="2"/>
  <c r="K39" i="2" s="1"/>
  <c r="AC23" i="2"/>
  <c r="F24" i="2"/>
  <c r="AA24" i="2" s="1"/>
  <c r="AB24" i="2" s="1"/>
  <c r="AK24" i="2" s="1"/>
  <c r="AL24" i="2" s="1"/>
  <c r="J40" i="2" l="1"/>
  <c r="K40" i="2" s="1"/>
  <c r="N40" i="2"/>
  <c r="O40" i="2" s="1"/>
  <c r="R40" i="2"/>
  <c r="S40" i="2" s="1"/>
  <c r="W43" i="2"/>
  <c r="X43" i="2" s="1"/>
  <c r="G24" i="2"/>
  <c r="R41" i="2" l="1"/>
  <c r="S41" i="2" s="1"/>
  <c r="W44" i="2"/>
  <c r="X44" i="2" s="1"/>
  <c r="N41" i="2"/>
  <c r="O41" i="2" s="1"/>
  <c r="J41" i="2"/>
  <c r="K41" i="2" s="1"/>
  <c r="AC24" i="2"/>
  <c r="F25" i="2"/>
  <c r="AA25" i="2" s="1"/>
  <c r="AB25" i="2" s="1"/>
  <c r="AK25" i="2" s="1"/>
  <c r="AL25" i="2" s="1"/>
  <c r="G25" i="2" l="1"/>
  <c r="J42" i="2"/>
  <c r="K42" i="2" s="1"/>
  <c r="N42" i="2"/>
  <c r="O42" i="2" s="1"/>
  <c r="AC25" i="2"/>
  <c r="F26" i="2"/>
  <c r="AA26" i="2" s="1"/>
  <c r="AB26" i="2" s="1"/>
  <c r="AK26" i="2" s="1"/>
  <c r="AL26" i="2" s="1"/>
  <c r="W45" i="2"/>
  <c r="X45" i="2" s="1"/>
  <c r="R42" i="2"/>
  <c r="S42" i="2" s="1"/>
  <c r="W46" i="2" l="1"/>
  <c r="X46" i="2" s="1"/>
  <c r="N43" i="2"/>
  <c r="O43" i="2" s="1"/>
  <c r="J43" i="2"/>
  <c r="K43" i="2" s="1"/>
  <c r="R43" i="2"/>
  <c r="S43" i="2" s="1"/>
  <c r="G26" i="2"/>
  <c r="J44" i="2" l="1"/>
  <c r="K44" i="2" s="1"/>
  <c r="N44" i="2"/>
  <c r="O44" i="2" s="1"/>
  <c r="W47" i="2"/>
  <c r="X47" i="2" s="1"/>
  <c r="R44" i="2"/>
  <c r="S44" i="2" s="1"/>
  <c r="F27" i="2"/>
  <c r="AA27" i="2" s="1"/>
  <c r="AB27" i="2" s="1"/>
  <c r="AC26" i="2"/>
  <c r="G27" i="2" l="1"/>
  <c r="N45" i="2"/>
  <c r="O45" i="2" s="1"/>
  <c r="R45" i="2"/>
  <c r="S45" i="2" s="1"/>
  <c r="W48" i="2"/>
  <c r="X48" i="2" s="1"/>
  <c r="J45" i="2"/>
  <c r="K45" i="2" s="1"/>
  <c r="AC27" i="2"/>
  <c r="AF27" i="2" s="1"/>
  <c r="F28" i="2"/>
  <c r="AA28" i="2" s="1"/>
  <c r="AB28" i="2" s="1"/>
  <c r="AK28" i="2" s="1"/>
  <c r="J46" i="2" l="1"/>
  <c r="K46" i="2" s="1"/>
  <c r="R46" i="2"/>
  <c r="S46" i="2" s="1"/>
  <c r="N46" i="2"/>
  <c r="O46" i="2" s="1"/>
  <c r="W49" i="2"/>
  <c r="X49" i="2" s="1"/>
  <c r="AI27" i="2"/>
  <c r="G28" i="2"/>
  <c r="W50" i="2" l="1"/>
  <c r="X50" i="2" s="1"/>
  <c r="N47" i="2"/>
  <c r="O47" i="2" s="1"/>
  <c r="R47" i="2"/>
  <c r="S47" i="2" s="1"/>
  <c r="J47" i="2"/>
  <c r="K47" i="2" s="1"/>
  <c r="AC28" i="2"/>
  <c r="F29" i="2"/>
  <c r="AA29" i="2" s="1"/>
  <c r="AB29" i="2" s="1"/>
  <c r="AK29" i="2" s="1"/>
  <c r="AK27" i="2"/>
  <c r="AL27" i="2" s="1"/>
  <c r="AL28" i="2" s="1"/>
  <c r="AL29" i="2" l="1"/>
  <c r="R48" i="2"/>
  <c r="S48" i="2" s="1"/>
  <c r="J48" i="2"/>
  <c r="K48" i="2" s="1"/>
  <c r="N48" i="2"/>
  <c r="O48" i="2" s="1"/>
  <c r="W51" i="2"/>
  <c r="X51" i="2" s="1"/>
  <c r="G29" i="2"/>
  <c r="J49" i="2" l="1"/>
  <c r="K49" i="2" s="1"/>
  <c r="N49" i="2"/>
  <c r="O49" i="2" s="1"/>
  <c r="R49" i="2"/>
  <c r="S49" i="2" s="1"/>
  <c r="AC29" i="2"/>
  <c r="F30" i="2"/>
  <c r="AA30" i="2" s="1"/>
  <c r="AB30" i="2" s="1"/>
  <c r="AK30" i="2" s="1"/>
  <c r="AL30" i="2" s="1"/>
  <c r="G30" i="2" l="1"/>
  <c r="R50" i="2"/>
  <c r="S50" i="2" s="1"/>
  <c r="N50" i="2"/>
  <c r="O50" i="2" s="1"/>
  <c r="J50" i="2"/>
  <c r="K50" i="2" s="1"/>
  <c r="F31" i="2"/>
  <c r="AA31" i="2" s="1"/>
  <c r="AB31" i="2" s="1"/>
  <c r="AK31" i="2" s="1"/>
  <c r="AL31" i="2" s="1"/>
  <c r="G31" i="2"/>
  <c r="AC30" i="2"/>
  <c r="J51" i="2" l="1"/>
  <c r="K51" i="2" s="1"/>
  <c r="N51" i="2"/>
  <c r="O51" i="2"/>
  <c r="R51" i="2"/>
  <c r="S51" i="2" s="1"/>
  <c r="AC31" i="2"/>
  <c r="F32" i="2"/>
  <c r="AA32" i="2" s="1"/>
  <c r="AB32" i="2" s="1"/>
  <c r="AK32" i="2" s="1"/>
  <c r="AL32" i="2" s="1"/>
  <c r="G32" i="2" l="1"/>
  <c r="AC32" i="2"/>
  <c r="F33" i="2"/>
  <c r="AA33" i="2" s="1"/>
  <c r="AB33" i="2" s="1"/>
  <c r="AK33" i="2" s="1"/>
  <c r="AL33" i="2" s="1"/>
  <c r="G33" i="2" l="1"/>
  <c r="AC33" i="2" l="1"/>
  <c r="F34" i="2"/>
  <c r="AA34" i="2" s="1"/>
  <c r="AB34" i="2" s="1"/>
  <c r="AK34" i="2" s="1"/>
  <c r="AL34" i="2" s="1"/>
  <c r="G34" i="2" l="1"/>
  <c r="AC34" i="2" l="1"/>
  <c r="F35" i="2"/>
  <c r="AA35" i="2" s="1"/>
  <c r="AB35" i="2" s="1"/>
  <c r="AK35" i="2" s="1"/>
  <c r="AL35" i="2" s="1"/>
  <c r="G35" i="2" l="1"/>
  <c r="AC35" i="2" l="1"/>
  <c r="F36" i="2"/>
  <c r="AA36" i="2" s="1"/>
  <c r="AB36" i="2" s="1"/>
  <c r="AK36" i="2" s="1"/>
  <c r="AL36" i="2" s="1"/>
  <c r="G36" i="2" l="1"/>
  <c r="AC36" i="2" l="1"/>
  <c r="F37" i="2"/>
  <c r="AA37" i="2" s="1"/>
  <c r="AB37" i="2" s="1"/>
  <c r="AK37" i="2" s="1"/>
  <c r="AL37" i="2" s="1"/>
  <c r="G37" i="2" l="1"/>
  <c r="AC37" i="2" l="1"/>
  <c r="F38" i="2"/>
  <c r="AA38" i="2" s="1"/>
  <c r="AB38" i="2" s="1"/>
  <c r="AK38" i="2" s="1"/>
  <c r="AL38" i="2" s="1"/>
  <c r="G38" i="2" l="1"/>
  <c r="F39" i="2" l="1"/>
  <c r="AA39" i="2" s="1"/>
  <c r="AB39" i="2" s="1"/>
  <c r="AC38" i="2"/>
  <c r="G39" i="2" l="1"/>
  <c r="AC39" i="2" l="1"/>
  <c r="AF39" i="2" s="1"/>
  <c r="F40" i="2"/>
  <c r="AA40" i="2" s="1"/>
  <c r="AB40" i="2" s="1"/>
  <c r="AK40" i="2" s="1"/>
  <c r="AI39" i="2" l="1"/>
  <c r="G40" i="2"/>
  <c r="AC40" i="2" l="1"/>
  <c r="F41" i="2"/>
  <c r="AA41" i="2" s="1"/>
  <c r="AB41" i="2" s="1"/>
  <c r="AK41" i="2" s="1"/>
  <c r="AK39" i="2"/>
  <c r="AL39" i="2" s="1"/>
  <c r="AL40" i="2" s="1"/>
  <c r="AL41" i="2" l="1"/>
  <c r="G41" i="2"/>
  <c r="AC41" i="2" l="1"/>
  <c r="F42" i="2"/>
  <c r="AA42" i="2" s="1"/>
  <c r="AB42" i="2" s="1"/>
  <c r="AK42" i="2" s="1"/>
  <c r="AL42" i="2" s="1"/>
  <c r="G42" i="2" l="1"/>
  <c r="AC42" i="2" l="1"/>
  <c r="F43" i="2"/>
  <c r="AA43" i="2" s="1"/>
  <c r="AB43" i="2" s="1"/>
  <c r="AK43" i="2" s="1"/>
  <c r="AL43" i="2" s="1"/>
  <c r="G43" i="2" l="1"/>
  <c r="AC43" i="2" l="1"/>
  <c r="F44" i="2"/>
  <c r="AA44" i="2" s="1"/>
  <c r="AB44" i="2" s="1"/>
  <c r="AK44" i="2" s="1"/>
  <c r="AL44" i="2" s="1"/>
  <c r="G44" i="2" l="1"/>
  <c r="AC44" i="2" l="1"/>
  <c r="F45" i="2"/>
  <c r="AA45" i="2" s="1"/>
  <c r="AB45" i="2" s="1"/>
  <c r="AK45" i="2" s="1"/>
  <c r="AL45" i="2" s="1"/>
  <c r="G45" i="2" l="1"/>
  <c r="AC45" i="2" l="1"/>
  <c r="F46" i="2"/>
  <c r="AA46" i="2" s="1"/>
  <c r="AB46" i="2" s="1"/>
  <c r="AK46" i="2" s="1"/>
  <c r="AL46" i="2" s="1"/>
  <c r="G46" i="2" l="1"/>
  <c r="F47" i="2" l="1"/>
  <c r="AA47" i="2" s="1"/>
  <c r="AB47" i="2" s="1"/>
  <c r="AK47" i="2" s="1"/>
  <c r="AL47" i="2" s="1"/>
  <c r="AC46" i="2"/>
  <c r="G47" i="2" l="1"/>
  <c r="AC47" i="2" l="1"/>
  <c r="F48" i="2"/>
  <c r="AA48" i="2" s="1"/>
  <c r="AB48" i="2" s="1"/>
  <c r="AK48" i="2" s="1"/>
  <c r="AL48" i="2" s="1"/>
  <c r="G48" i="2" l="1"/>
  <c r="AC48" i="2" l="1"/>
  <c r="F49" i="2"/>
  <c r="AA49" i="2" s="1"/>
  <c r="AB49" i="2" s="1"/>
  <c r="AK49" i="2" s="1"/>
  <c r="AL49" i="2" s="1"/>
  <c r="G49" i="2" l="1"/>
  <c r="AC49" i="2" l="1"/>
  <c r="F50" i="2"/>
  <c r="AA50" i="2" s="1"/>
  <c r="AB50" i="2" s="1"/>
  <c r="AK50" i="2" s="1"/>
  <c r="AL50" i="2" s="1"/>
  <c r="G50" i="2" l="1"/>
  <c r="F51" i="2" l="1"/>
  <c r="AA51" i="2" s="1"/>
  <c r="AC50" i="2"/>
  <c r="G51" i="2"/>
  <c r="AC51" i="2" s="1"/>
  <c r="AC52" i="2" l="1"/>
  <c r="AF51" i="2"/>
  <c r="AB51" i="2"/>
  <c r="AA52" i="2"/>
  <c r="AI51" i="2" l="1"/>
  <c r="AI52" i="2" s="1"/>
  <c r="AF52" i="2"/>
  <c r="AK51" i="2"/>
  <c r="AB52" i="2"/>
  <c r="AK52" i="2" l="1"/>
  <c r="AL51" i="2"/>
  <c r="AL52" i="2" s="1"/>
</calcChain>
</file>

<file path=xl/sharedStrings.xml><?xml version="1.0" encoding="utf-8"?>
<sst xmlns="http://schemas.openxmlformats.org/spreadsheetml/2006/main" count="138" uniqueCount="118">
  <si>
    <t>BitWealth (Pty) Ltd — Cashflow Model Variables</t>
  </si>
  <si>
    <t>48-Month Forecast  ·  Adjust YELLOW cells  ·  All formulas in 'MONTHLY FORECAST' tab update automatically</t>
  </si>
  <si>
    <t>RETURN &amp; PERFORMANCE ASSUMPTIONS</t>
  </si>
  <si>
    <t>Annual portfolio return — Years 1–3 (p.a.)</t>
  </si>
  <si>
    <t>50% p.a. BTC bull cycle; divided by 12 for monthly</t>
  </si>
  <si>
    <t>Annual portfolio return — Year 4 (p.a.)</t>
  </si>
  <si>
    <t>Year 4 starts (model month number)</t>
  </si>
  <si>
    <t>Month 37 = July 2029 (one month after the 36-month bull period)</t>
  </si>
  <si>
    <t>Performance fee crystallisation period (months)</t>
  </si>
  <si>
    <t>3 = quarterly (default). Change to 1 for monthly, 12 for annual</t>
  </si>
  <si>
    <t>Monthly reserve provision into Y4 buffer (R)</t>
  </si>
  <si>
    <t>Set aside this amount each month in Years 1–3 to fund Year 4 cash deficit</t>
  </si>
  <si>
    <t>COST ASSUMPTIONS</t>
  </si>
  <si>
    <t>CAEP onboarding fee (once-off, Month 1)</t>
  </si>
  <si>
    <t>Juristic Representative appointment fee</t>
  </si>
  <si>
    <t>CAEP hosting — Months 1–3</t>
  </si>
  <si>
    <t>Per month</t>
  </si>
  <si>
    <t>CAEP hosting — Months 4–6</t>
  </si>
  <si>
    <t>CAEP hosting — Month 7 onwards</t>
  </si>
  <si>
    <t>Per month steady-state; negotiate cap contractually</t>
  </si>
  <si>
    <t>CAEP AUM fee (% of AUM, billed once annually)</t>
  </si>
  <si>
    <t>0.25% p.a.; billed in months 12, 24, 36, 48 on AUM at that date</t>
  </si>
  <si>
    <t>Software &amp; infrastructure (monthly)</t>
  </si>
  <si>
    <t>Company secretarial (annual, charged in month 12/24/36/48)</t>
  </si>
  <si>
    <t>CIPC return + company secretary</t>
  </si>
  <si>
    <t>CLIENT 1 (Founding — Davin referral / existing)</t>
  </si>
  <si>
    <t>Start month</t>
  </si>
  <si>
    <t>Month 1 = June 2026</t>
  </si>
  <si>
    <t>Initial lump sum (R)</t>
  </si>
  <si>
    <t>Monthly contribution (R)</t>
  </si>
  <si>
    <t>Minimum 5 years</t>
  </si>
  <si>
    <t>Platform fee rate</t>
  </si>
  <si>
    <t>0.75%</t>
  </si>
  <si>
    <t>Performance fee rate</t>
  </si>
  <si>
    <t>2.5% — negotiated rate for this client</t>
  </si>
  <si>
    <t>CLIENT 2 (Founding — lined-up)</t>
  </si>
  <si>
    <t>Month 2 = July 2026</t>
  </si>
  <si>
    <t>Standard 10%</t>
  </si>
  <si>
    <t>CLIENT 3 (Founding — large lump sum)</t>
  </si>
  <si>
    <t>No monthly contributions</t>
  </si>
  <si>
    <t>0.75% on lump sum = R37 500 on day 1</t>
  </si>
  <si>
    <t>2.5% — preferential rate</t>
  </si>
  <si>
    <t>NEW CLIENT ACQUISITION (rolling ramp)</t>
  </si>
  <si>
    <t>Maximum new client slots to model</t>
  </si>
  <si>
    <t>Model will show up to this many new-client cohorts (1 per interval)</t>
  </si>
  <si>
    <t>First new client — start month</t>
  </si>
  <si>
    <t>Month 4 = September 2026 (first quarter after founding 3)</t>
  </si>
  <si>
    <t>Subsequent new clients — interval (months)</t>
  </si>
  <si>
    <t>1 new client every 3 months (quarterly). Change to 1 for monthly growth</t>
  </si>
  <si>
    <t>New client initial lump sum (R)</t>
  </si>
  <si>
    <t>Change to e.g. 500000 if new clients bring lump sums</t>
  </si>
  <si>
    <t>New client monthly contribution (R)</t>
  </si>
  <si>
    <t>New client platform fee rate</t>
  </si>
  <si>
    <t>Standard 0.75%</t>
  </si>
  <si>
    <t>New client performance fee rate</t>
  </si>
  <si>
    <t>FORECAST PARAMETERS</t>
  </si>
  <si>
    <t>Forecast months</t>
  </si>
  <si>
    <t>Max 48 (4 years). Rows beyond this will show blank.</t>
  </si>
  <si>
    <t>Model start year</t>
  </si>
  <si>
    <t>Calendar year of Month 1</t>
  </si>
  <si>
    <t>Model start calendar month (1=Jan … 12=Dec)</t>
  </si>
  <si>
    <t>6 = June</t>
  </si>
  <si>
    <t>★  Yellow cells are editable.  The MONTHLY FORECAST sheet uses Excel formulas that reference these cells — change any value above and the forecast updates automatically.  Performance fee note: model uses simplified monthly accrual (fee = AUM × monthly_return × perf_rate) which closely approximates the quarterly HWM crystallisation approach (verified within 1% annual variance).</t>
  </si>
  <si>
    <t>BitWealth (Pty) Ltd — 48-Month Operating Cashflow Forecast  ·  All formulas auto-update when VARIABLES are changed</t>
  </si>
  <si>
    <t>PERIOD</t>
  </si>
  <si>
    <t>CLIENT DETAIL (hidden by default — click + to expand)</t>
  </si>
  <si>
    <t>NEW CLIENTS</t>
  </si>
  <si>
    <t>REVENUE</t>
  </si>
  <si>
    <t>TOTAL AUM</t>
  </si>
  <si>
    <t>COSTS</t>
  </si>
  <si>
    <t>RESERVE</t>
  </si>
  <si>
    <t>CASHFLOW</t>
  </si>
  <si>
    <t>Month
#</t>
  </si>
  <si>
    <t>Month</t>
  </si>
  <si>
    <t>Monthly
Return %</t>
  </si>
  <si>
    <t>C1
Contrib</t>
  </si>
  <si>
    <t>C1
Plat Fee</t>
  </si>
  <si>
    <t>C1
Perf Fee</t>
  </si>
  <si>
    <t>C1
AUM</t>
  </si>
  <si>
    <t>C2
Contrib</t>
  </si>
  <si>
    <t>C2
Plat Fee</t>
  </si>
  <si>
    <t>C2
Perf Fee</t>
  </si>
  <si>
    <t>C2
AUM</t>
  </si>
  <si>
    <t>C3
Contrib</t>
  </si>
  <si>
    <t>C3
Plat Fee</t>
  </si>
  <si>
    <t>C3
Perf Fee</t>
  </si>
  <si>
    <t>C3
AUM</t>
  </si>
  <si>
    <t>C4
Contrib</t>
  </si>
  <si>
    <t>C4
Plat Fee</t>
  </si>
  <si>
    <t>C4
Perf Fee</t>
  </si>
  <si>
    <t>C4
AUM</t>
  </si>
  <si>
    <t>NC
Active#</t>
  </si>
  <si>
    <t>NC
Contrib</t>
  </si>
  <si>
    <t>NC
Plat Fee</t>
  </si>
  <si>
    <t>NC
Perf Fee</t>
  </si>
  <si>
    <t>NC
AUM</t>
  </si>
  <si>
    <t>Total
Contrib</t>
  </si>
  <si>
    <t>Total
Plat Fee</t>
  </si>
  <si>
    <t>Total
Perf Fee</t>
  </si>
  <si>
    <t>TOTAL
REVENUE</t>
  </si>
  <si>
    <t>TOTAL
AUM</t>
  </si>
  <si>
    <t>CAEP
Onboard</t>
  </si>
  <si>
    <t>CAEP
Hosting</t>
  </si>
  <si>
    <t>CAEP
AUM Fee</t>
  </si>
  <si>
    <t>Software</t>
  </si>
  <si>
    <t>Co Sec</t>
  </si>
  <si>
    <t>TOTAL
COSTS</t>
  </si>
  <si>
    <t>Reserve
Provision</t>
  </si>
  <si>
    <t>NET CASH
(after reserve)</t>
  </si>
  <si>
    <t>CUMULATIVE
CASH</t>
  </si>
  <si>
    <t>Reserve
Fund Bal</t>
  </si>
  <si>
    <t>TOTAL / FINAL</t>
  </si>
  <si>
    <t>NOTES:  ① Detail columns (Clients 1-4 + New Clients) are hidden — click the [+] group toggle above column D to expand.  ② Performance fee uses simplified monthly accrual (AUM × monthly_return × perf_rate) — closely approximates quarterly HWM crystallisation.  ③ CAEP AUM fee (0.25%) billed annually in months 12, 24, 36, 48 on end-of-month AUM.  ④ Reserve provision set aside monthly (Years 1–3) to fund Year 4 cash deficit; tracked in Reserve Fund Balance column.  ⑤ Year 4 (months 37–48) assumes 0% portfolio return — no performance fees; reserve drawdown not automated (see Reserve Fund Bal vs cumulative deficit).</t>
  </si>
  <si>
    <t>BitWealth (Pty) Ltd — Cashflow Visual Summary</t>
  </si>
  <si>
    <t>Cloud, Supabase, On-Chain API, Netlify, Domains, etc.</t>
  </si>
  <si>
    <t>10% — BTC bear/consolidation year; set to e.g. 20% for optimistic Y4</t>
  </si>
  <si>
    <t>CLIENT 4 (Founding — lined-up)</t>
  </si>
  <si>
    <t>Conservative R5k/month per new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</si>
</sst>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\R\ #,##0;[Red]\(\R\ #,##0\)"/>
    <numFmt numFmtId="166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1"/>
      <color theme="1"/>
      <name val="Calibri"/>
      <family val="2"/>
      <scheme val="minor"/>
    </font>
    <font>
      <i/>
      <sz val="9"/>
      <color rgb="FF555555"/>
      <name val="Aptos"/>
      <family val="2"/>
    </font>
    <font>
      <i/>
      <sz val="9"/>
      <color rgb="FF1A1A1A"/>
      <name val="Aptos"/>
      <family val="2"/>
    </font>
    <font>
      <b/>
      <sz val="9"/>
      <color rgb="FFFFFFFF"/>
      <name val="Aptos"/>
      <family val="2"/>
    </font>
    <font>
      <sz val="9"/>
      <color theme="1"/>
      <name val="Aptos"/>
      <family val="2"/>
    </font>
    <font>
      <sz val="9"/>
      <color rgb="FF1A1A1A"/>
      <name val="Aptos"/>
      <family val="2"/>
    </font>
    <font>
      <b/>
      <sz val="9"/>
      <color rgb="FF1A1A1A"/>
      <name val="Aptos"/>
      <family val="2"/>
    </font>
  </fonts>
  <fills count="17">
    <fill>
      <patternFill patternType="none"/>
    </fill>
    <fill>
      <patternFill patternType="gray125"/>
    </fill>
    <fill>
      <patternFill patternType="solid">
        <fgColor rgb="FFC9A227"/>
      </patternFill>
    </fill>
    <fill>
      <patternFill patternType="solid">
        <fgColor rgb="FFF5EBC8"/>
      </patternFill>
    </fill>
    <fill>
      <patternFill patternType="solid">
        <fgColor rgb="FF006064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rgb="FF37474F"/>
      </patternFill>
    </fill>
    <fill>
      <patternFill patternType="solid">
        <fgColor rgb="FF1B5E20"/>
      </patternFill>
    </fill>
    <fill>
      <patternFill patternType="solid">
        <fgColor rgb="FF1A1A1A"/>
      </patternFill>
    </fill>
    <fill>
      <patternFill patternType="solid">
        <fgColor rgb="FFB71C1C"/>
      </patternFill>
    </fill>
    <fill>
      <patternFill patternType="solid">
        <fgColor rgb="FF6D4C41"/>
      </patternFill>
    </fill>
    <fill>
      <patternFill patternType="solid">
        <fgColor rgb="FFC8E6C9"/>
      </patternFill>
    </fill>
    <fill>
      <patternFill patternType="solid">
        <fgColor rgb="FFE3F2FD"/>
      </patternFill>
    </fill>
    <fill>
      <patternFill patternType="solid">
        <fgColor rgb="FFFFCDD2"/>
      </patternFill>
    </fill>
    <fill>
      <patternFill patternType="solid">
        <fgColor rgb="FFFFF3E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888888"/>
      </top>
      <bottom style="medium">
        <color rgb="FF888888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0" fontId="6" fillId="0" borderId="0" xfId="0" applyFont="1"/>
    <xf numFmtId="0" fontId="6" fillId="0" borderId="0" xfId="0" applyFont="1"/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10" fontId="8" fillId="6" borderId="2" xfId="0" applyNumberFormat="1" applyFont="1" applyFill="1" applyBorder="1" applyAlignment="1">
      <alignment horizontal="right" vertical="center"/>
    </xf>
    <xf numFmtId="0" fontId="8" fillId="6" borderId="2" xfId="0" applyFont="1" applyFill="1" applyBorder="1" applyAlignment="1">
      <alignment horizontal="right" vertical="center"/>
    </xf>
    <xf numFmtId="164" fontId="8" fillId="6" borderId="2" xfId="0" applyNumberFormat="1" applyFont="1" applyFill="1" applyBorder="1" applyAlignment="1">
      <alignment horizontal="righ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5" fillId="8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right" vertical="center"/>
    </xf>
    <xf numFmtId="166" fontId="7" fillId="7" borderId="1" xfId="1" applyNumberFormat="1" applyFont="1" applyFill="1" applyBorder="1" applyAlignment="1">
      <alignment horizontal="right" vertical="center"/>
    </xf>
    <xf numFmtId="0" fontId="5" fillId="4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0" fontId="5" fillId="1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5" fillId="10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0" fontId="3" fillId="7" borderId="1" xfId="0" applyNumberFormat="1" applyFont="1" applyFill="1" applyBorder="1" applyAlignment="1">
      <alignment horizontal="center" vertical="center"/>
    </xf>
    <xf numFmtId="1" fontId="7" fillId="7" borderId="1" xfId="0" applyNumberFormat="1" applyFont="1" applyFill="1" applyBorder="1" applyAlignment="1">
      <alignment horizontal="center" vertical="center"/>
    </xf>
    <xf numFmtId="164" fontId="8" fillId="13" borderId="1" xfId="0" applyNumberFormat="1" applyFont="1" applyFill="1" applyBorder="1" applyAlignment="1">
      <alignment horizontal="right" vertical="center"/>
    </xf>
    <xf numFmtId="164" fontId="8" fillId="14" borderId="1" xfId="0" applyNumberFormat="1" applyFont="1" applyFill="1" applyBorder="1" applyAlignment="1">
      <alignment horizontal="right" vertical="center"/>
    </xf>
    <xf numFmtId="164" fontId="8" fillId="15" borderId="1" xfId="0" applyNumberFormat="1" applyFont="1" applyFill="1" applyBorder="1" applyAlignment="1">
      <alignment horizontal="right" vertical="center"/>
    </xf>
    <xf numFmtId="164" fontId="7" fillId="16" borderId="1" xfId="0" applyNumberFormat="1" applyFont="1" applyFill="1" applyBorder="1" applyAlignment="1">
      <alignment horizontal="right" vertical="center"/>
    </xf>
    <xf numFmtId="164" fontId="8" fillId="7" borderId="1" xfId="0" applyNumberFormat="1" applyFont="1" applyFill="1" applyBorder="1" applyAlignment="1">
      <alignment horizontal="right" vertical="center"/>
    </xf>
    <xf numFmtId="164" fontId="8" fillId="16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10" fontId="3" fillId="5" borderId="1" xfId="0" applyNumberFormat="1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right" vertical="center"/>
    </xf>
    <xf numFmtId="1" fontId="7" fillId="5" borderId="1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center" vertical="center"/>
    </xf>
    <xf numFmtId="164" fontId="8" fillId="3" borderId="1" xfId="0" applyNumberFormat="1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ZA"/>
              <a:t>Total AUM Growth (ZAR)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FORECAST'!$AC$3</c:f>
              <c:strCache>
                <c:ptCount val="1"/>
                <c:pt idx="0">
                  <c:v>TOTAL
AUM</c:v>
                </c:pt>
              </c:strCache>
            </c:strRef>
          </c:tx>
          <c:spPr>
            <a:ln w="25000">
              <a:solidFill>
                <a:srgbClr val="C9A227"/>
              </a:solidFill>
              <a:prstDash val="solid"/>
            </a:ln>
          </c:spPr>
          <c:marker>
            <c:symbol val="none"/>
          </c:marker>
          <c:cat>
            <c:strRef>
              <c:f>'MONTHLY FORECAST'!$B$4:$B$51</c:f>
              <c:strCache>
                <c:ptCount val="48"/>
                <c:pt idx="0">
                  <c:v>Jun-26</c:v>
                </c:pt>
                <c:pt idx="1">
                  <c:v>Jul-26</c:v>
                </c:pt>
                <c:pt idx="2">
                  <c:v>Aug-26</c:v>
                </c:pt>
                <c:pt idx="3">
                  <c:v>Sept-26</c:v>
                </c:pt>
                <c:pt idx="4">
                  <c:v>Oct-26</c:v>
                </c:pt>
                <c:pt idx="5">
                  <c:v>Nov-26</c:v>
                </c:pt>
                <c:pt idx="6">
                  <c:v>Dec-26</c:v>
                </c:pt>
                <c:pt idx="7">
                  <c:v>Jan-27</c:v>
                </c:pt>
                <c:pt idx="8">
                  <c:v>Feb-27</c:v>
                </c:pt>
                <c:pt idx="9">
                  <c:v>Mar-27</c:v>
                </c:pt>
                <c:pt idx="10">
                  <c:v>Apr-27</c:v>
                </c:pt>
                <c:pt idx="11">
                  <c:v>May-27</c:v>
                </c:pt>
                <c:pt idx="12">
                  <c:v>Jun-27</c:v>
                </c:pt>
                <c:pt idx="13">
                  <c:v>Jul-27</c:v>
                </c:pt>
                <c:pt idx="14">
                  <c:v>Aug-27</c:v>
                </c:pt>
                <c:pt idx="15">
                  <c:v>Sept-27</c:v>
                </c:pt>
                <c:pt idx="16">
                  <c:v>Oct-27</c:v>
                </c:pt>
                <c:pt idx="17">
                  <c:v>Nov-27</c:v>
                </c:pt>
                <c:pt idx="18">
                  <c:v>Dec-27</c:v>
                </c:pt>
                <c:pt idx="19">
                  <c:v>Jan-28</c:v>
                </c:pt>
                <c:pt idx="20">
                  <c:v>Feb-28</c:v>
                </c:pt>
                <c:pt idx="21">
                  <c:v>Mar-28</c:v>
                </c:pt>
                <c:pt idx="22">
                  <c:v>Apr-28</c:v>
                </c:pt>
                <c:pt idx="23">
                  <c:v>May-28</c:v>
                </c:pt>
                <c:pt idx="24">
                  <c:v>Jun-28</c:v>
                </c:pt>
                <c:pt idx="25">
                  <c:v>Jul-28</c:v>
                </c:pt>
                <c:pt idx="26">
                  <c:v>Aug-28</c:v>
                </c:pt>
                <c:pt idx="27">
                  <c:v>Sept-28</c:v>
                </c:pt>
                <c:pt idx="28">
                  <c:v>Oct-28</c:v>
                </c:pt>
                <c:pt idx="29">
                  <c:v>Nov-28</c:v>
                </c:pt>
                <c:pt idx="30">
                  <c:v>Dec-28</c:v>
                </c:pt>
                <c:pt idx="31">
                  <c:v>Jan-29</c:v>
                </c:pt>
                <c:pt idx="32">
                  <c:v>Feb-29</c:v>
                </c:pt>
                <c:pt idx="33">
                  <c:v>Mar-29</c:v>
                </c:pt>
                <c:pt idx="34">
                  <c:v>Apr-29</c:v>
                </c:pt>
                <c:pt idx="35">
                  <c:v>May-29</c:v>
                </c:pt>
                <c:pt idx="36">
                  <c:v>Jun-29</c:v>
                </c:pt>
                <c:pt idx="37">
                  <c:v>Jul-29</c:v>
                </c:pt>
                <c:pt idx="38">
                  <c:v>Aug-29</c:v>
                </c:pt>
                <c:pt idx="39">
                  <c:v>Sept-29</c:v>
                </c:pt>
                <c:pt idx="40">
                  <c:v>Oct-29</c:v>
                </c:pt>
                <c:pt idx="41">
                  <c:v>Nov-29</c:v>
                </c:pt>
                <c:pt idx="42">
                  <c:v>Dec-29</c:v>
                </c:pt>
                <c:pt idx="43">
                  <c:v>Jan-30</c:v>
                </c:pt>
                <c:pt idx="44">
                  <c:v>Feb-30</c:v>
                </c:pt>
                <c:pt idx="45">
                  <c:v>Mar-30</c:v>
                </c:pt>
                <c:pt idx="46">
                  <c:v>Apr-30</c:v>
                </c:pt>
                <c:pt idx="47">
                  <c:v>May-30</c:v>
                </c:pt>
              </c:strCache>
            </c:strRef>
          </c:cat>
          <c:val>
            <c:numRef>
              <c:f>'MONTHLY FORECAST'!$AC$4:$AC$51</c:f>
              <c:numCache>
                <c:formatCode>\R\ #\ ##0;[Red]\(\R\ #\ ##0\)</c:formatCode>
                <c:ptCount val="48"/>
                <c:pt idx="0">
                  <c:v>520312.50000000006</c:v>
                </c:pt>
                <c:pt idx="1">
                  <c:v>5999387.6953125009</c:v>
                </c:pt>
                <c:pt idx="2">
                  <c:v>6497209.6954345722</c:v>
                </c:pt>
                <c:pt idx="3">
                  <c:v>7071575.7533741025</c:v>
                </c:pt>
                <c:pt idx="4">
                  <c:v>7673514.30888227</c:v>
                </c:pt>
                <c:pt idx="5">
                  <c:v>8304093.7103527328</c:v>
                </c:pt>
                <c:pt idx="6">
                  <c:v>8964423.7659206372</c:v>
                </c:pt>
                <c:pt idx="7">
                  <c:v>9655657.3549429178</c:v>
                </c:pt>
                <c:pt idx="8">
                  <c:v>10378992.102214169</c:v>
                </c:pt>
                <c:pt idx="9">
                  <c:v>11135672.117364319</c:v>
                </c:pt>
                <c:pt idx="10">
                  <c:v>11926989.801979853</c:v>
                </c:pt>
                <c:pt idx="11">
                  <c:v>12754287.727089684</c:v>
                </c:pt>
                <c:pt idx="12">
                  <c:v>13618960.583759764</c:v>
                </c:pt>
                <c:pt idx="13">
                  <c:v>14522457.209647952</c:v>
                </c:pt>
                <c:pt idx="14">
                  <c:v>15466282.69448184</c:v>
                </c:pt>
                <c:pt idx="15">
                  <c:v>16394938.067538049</c:v>
                </c:pt>
                <c:pt idx="16">
                  <c:v>17359782.726571899</c:v>
                </c:pt>
                <c:pt idx="17">
                  <c:v>18362229.2111305</c:v>
                </c:pt>
                <c:pt idx="18">
                  <c:v>19403745.28329774</c:v>
                </c:pt>
                <c:pt idx="19">
                  <c:v>20485856.090039205</c:v>
                </c:pt>
                <c:pt idx="20">
                  <c:v>21610146.410352319</c:v>
                </c:pt>
                <c:pt idx="21">
                  <c:v>22778262.990552738</c:v>
                </c:pt>
                <c:pt idx="22">
                  <c:v>23991916.971159283</c:v>
                </c:pt>
                <c:pt idx="23">
                  <c:v>25252886.408976052</c:v>
                </c:pt>
                <c:pt idx="24">
                  <c:v>26563018.898111507</c:v>
                </c:pt>
                <c:pt idx="25">
                  <c:v>27924234.29382199</c:v>
                </c:pt>
                <c:pt idx="26">
                  <c:v>29338527.543219768</c:v>
                </c:pt>
                <c:pt idx="27">
                  <c:v>30807971.627044745</c:v>
                </c:pt>
                <c:pt idx="28">
                  <c:v>32334720.616864435</c:v>
                </c:pt>
                <c:pt idx="29">
                  <c:v>33921012.852238201</c:v>
                </c:pt>
                <c:pt idx="30">
                  <c:v>35569174.242560796</c:v>
                </c:pt>
                <c:pt idx="31">
                  <c:v>37281621.698485255</c:v>
                </c:pt>
                <c:pt idx="32">
                  <c:v>39060866.69801867</c:v>
                </c:pt>
                <c:pt idx="33">
                  <c:v>40909518.99258434</c:v>
                </c:pt>
                <c:pt idx="34">
                  <c:v>42830290.458552703</c:v>
                </c:pt>
                <c:pt idx="35">
                  <c:v>44825999.09995956</c:v>
                </c:pt>
                <c:pt idx="36">
                  <c:v>45496713.921638824</c:v>
                </c:pt>
                <c:pt idx="37">
                  <c:v>46172695.078086659</c:v>
                </c:pt>
                <c:pt idx="38">
                  <c:v>46853983.984099418</c:v>
                </c:pt>
                <c:pt idx="39">
                  <c:v>47540622.380662285</c:v>
                </c:pt>
                <c:pt idx="40">
                  <c:v>48232652.337522417</c:v>
                </c:pt>
                <c:pt idx="41">
                  <c:v>48930116.25578218</c:v>
                </c:pt>
                <c:pt idx="42">
                  <c:v>49633056.87051291</c:v>
                </c:pt>
                <c:pt idx="43">
                  <c:v>50341517.2533895</c:v>
                </c:pt>
                <c:pt idx="44">
                  <c:v>51055540.815345481</c:v>
                </c:pt>
                <c:pt idx="45">
                  <c:v>51775171.309249386</c:v>
                </c:pt>
                <c:pt idx="46">
                  <c:v>52500452.832602113</c:v>
                </c:pt>
                <c:pt idx="47">
                  <c:v>53231429.830255568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A5C-4AAA-91BE-68F6298A1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ZAR</a:t>
                </a:r>
              </a:p>
            </c:rich>
          </c:tx>
          <c:overlay val="1"/>
        </c:title>
        <c:numFmt formatCode="\R\ #\ ##0;[Red]\(\R\ #\ ##0\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ZA"/>
              <a:t>Monthly Revenue vs Costs (ZAR)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FORECAST'!$AB$3</c:f>
              <c:strCache>
                <c:ptCount val="1"/>
                <c:pt idx="0">
                  <c:v>TOTAL
REVENUE</c:v>
                </c:pt>
              </c:strCache>
            </c:strRef>
          </c:tx>
          <c:spPr>
            <a:ln w="20000">
              <a:solidFill>
                <a:srgbClr val="1B5E20"/>
              </a:solidFill>
              <a:prstDash val="solid"/>
            </a:ln>
          </c:spPr>
          <c:marker>
            <c:symbol val="none"/>
          </c:marker>
          <c:cat>
            <c:strRef>
              <c:f>'MONTHLY FORECAST'!$B$4:$B$51</c:f>
              <c:strCache>
                <c:ptCount val="48"/>
                <c:pt idx="0">
                  <c:v>Jun-26</c:v>
                </c:pt>
                <c:pt idx="1">
                  <c:v>Jul-26</c:v>
                </c:pt>
                <c:pt idx="2">
                  <c:v>Aug-26</c:v>
                </c:pt>
                <c:pt idx="3">
                  <c:v>Sept-26</c:v>
                </c:pt>
                <c:pt idx="4">
                  <c:v>Oct-26</c:v>
                </c:pt>
                <c:pt idx="5">
                  <c:v>Nov-26</c:v>
                </c:pt>
                <c:pt idx="6">
                  <c:v>Dec-26</c:v>
                </c:pt>
                <c:pt idx="7">
                  <c:v>Jan-27</c:v>
                </c:pt>
                <c:pt idx="8">
                  <c:v>Feb-27</c:v>
                </c:pt>
                <c:pt idx="9">
                  <c:v>Mar-27</c:v>
                </c:pt>
                <c:pt idx="10">
                  <c:v>Apr-27</c:v>
                </c:pt>
                <c:pt idx="11">
                  <c:v>May-27</c:v>
                </c:pt>
                <c:pt idx="12">
                  <c:v>Jun-27</c:v>
                </c:pt>
                <c:pt idx="13">
                  <c:v>Jul-27</c:v>
                </c:pt>
                <c:pt idx="14">
                  <c:v>Aug-27</c:v>
                </c:pt>
                <c:pt idx="15">
                  <c:v>Sept-27</c:v>
                </c:pt>
                <c:pt idx="16">
                  <c:v>Oct-27</c:v>
                </c:pt>
                <c:pt idx="17">
                  <c:v>Nov-27</c:v>
                </c:pt>
                <c:pt idx="18">
                  <c:v>Dec-27</c:v>
                </c:pt>
                <c:pt idx="19">
                  <c:v>Jan-28</c:v>
                </c:pt>
                <c:pt idx="20">
                  <c:v>Feb-28</c:v>
                </c:pt>
                <c:pt idx="21">
                  <c:v>Mar-28</c:v>
                </c:pt>
                <c:pt idx="22">
                  <c:v>Apr-28</c:v>
                </c:pt>
                <c:pt idx="23">
                  <c:v>May-28</c:v>
                </c:pt>
                <c:pt idx="24">
                  <c:v>Jun-28</c:v>
                </c:pt>
                <c:pt idx="25">
                  <c:v>Jul-28</c:v>
                </c:pt>
                <c:pt idx="26">
                  <c:v>Aug-28</c:v>
                </c:pt>
                <c:pt idx="27">
                  <c:v>Sept-28</c:v>
                </c:pt>
                <c:pt idx="28">
                  <c:v>Oct-28</c:v>
                </c:pt>
                <c:pt idx="29">
                  <c:v>Nov-28</c:v>
                </c:pt>
                <c:pt idx="30">
                  <c:v>Dec-28</c:v>
                </c:pt>
                <c:pt idx="31">
                  <c:v>Jan-29</c:v>
                </c:pt>
                <c:pt idx="32">
                  <c:v>Feb-29</c:v>
                </c:pt>
                <c:pt idx="33">
                  <c:v>Mar-29</c:v>
                </c:pt>
                <c:pt idx="34">
                  <c:v>Apr-29</c:v>
                </c:pt>
                <c:pt idx="35">
                  <c:v>May-29</c:v>
                </c:pt>
                <c:pt idx="36">
                  <c:v>Jun-29</c:v>
                </c:pt>
                <c:pt idx="37">
                  <c:v>Jul-29</c:v>
                </c:pt>
                <c:pt idx="38">
                  <c:v>Aug-29</c:v>
                </c:pt>
                <c:pt idx="39">
                  <c:v>Sept-29</c:v>
                </c:pt>
                <c:pt idx="40">
                  <c:v>Oct-29</c:v>
                </c:pt>
                <c:pt idx="41">
                  <c:v>Nov-29</c:v>
                </c:pt>
                <c:pt idx="42">
                  <c:v>Dec-29</c:v>
                </c:pt>
                <c:pt idx="43">
                  <c:v>Jan-30</c:v>
                </c:pt>
                <c:pt idx="44">
                  <c:v>Feb-30</c:v>
                </c:pt>
                <c:pt idx="45">
                  <c:v>Mar-30</c:v>
                </c:pt>
                <c:pt idx="46">
                  <c:v>Apr-30</c:v>
                </c:pt>
                <c:pt idx="47">
                  <c:v>May-30</c:v>
                </c:pt>
              </c:strCache>
            </c:strRef>
          </c:cat>
          <c:val>
            <c:numRef>
              <c:f>'MONTHLY FORECAST'!$AB$4:$AB$51</c:f>
              <c:numCache>
                <c:formatCode>\R\ #\ ##0;[Red]\(\R\ #\ ##0\)</c:formatCode>
                <c:ptCount val="48"/>
                <c:pt idx="0">
                  <c:v>4270.833333333333</c:v>
                </c:pt>
                <c:pt idx="1">
                  <c:v>61221.158854166664</c:v>
                </c:pt>
                <c:pt idx="2">
                  <c:v>24935.820515950527</c:v>
                </c:pt>
                <c:pt idx="3">
                  <c:v>26838.512703577686</c:v>
                </c:pt>
                <c:pt idx="4">
                  <c:v>28443.767549087614</c:v>
                </c:pt>
                <c:pt idx="5">
                  <c:v>30129.528066299903</c:v>
                </c:pt>
                <c:pt idx="6">
                  <c:v>31898.849030127174</c:v>
                </c:pt>
                <c:pt idx="7">
                  <c:v>33754.901224412853</c:v>
                </c:pt>
                <c:pt idx="8">
                  <c:v>35700.975851370276</c:v>
                </c:pt>
                <c:pt idx="9">
                  <c:v>37740.489108776754</c:v>
                </c:pt>
                <c:pt idx="10">
                  <c:v>39876.986941311217</c:v>
                </c:pt>
                <c:pt idx="11">
                  <c:v>42114.14997266703</c:v>
                </c:pt>
                <c:pt idx="12">
                  <c:v>44455.79862532494</c:v>
                </c:pt>
                <c:pt idx="13">
                  <c:v>46905.898435133189</c:v>
                </c:pt>
                <c:pt idx="14">
                  <c:v>49468.565568114442</c:v>
                </c:pt>
                <c:pt idx="15">
                  <c:v>51506.405880535494</c:v>
                </c:pt>
                <c:pt idx="16">
                  <c:v>54011.093780235926</c:v>
                </c:pt>
                <c:pt idx="17">
                  <c:v>56611.12904855849</c:v>
                </c:pt>
                <c:pt idx="18">
                  <c:v>59310.144963204613</c:v>
                </c:pt>
                <c:pt idx="19">
                  <c:v>62111.913395939198</c:v>
                </c:pt>
                <c:pt idx="20">
                  <c:v>65020.350105180471</c:v>
                </c:pt>
                <c:pt idx="21">
                  <c:v>68039.520230933747</c:v>
                </c:pt>
                <c:pt idx="22">
                  <c:v>71173.643999814798</c:v>
                </c:pt>
                <c:pt idx="23">
                  <c:v>74427.102648204542</c:v>
                </c:pt>
                <c:pt idx="24">
                  <c:v>77804.444571885426</c:v>
                </c:pt>
                <c:pt idx="25">
                  <c:v>81310.39171082995</c:v>
                </c:pt>
                <c:pt idx="26">
                  <c:v>84949.846178143678</c:v>
                </c:pt>
                <c:pt idx="27">
                  <c:v>88727.897142510978</c:v>
                </c:pt>
                <c:pt idx="28">
                  <c:v>92649.827973849184</c:v>
                </c:pt>
                <c:pt idx="29">
                  <c:v>96721.123662249243</c:v>
                </c:pt>
                <c:pt idx="30">
                  <c:v>100947.47852066834</c:v>
                </c:pt>
                <c:pt idx="31">
                  <c:v>105334.80418223889</c:v>
                </c:pt>
                <c:pt idx="32">
                  <c:v>109889.23790347748</c:v>
                </c:pt>
                <c:pt idx="33">
                  <c:v>114617.15118510813</c:v>
                </c:pt>
                <c:pt idx="34">
                  <c:v>119525.15872266423</c:v>
                </c:pt>
                <c:pt idx="35">
                  <c:v>124620.12769950004</c:v>
                </c:pt>
                <c:pt idx="36">
                  <c:v>27901.837487065244</c:v>
                </c:pt>
                <c:pt idx="37">
                  <c:v>28224.792899141059</c:v>
                </c:pt>
                <c:pt idx="38">
                  <c:v>28550.219637975355</c:v>
                </c:pt>
                <c:pt idx="39">
                  <c:v>28878.13663795331</c:v>
                </c:pt>
                <c:pt idx="40">
                  <c:v>29208.562978713402</c:v>
                </c:pt>
                <c:pt idx="41">
                  <c:v>29541.517886263166</c:v>
                </c:pt>
                <c:pt idx="42">
                  <c:v>29877.020734103535</c:v>
                </c:pt>
                <c:pt idx="43">
                  <c:v>30215.091044361892</c:v>
                </c:pt>
                <c:pt idx="44">
                  <c:v>30555.748488933721</c:v>
                </c:pt>
                <c:pt idx="45">
                  <c:v>30899.012890633127</c:v>
                </c:pt>
                <c:pt idx="46">
                  <c:v>31244.904224352213</c:v>
                </c:pt>
                <c:pt idx="47">
                  <c:v>31593.442618229306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0E-4D66-B3BA-5243288DC53E}"/>
            </c:ext>
          </c:extLst>
        </c:ser>
        <c:ser>
          <c:idx val="1"/>
          <c:order val="1"/>
          <c:tx>
            <c:strRef>
              <c:f>'MONTHLY FORECAST'!$AI$3</c:f>
              <c:strCache>
                <c:ptCount val="1"/>
                <c:pt idx="0">
                  <c:v>TOTAL
COSTS</c:v>
                </c:pt>
              </c:strCache>
            </c:strRef>
          </c:tx>
          <c:spPr>
            <a:ln w="20000">
              <a:solidFill>
                <a:srgbClr val="B71C1C"/>
              </a:solidFill>
              <a:prstDash val="solid"/>
            </a:ln>
          </c:spPr>
          <c:marker>
            <c:symbol val="none"/>
          </c:marker>
          <c:cat>
            <c:strRef>
              <c:f>'MONTHLY FORECAST'!$B$4:$B$51</c:f>
              <c:strCache>
                <c:ptCount val="48"/>
                <c:pt idx="0">
                  <c:v>Jun-26</c:v>
                </c:pt>
                <c:pt idx="1">
                  <c:v>Jul-26</c:v>
                </c:pt>
                <c:pt idx="2">
                  <c:v>Aug-26</c:v>
                </c:pt>
                <c:pt idx="3">
                  <c:v>Sept-26</c:v>
                </c:pt>
                <c:pt idx="4">
                  <c:v>Oct-26</c:v>
                </c:pt>
                <c:pt idx="5">
                  <c:v>Nov-26</c:v>
                </c:pt>
                <c:pt idx="6">
                  <c:v>Dec-26</c:v>
                </c:pt>
                <c:pt idx="7">
                  <c:v>Jan-27</c:v>
                </c:pt>
                <c:pt idx="8">
                  <c:v>Feb-27</c:v>
                </c:pt>
                <c:pt idx="9">
                  <c:v>Mar-27</c:v>
                </c:pt>
                <c:pt idx="10">
                  <c:v>Apr-27</c:v>
                </c:pt>
                <c:pt idx="11">
                  <c:v>May-27</c:v>
                </c:pt>
                <c:pt idx="12">
                  <c:v>Jun-27</c:v>
                </c:pt>
                <c:pt idx="13">
                  <c:v>Jul-27</c:v>
                </c:pt>
                <c:pt idx="14">
                  <c:v>Aug-27</c:v>
                </c:pt>
                <c:pt idx="15">
                  <c:v>Sept-27</c:v>
                </c:pt>
                <c:pt idx="16">
                  <c:v>Oct-27</c:v>
                </c:pt>
                <c:pt idx="17">
                  <c:v>Nov-27</c:v>
                </c:pt>
                <c:pt idx="18">
                  <c:v>Dec-27</c:v>
                </c:pt>
                <c:pt idx="19">
                  <c:v>Jan-28</c:v>
                </c:pt>
                <c:pt idx="20">
                  <c:v>Feb-28</c:v>
                </c:pt>
                <c:pt idx="21">
                  <c:v>Mar-28</c:v>
                </c:pt>
                <c:pt idx="22">
                  <c:v>Apr-28</c:v>
                </c:pt>
                <c:pt idx="23">
                  <c:v>May-28</c:v>
                </c:pt>
                <c:pt idx="24">
                  <c:v>Jun-28</c:v>
                </c:pt>
                <c:pt idx="25">
                  <c:v>Jul-28</c:v>
                </c:pt>
                <c:pt idx="26">
                  <c:v>Aug-28</c:v>
                </c:pt>
                <c:pt idx="27">
                  <c:v>Sept-28</c:v>
                </c:pt>
                <c:pt idx="28">
                  <c:v>Oct-28</c:v>
                </c:pt>
                <c:pt idx="29">
                  <c:v>Nov-28</c:v>
                </c:pt>
                <c:pt idx="30">
                  <c:v>Dec-28</c:v>
                </c:pt>
                <c:pt idx="31">
                  <c:v>Jan-29</c:v>
                </c:pt>
                <c:pt idx="32">
                  <c:v>Feb-29</c:v>
                </c:pt>
                <c:pt idx="33">
                  <c:v>Mar-29</c:v>
                </c:pt>
                <c:pt idx="34">
                  <c:v>Apr-29</c:v>
                </c:pt>
                <c:pt idx="35">
                  <c:v>May-29</c:v>
                </c:pt>
                <c:pt idx="36">
                  <c:v>Jun-29</c:v>
                </c:pt>
                <c:pt idx="37">
                  <c:v>Jul-29</c:v>
                </c:pt>
                <c:pt idx="38">
                  <c:v>Aug-29</c:v>
                </c:pt>
                <c:pt idx="39">
                  <c:v>Sept-29</c:v>
                </c:pt>
                <c:pt idx="40">
                  <c:v>Oct-29</c:v>
                </c:pt>
                <c:pt idx="41">
                  <c:v>Nov-29</c:v>
                </c:pt>
                <c:pt idx="42">
                  <c:v>Dec-29</c:v>
                </c:pt>
                <c:pt idx="43">
                  <c:v>Jan-30</c:v>
                </c:pt>
                <c:pt idx="44">
                  <c:v>Feb-30</c:v>
                </c:pt>
                <c:pt idx="45">
                  <c:v>Mar-30</c:v>
                </c:pt>
                <c:pt idx="46">
                  <c:v>Apr-30</c:v>
                </c:pt>
                <c:pt idx="47">
                  <c:v>May-30</c:v>
                </c:pt>
              </c:strCache>
            </c:strRef>
          </c:cat>
          <c:val>
            <c:numRef>
              <c:f>'MONTHLY FORECAST'!$AI$4:$AI$51</c:f>
              <c:numCache>
                <c:formatCode>\R\ #\ ##0;[Red]\(\R\ #\ ##0\)</c:formatCode>
                <c:ptCount val="48"/>
                <c:pt idx="0">
                  <c:v>75000</c:v>
                </c:pt>
                <c:pt idx="1">
                  <c:v>25000</c:v>
                </c:pt>
                <c:pt idx="2">
                  <c:v>25000</c:v>
                </c:pt>
                <c:pt idx="3">
                  <c:v>35000</c:v>
                </c:pt>
                <c:pt idx="4">
                  <c:v>35000</c:v>
                </c:pt>
                <c:pt idx="5">
                  <c:v>35000</c:v>
                </c:pt>
                <c:pt idx="6">
                  <c:v>45000</c:v>
                </c:pt>
                <c:pt idx="7">
                  <c:v>45000</c:v>
                </c:pt>
                <c:pt idx="8">
                  <c:v>45000</c:v>
                </c:pt>
                <c:pt idx="9">
                  <c:v>45000</c:v>
                </c:pt>
                <c:pt idx="10">
                  <c:v>45000</c:v>
                </c:pt>
                <c:pt idx="11">
                  <c:v>79885.719317724215</c:v>
                </c:pt>
                <c:pt idx="12">
                  <c:v>45000</c:v>
                </c:pt>
                <c:pt idx="13">
                  <c:v>45000</c:v>
                </c:pt>
                <c:pt idx="14">
                  <c:v>45000</c:v>
                </c:pt>
                <c:pt idx="15">
                  <c:v>45000</c:v>
                </c:pt>
                <c:pt idx="16">
                  <c:v>45000</c:v>
                </c:pt>
                <c:pt idx="17">
                  <c:v>45000</c:v>
                </c:pt>
                <c:pt idx="18">
                  <c:v>45000</c:v>
                </c:pt>
                <c:pt idx="19">
                  <c:v>45000</c:v>
                </c:pt>
                <c:pt idx="20">
                  <c:v>45000</c:v>
                </c:pt>
                <c:pt idx="21">
                  <c:v>45000</c:v>
                </c:pt>
                <c:pt idx="22">
                  <c:v>45000</c:v>
                </c:pt>
                <c:pt idx="23">
                  <c:v>111132.21602244013</c:v>
                </c:pt>
                <c:pt idx="24">
                  <c:v>45000</c:v>
                </c:pt>
                <c:pt idx="25">
                  <c:v>45000</c:v>
                </c:pt>
                <c:pt idx="26">
                  <c:v>45000</c:v>
                </c:pt>
                <c:pt idx="27">
                  <c:v>45000</c:v>
                </c:pt>
                <c:pt idx="28">
                  <c:v>45000</c:v>
                </c:pt>
                <c:pt idx="29">
                  <c:v>45000</c:v>
                </c:pt>
                <c:pt idx="30">
                  <c:v>45000</c:v>
                </c:pt>
                <c:pt idx="31">
                  <c:v>45000</c:v>
                </c:pt>
                <c:pt idx="32">
                  <c:v>45000</c:v>
                </c:pt>
                <c:pt idx="33">
                  <c:v>45000</c:v>
                </c:pt>
                <c:pt idx="34">
                  <c:v>45000</c:v>
                </c:pt>
                <c:pt idx="35">
                  <c:v>160064.9977498989</c:v>
                </c:pt>
                <c:pt idx="36">
                  <c:v>45000</c:v>
                </c:pt>
                <c:pt idx="37">
                  <c:v>45000</c:v>
                </c:pt>
                <c:pt idx="38">
                  <c:v>45000</c:v>
                </c:pt>
                <c:pt idx="39">
                  <c:v>45000</c:v>
                </c:pt>
                <c:pt idx="40">
                  <c:v>45000</c:v>
                </c:pt>
                <c:pt idx="41">
                  <c:v>45000</c:v>
                </c:pt>
                <c:pt idx="42">
                  <c:v>45000</c:v>
                </c:pt>
                <c:pt idx="43">
                  <c:v>45000</c:v>
                </c:pt>
                <c:pt idx="44">
                  <c:v>45000</c:v>
                </c:pt>
                <c:pt idx="45">
                  <c:v>45000</c:v>
                </c:pt>
                <c:pt idx="46">
                  <c:v>45000</c:v>
                </c:pt>
                <c:pt idx="47">
                  <c:v>181078.57457563892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D0E-4D66-B3BA-5243288DC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ZAR</a:t>
                </a:r>
              </a:p>
            </c:rich>
          </c:tx>
          <c:overlay val="1"/>
        </c:title>
        <c:numFmt formatCode="\R\ #\ ##0;[Red]\(\R\ #\ ##0\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ZA"/>
              <a:t>Cumulative Cashflow &amp; Reserve Fund (ZAR)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FORECAST'!$AL$3</c:f>
              <c:strCache>
                <c:ptCount val="1"/>
                <c:pt idx="0">
                  <c:v>CUMULATIVE
CASH</c:v>
                </c:pt>
              </c:strCache>
            </c:strRef>
          </c:tx>
          <c:spPr>
            <a:ln w="20000">
              <a:solidFill>
                <a:srgbClr val="006064"/>
              </a:solidFill>
              <a:prstDash val="solid"/>
            </a:ln>
          </c:spPr>
          <c:marker>
            <c:symbol val="none"/>
          </c:marker>
          <c:cat>
            <c:strRef>
              <c:f>'MONTHLY FORECAST'!$B$4:$B$51</c:f>
              <c:strCache>
                <c:ptCount val="48"/>
                <c:pt idx="0">
                  <c:v>Jun-26</c:v>
                </c:pt>
                <c:pt idx="1">
                  <c:v>Jul-26</c:v>
                </c:pt>
                <c:pt idx="2">
                  <c:v>Aug-26</c:v>
                </c:pt>
                <c:pt idx="3">
                  <c:v>Sept-26</c:v>
                </c:pt>
                <c:pt idx="4">
                  <c:v>Oct-26</c:v>
                </c:pt>
                <c:pt idx="5">
                  <c:v>Nov-26</c:v>
                </c:pt>
                <c:pt idx="6">
                  <c:v>Dec-26</c:v>
                </c:pt>
                <c:pt idx="7">
                  <c:v>Jan-27</c:v>
                </c:pt>
                <c:pt idx="8">
                  <c:v>Feb-27</c:v>
                </c:pt>
                <c:pt idx="9">
                  <c:v>Mar-27</c:v>
                </c:pt>
                <c:pt idx="10">
                  <c:v>Apr-27</c:v>
                </c:pt>
                <c:pt idx="11">
                  <c:v>May-27</c:v>
                </c:pt>
                <c:pt idx="12">
                  <c:v>Jun-27</c:v>
                </c:pt>
                <c:pt idx="13">
                  <c:v>Jul-27</c:v>
                </c:pt>
                <c:pt idx="14">
                  <c:v>Aug-27</c:v>
                </c:pt>
                <c:pt idx="15">
                  <c:v>Sept-27</c:v>
                </c:pt>
                <c:pt idx="16">
                  <c:v>Oct-27</c:v>
                </c:pt>
                <c:pt idx="17">
                  <c:v>Nov-27</c:v>
                </c:pt>
                <c:pt idx="18">
                  <c:v>Dec-27</c:v>
                </c:pt>
                <c:pt idx="19">
                  <c:v>Jan-28</c:v>
                </c:pt>
                <c:pt idx="20">
                  <c:v>Feb-28</c:v>
                </c:pt>
                <c:pt idx="21">
                  <c:v>Mar-28</c:v>
                </c:pt>
                <c:pt idx="22">
                  <c:v>Apr-28</c:v>
                </c:pt>
                <c:pt idx="23">
                  <c:v>May-28</c:v>
                </c:pt>
                <c:pt idx="24">
                  <c:v>Jun-28</c:v>
                </c:pt>
                <c:pt idx="25">
                  <c:v>Jul-28</c:v>
                </c:pt>
                <c:pt idx="26">
                  <c:v>Aug-28</c:v>
                </c:pt>
                <c:pt idx="27">
                  <c:v>Sept-28</c:v>
                </c:pt>
                <c:pt idx="28">
                  <c:v>Oct-28</c:v>
                </c:pt>
                <c:pt idx="29">
                  <c:v>Nov-28</c:v>
                </c:pt>
                <c:pt idx="30">
                  <c:v>Dec-28</c:v>
                </c:pt>
                <c:pt idx="31">
                  <c:v>Jan-29</c:v>
                </c:pt>
                <c:pt idx="32">
                  <c:v>Feb-29</c:v>
                </c:pt>
                <c:pt idx="33">
                  <c:v>Mar-29</c:v>
                </c:pt>
                <c:pt idx="34">
                  <c:v>Apr-29</c:v>
                </c:pt>
                <c:pt idx="35">
                  <c:v>May-29</c:v>
                </c:pt>
                <c:pt idx="36">
                  <c:v>Jun-29</c:v>
                </c:pt>
                <c:pt idx="37">
                  <c:v>Jul-29</c:v>
                </c:pt>
                <c:pt idx="38">
                  <c:v>Aug-29</c:v>
                </c:pt>
                <c:pt idx="39">
                  <c:v>Sept-29</c:v>
                </c:pt>
                <c:pt idx="40">
                  <c:v>Oct-29</c:v>
                </c:pt>
                <c:pt idx="41">
                  <c:v>Nov-29</c:v>
                </c:pt>
                <c:pt idx="42">
                  <c:v>Dec-29</c:v>
                </c:pt>
                <c:pt idx="43">
                  <c:v>Jan-30</c:v>
                </c:pt>
                <c:pt idx="44">
                  <c:v>Feb-30</c:v>
                </c:pt>
                <c:pt idx="45">
                  <c:v>Mar-30</c:v>
                </c:pt>
                <c:pt idx="46">
                  <c:v>Apr-30</c:v>
                </c:pt>
                <c:pt idx="47">
                  <c:v>May-30</c:v>
                </c:pt>
              </c:strCache>
            </c:strRef>
          </c:cat>
          <c:val>
            <c:numRef>
              <c:f>'MONTHLY FORECAST'!$AL$4:$AL$51</c:f>
              <c:numCache>
                <c:formatCode>\R\ #\ ##0;[Red]\(\R\ #\ ##0\)</c:formatCode>
                <c:ptCount val="48"/>
                <c:pt idx="0">
                  <c:v>-97312.5</c:v>
                </c:pt>
                <c:pt idx="1">
                  <c:v>-87674.674479166672</c:v>
                </c:pt>
                <c:pt idx="2">
                  <c:v>-114322.18729654947</c:v>
                </c:pt>
                <c:pt idx="3">
                  <c:v>-149067.00792630512</c:v>
                </c:pt>
                <c:pt idx="4">
                  <c:v>-182206.57371055085</c:v>
                </c:pt>
                <c:pt idx="5">
                  <c:v>-213660.37897758427</c:v>
                </c:pt>
                <c:pt idx="6">
                  <c:v>-253344.86328079045</c:v>
                </c:pt>
                <c:pt idx="7">
                  <c:v>-291173.29538971093</c:v>
                </c:pt>
                <c:pt idx="8">
                  <c:v>-327055.65287167398</c:v>
                </c:pt>
                <c:pt idx="9">
                  <c:v>-360898.49709623057</c:v>
                </c:pt>
                <c:pt idx="10">
                  <c:v>-392604.84348825266</c:v>
                </c:pt>
                <c:pt idx="11">
                  <c:v>-456959.74616664316</c:v>
                </c:pt>
                <c:pt idx="12">
                  <c:v>-484087.28087465157</c:v>
                </c:pt>
                <c:pt idx="13">
                  <c:v>-508764.71577285172</c:v>
                </c:pt>
                <c:pt idx="14">
                  <c:v>-530879.48353807058</c:v>
                </c:pt>
                <c:pt idx="15">
                  <c:v>-550956.41099086846</c:v>
                </c:pt>
                <c:pt idx="16">
                  <c:v>-568528.65054396586</c:v>
                </c:pt>
                <c:pt idx="17">
                  <c:v>-583500.8548287407</c:v>
                </c:pt>
                <c:pt idx="18">
                  <c:v>-595774.04319886945</c:v>
                </c:pt>
                <c:pt idx="19">
                  <c:v>-605245.46313626354</c:v>
                </c:pt>
                <c:pt idx="20">
                  <c:v>-611808.44636441639</c:v>
                </c:pt>
                <c:pt idx="21">
                  <c:v>-615352.25946681597</c:v>
                </c:pt>
                <c:pt idx="22">
                  <c:v>-615761.94880033447</c:v>
                </c:pt>
                <c:pt idx="23">
                  <c:v>-679050.39550790342</c:v>
                </c:pt>
                <c:pt idx="24">
                  <c:v>-672829.28426935128</c:v>
                </c:pt>
                <c:pt idx="25">
                  <c:v>-663102.22589185461</c:v>
                </c:pt>
                <c:pt idx="26">
                  <c:v>-649735.71304704424</c:v>
                </c:pt>
                <c:pt idx="27">
                  <c:v>-632591.14923786663</c:v>
                </c:pt>
                <c:pt idx="28">
                  <c:v>-611524.65459735075</c:v>
                </c:pt>
                <c:pt idx="29">
                  <c:v>-586386.86426843482</c:v>
                </c:pt>
                <c:pt idx="30">
                  <c:v>-557022.71908109984</c:v>
                </c:pt>
                <c:pt idx="31">
                  <c:v>-523271.24823219428</c:v>
                </c:pt>
                <c:pt idx="32">
                  <c:v>-484965.34366205015</c:v>
                </c:pt>
                <c:pt idx="33">
                  <c:v>-441931.52581027534</c:v>
                </c:pt>
                <c:pt idx="34">
                  <c:v>-393989.70042094443</c:v>
                </c:pt>
                <c:pt idx="35">
                  <c:v>-456017.90380467661</c:v>
                </c:pt>
                <c:pt idx="36">
                  <c:v>-473116.06631761137</c:v>
                </c:pt>
                <c:pt idx="37">
                  <c:v>-489891.27341847029</c:v>
                </c:pt>
                <c:pt idx="38">
                  <c:v>-506341.05378049496</c:v>
                </c:pt>
                <c:pt idx="39">
                  <c:v>-522462.91714254167</c:v>
                </c:pt>
                <c:pt idx="40">
                  <c:v>-538254.35416382831</c:v>
                </c:pt>
                <c:pt idx="41">
                  <c:v>-553712.8362775651</c:v>
                </c:pt>
                <c:pt idx="42">
                  <c:v>-568835.81554346159</c:v>
                </c:pt>
                <c:pt idx="43">
                  <c:v>-583620.72449909966</c:v>
                </c:pt>
                <c:pt idx="44">
                  <c:v>-598064.97601016588</c:v>
                </c:pt>
                <c:pt idx="45">
                  <c:v>-612165.9631195328</c:v>
                </c:pt>
                <c:pt idx="46">
                  <c:v>-625921.05889518058</c:v>
                </c:pt>
                <c:pt idx="47">
                  <c:v>-775406.19085259014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A01-4D66-A713-D9812C6AB1D4}"/>
            </c:ext>
          </c:extLst>
        </c:ser>
        <c:ser>
          <c:idx val="1"/>
          <c:order val="1"/>
          <c:tx>
            <c:strRef>
              <c:f>'MONTHLY FORECAST'!$AM$3</c:f>
              <c:strCache>
                <c:ptCount val="1"/>
                <c:pt idx="0">
                  <c:v>Reserve
Fund Bal</c:v>
                </c:pt>
              </c:strCache>
            </c:strRef>
          </c:tx>
          <c:spPr>
            <a:ln w="20000">
              <a:solidFill>
                <a:srgbClr val="BF360C"/>
              </a:solidFill>
              <a:prstDash val="solid"/>
            </a:ln>
          </c:spPr>
          <c:marker>
            <c:symbol val="none"/>
          </c:marker>
          <c:cat>
            <c:strRef>
              <c:f>'MONTHLY FORECAST'!$B$4:$B$51</c:f>
              <c:strCache>
                <c:ptCount val="48"/>
                <c:pt idx="0">
                  <c:v>Jun-26</c:v>
                </c:pt>
                <c:pt idx="1">
                  <c:v>Jul-26</c:v>
                </c:pt>
                <c:pt idx="2">
                  <c:v>Aug-26</c:v>
                </c:pt>
                <c:pt idx="3">
                  <c:v>Sept-26</c:v>
                </c:pt>
                <c:pt idx="4">
                  <c:v>Oct-26</c:v>
                </c:pt>
                <c:pt idx="5">
                  <c:v>Nov-26</c:v>
                </c:pt>
                <c:pt idx="6">
                  <c:v>Dec-26</c:v>
                </c:pt>
                <c:pt idx="7">
                  <c:v>Jan-27</c:v>
                </c:pt>
                <c:pt idx="8">
                  <c:v>Feb-27</c:v>
                </c:pt>
                <c:pt idx="9">
                  <c:v>Mar-27</c:v>
                </c:pt>
                <c:pt idx="10">
                  <c:v>Apr-27</c:v>
                </c:pt>
                <c:pt idx="11">
                  <c:v>May-27</c:v>
                </c:pt>
                <c:pt idx="12">
                  <c:v>Jun-27</c:v>
                </c:pt>
                <c:pt idx="13">
                  <c:v>Jul-27</c:v>
                </c:pt>
                <c:pt idx="14">
                  <c:v>Aug-27</c:v>
                </c:pt>
                <c:pt idx="15">
                  <c:v>Sept-27</c:v>
                </c:pt>
                <c:pt idx="16">
                  <c:v>Oct-27</c:v>
                </c:pt>
                <c:pt idx="17">
                  <c:v>Nov-27</c:v>
                </c:pt>
                <c:pt idx="18">
                  <c:v>Dec-27</c:v>
                </c:pt>
                <c:pt idx="19">
                  <c:v>Jan-28</c:v>
                </c:pt>
                <c:pt idx="20">
                  <c:v>Feb-28</c:v>
                </c:pt>
                <c:pt idx="21">
                  <c:v>Mar-28</c:v>
                </c:pt>
                <c:pt idx="22">
                  <c:v>Apr-28</c:v>
                </c:pt>
                <c:pt idx="23">
                  <c:v>May-28</c:v>
                </c:pt>
                <c:pt idx="24">
                  <c:v>Jun-28</c:v>
                </c:pt>
                <c:pt idx="25">
                  <c:v>Jul-28</c:v>
                </c:pt>
                <c:pt idx="26">
                  <c:v>Aug-28</c:v>
                </c:pt>
                <c:pt idx="27">
                  <c:v>Sept-28</c:v>
                </c:pt>
                <c:pt idx="28">
                  <c:v>Oct-28</c:v>
                </c:pt>
                <c:pt idx="29">
                  <c:v>Nov-28</c:v>
                </c:pt>
                <c:pt idx="30">
                  <c:v>Dec-28</c:v>
                </c:pt>
                <c:pt idx="31">
                  <c:v>Jan-29</c:v>
                </c:pt>
                <c:pt idx="32">
                  <c:v>Feb-29</c:v>
                </c:pt>
                <c:pt idx="33">
                  <c:v>Mar-29</c:v>
                </c:pt>
                <c:pt idx="34">
                  <c:v>Apr-29</c:v>
                </c:pt>
                <c:pt idx="35">
                  <c:v>May-29</c:v>
                </c:pt>
                <c:pt idx="36">
                  <c:v>Jun-29</c:v>
                </c:pt>
                <c:pt idx="37">
                  <c:v>Jul-29</c:v>
                </c:pt>
                <c:pt idx="38">
                  <c:v>Aug-29</c:v>
                </c:pt>
                <c:pt idx="39">
                  <c:v>Sept-29</c:v>
                </c:pt>
                <c:pt idx="40">
                  <c:v>Oct-29</c:v>
                </c:pt>
                <c:pt idx="41">
                  <c:v>Nov-29</c:v>
                </c:pt>
                <c:pt idx="42">
                  <c:v>Dec-29</c:v>
                </c:pt>
                <c:pt idx="43">
                  <c:v>Jan-30</c:v>
                </c:pt>
                <c:pt idx="44">
                  <c:v>Feb-30</c:v>
                </c:pt>
                <c:pt idx="45">
                  <c:v>Mar-30</c:v>
                </c:pt>
                <c:pt idx="46">
                  <c:v>Apr-30</c:v>
                </c:pt>
                <c:pt idx="47">
                  <c:v>May-30</c:v>
                </c:pt>
              </c:strCache>
            </c:strRef>
          </c:cat>
          <c:val>
            <c:numRef>
              <c:f>'MONTHLY FORECAST'!$AM$4:$AM$51</c:f>
              <c:numCache>
                <c:formatCode>\R\ #\ ##0;[Red]\(\R\ #\ ##0\)</c:formatCode>
                <c:ptCount val="48"/>
                <c:pt idx="0">
                  <c:v>26583.333333333332</c:v>
                </c:pt>
                <c:pt idx="1">
                  <c:v>53166.666666666664</c:v>
                </c:pt>
                <c:pt idx="2">
                  <c:v>79750</c:v>
                </c:pt>
                <c:pt idx="3">
                  <c:v>106333.33333333333</c:v>
                </c:pt>
                <c:pt idx="4">
                  <c:v>132916.66666666666</c:v>
                </c:pt>
                <c:pt idx="5">
                  <c:v>159500</c:v>
                </c:pt>
                <c:pt idx="6">
                  <c:v>186083.33333333334</c:v>
                </c:pt>
                <c:pt idx="7">
                  <c:v>212666.66666666669</c:v>
                </c:pt>
                <c:pt idx="8">
                  <c:v>239250.00000000003</c:v>
                </c:pt>
                <c:pt idx="9">
                  <c:v>265833.33333333337</c:v>
                </c:pt>
                <c:pt idx="10">
                  <c:v>292416.66666666669</c:v>
                </c:pt>
                <c:pt idx="11">
                  <c:v>319000</c:v>
                </c:pt>
                <c:pt idx="12">
                  <c:v>345583.33333333331</c:v>
                </c:pt>
                <c:pt idx="13">
                  <c:v>372166.66666666663</c:v>
                </c:pt>
                <c:pt idx="14">
                  <c:v>398749.99999999994</c:v>
                </c:pt>
                <c:pt idx="15">
                  <c:v>425333.33333333326</c:v>
                </c:pt>
                <c:pt idx="16">
                  <c:v>451916.66666666657</c:v>
                </c:pt>
                <c:pt idx="17">
                  <c:v>478499.99999999988</c:v>
                </c:pt>
                <c:pt idx="18">
                  <c:v>505083.3333333332</c:v>
                </c:pt>
                <c:pt idx="19">
                  <c:v>531666.66666666651</c:v>
                </c:pt>
                <c:pt idx="20">
                  <c:v>558249.99999999988</c:v>
                </c:pt>
                <c:pt idx="21">
                  <c:v>584833.33333333326</c:v>
                </c:pt>
                <c:pt idx="22">
                  <c:v>611416.66666666663</c:v>
                </c:pt>
                <c:pt idx="23">
                  <c:v>638000</c:v>
                </c:pt>
                <c:pt idx="24">
                  <c:v>664583.33333333337</c:v>
                </c:pt>
                <c:pt idx="25">
                  <c:v>691166.66666666674</c:v>
                </c:pt>
                <c:pt idx="26">
                  <c:v>717750.00000000012</c:v>
                </c:pt>
                <c:pt idx="27">
                  <c:v>744333.33333333349</c:v>
                </c:pt>
                <c:pt idx="28">
                  <c:v>770916.66666666686</c:v>
                </c:pt>
                <c:pt idx="29">
                  <c:v>797500.00000000023</c:v>
                </c:pt>
                <c:pt idx="30">
                  <c:v>824083.3333333336</c:v>
                </c:pt>
                <c:pt idx="31">
                  <c:v>850666.66666666698</c:v>
                </c:pt>
                <c:pt idx="32">
                  <c:v>877250.00000000035</c:v>
                </c:pt>
                <c:pt idx="33">
                  <c:v>903833.33333333372</c:v>
                </c:pt>
                <c:pt idx="34">
                  <c:v>930416.66666666709</c:v>
                </c:pt>
                <c:pt idx="35">
                  <c:v>957000.00000000047</c:v>
                </c:pt>
                <c:pt idx="36">
                  <c:v>957000.00000000047</c:v>
                </c:pt>
                <c:pt idx="37">
                  <c:v>957000.00000000047</c:v>
                </c:pt>
                <c:pt idx="38">
                  <c:v>957000.00000000047</c:v>
                </c:pt>
                <c:pt idx="39">
                  <c:v>957000.00000000047</c:v>
                </c:pt>
                <c:pt idx="40">
                  <c:v>957000.00000000047</c:v>
                </c:pt>
                <c:pt idx="41">
                  <c:v>957000.00000000047</c:v>
                </c:pt>
                <c:pt idx="42">
                  <c:v>957000.00000000047</c:v>
                </c:pt>
                <c:pt idx="43">
                  <c:v>957000.00000000047</c:v>
                </c:pt>
                <c:pt idx="44">
                  <c:v>957000.00000000047</c:v>
                </c:pt>
                <c:pt idx="45">
                  <c:v>957000.00000000047</c:v>
                </c:pt>
                <c:pt idx="46">
                  <c:v>957000.00000000047</c:v>
                </c:pt>
                <c:pt idx="47">
                  <c:v>957000.00000000047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A01-4D66-A713-D9812C6AB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ZAR</a:t>
                </a:r>
              </a:p>
            </c:rich>
          </c:tx>
          <c:overlay val="1"/>
        </c:title>
        <c:numFmt formatCode="\R\ #\ ##0;[Red]\(\R\ #\ ##0\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00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31</xdr:row>
      <xdr:rowOff>0</xdr:rowOff>
    </xdr:from>
    <xdr:ext cx="1008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60</xdr:row>
      <xdr:rowOff>0</xdr:rowOff>
    </xdr:from>
    <xdr:ext cx="10080000" cy="50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A227"/>
  </sheetPr>
  <dimension ref="A1:C63"/>
  <sheetViews>
    <sheetView showGridLines="0" workbookViewId="0">
      <selection activeCell="A51" sqref="A51:XFD51"/>
    </sheetView>
  </sheetViews>
  <sheetFormatPr defaultRowHeight="12" x14ac:dyDescent="0.2"/>
  <cols>
    <col min="1" max="1" width="52" style="7" customWidth="1"/>
    <col min="2" max="2" width="22" style="7" customWidth="1"/>
    <col min="3" max="3" width="54.5703125" style="7" bestFit="1" customWidth="1"/>
    <col min="4" max="16384" width="9.140625" style="7"/>
  </cols>
  <sheetData>
    <row r="1" spans="1:3" ht="30" customHeight="1" x14ac:dyDescent="0.2">
      <c r="A1" s="5" t="s">
        <v>0</v>
      </c>
      <c r="B1" s="6"/>
      <c r="C1" s="6"/>
    </row>
    <row r="2" spans="1:3" x14ac:dyDescent="0.2">
      <c r="A2" s="8" t="s">
        <v>1</v>
      </c>
      <c r="B2" s="6"/>
      <c r="C2" s="6"/>
    </row>
    <row r="4" spans="1:3" ht="18" customHeight="1" x14ac:dyDescent="0.2">
      <c r="A4" s="9" t="s">
        <v>2</v>
      </c>
      <c r="B4" s="6"/>
      <c r="C4" s="6"/>
    </row>
    <row r="5" spans="1:3" x14ac:dyDescent="0.2">
      <c r="A5" s="10" t="s">
        <v>3</v>
      </c>
      <c r="B5" s="11">
        <v>0.5</v>
      </c>
      <c r="C5" s="3" t="s">
        <v>4</v>
      </c>
    </row>
    <row r="6" spans="1:3" x14ac:dyDescent="0.2">
      <c r="A6" s="10" t="s">
        <v>5</v>
      </c>
      <c r="B6" s="11">
        <v>0.1</v>
      </c>
      <c r="C6" s="3" t="s">
        <v>115</v>
      </c>
    </row>
    <row r="7" spans="1:3" x14ac:dyDescent="0.2">
      <c r="A7" s="10" t="s">
        <v>6</v>
      </c>
      <c r="B7" s="12">
        <v>37</v>
      </c>
      <c r="C7" s="3" t="s">
        <v>7</v>
      </c>
    </row>
    <row r="8" spans="1:3" x14ac:dyDescent="0.2">
      <c r="A8" s="10" t="s">
        <v>8</v>
      </c>
      <c r="B8" s="12">
        <v>3</v>
      </c>
      <c r="C8" s="3" t="s">
        <v>9</v>
      </c>
    </row>
    <row r="9" spans="1:3" x14ac:dyDescent="0.2">
      <c r="A9" s="10" t="s">
        <v>10</v>
      </c>
      <c r="B9" s="13">
        <f>319000/12</f>
        <v>26583.333333333332</v>
      </c>
      <c r="C9" s="3" t="s">
        <v>11</v>
      </c>
    </row>
    <row r="11" spans="1:3" ht="18" customHeight="1" x14ac:dyDescent="0.2">
      <c r="A11" s="9" t="s">
        <v>12</v>
      </c>
      <c r="B11" s="6"/>
      <c r="C11" s="6"/>
    </row>
    <row r="12" spans="1:3" x14ac:dyDescent="0.2">
      <c r="A12" s="10" t="s">
        <v>13</v>
      </c>
      <c r="B12" s="14">
        <v>50000</v>
      </c>
      <c r="C12" s="3" t="s">
        <v>14</v>
      </c>
    </row>
    <row r="13" spans="1:3" x14ac:dyDescent="0.2">
      <c r="A13" s="10" t="s">
        <v>15</v>
      </c>
      <c r="B13" s="13">
        <v>20000</v>
      </c>
      <c r="C13" s="3" t="s">
        <v>16</v>
      </c>
    </row>
    <row r="14" spans="1:3" x14ac:dyDescent="0.2">
      <c r="A14" s="10" t="s">
        <v>17</v>
      </c>
      <c r="B14" s="13">
        <v>30000</v>
      </c>
      <c r="C14" s="3" t="s">
        <v>16</v>
      </c>
    </row>
    <row r="15" spans="1:3" x14ac:dyDescent="0.2">
      <c r="A15" s="10" t="s">
        <v>18</v>
      </c>
      <c r="B15" s="13">
        <v>40000</v>
      </c>
      <c r="C15" s="3" t="s">
        <v>19</v>
      </c>
    </row>
    <row r="16" spans="1:3" x14ac:dyDescent="0.2">
      <c r="A16" s="10" t="s">
        <v>20</v>
      </c>
      <c r="B16" s="11">
        <v>2.5000000000000001E-3</v>
      </c>
      <c r="C16" s="3" t="s">
        <v>21</v>
      </c>
    </row>
    <row r="17" spans="1:3" x14ac:dyDescent="0.2">
      <c r="A17" s="10" t="s">
        <v>22</v>
      </c>
      <c r="B17" s="13">
        <v>5000</v>
      </c>
      <c r="C17" s="3" t="s">
        <v>114</v>
      </c>
    </row>
    <row r="18" spans="1:3" x14ac:dyDescent="0.2">
      <c r="A18" s="10" t="s">
        <v>23</v>
      </c>
      <c r="B18" s="13">
        <v>3000</v>
      </c>
      <c r="C18" s="3" t="s">
        <v>24</v>
      </c>
    </row>
    <row r="20" spans="1:3" ht="18" customHeight="1" x14ac:dyDescent="0.2">
      <c r="A20" s="15" t="s">
        <v>25</v>
      </c>
      <c r="B20" s="6"/>
      <c r="C20" s="6"/>
    </row>
    <row r="21" spans="1:3" x14ac:dyDescent="0.2">
      <c r="A21" s="10" t="s">
        <v>26</v>
      </c>
      <c r="B21" s="12">
        <v>1</v>
      </c>
      <c r="C21" s="3" t="s">
        <v>27</v>
      </c>
    </row>
    <row r="22" spans="1:3" x14ac:dyDescent="0.2">
      <c r="A22" s="10" t="s">
        <v>28</v>
      </c>
      <c r="B22" s="13">
        <v>300000</v>
      </c>
      <c r="C22" s="3"/>
    </row>
    <row r="23" spans="1:3" x14ac:dyDescent="0.2">
      <c r="A23" s="10" t="s">
        <v>29</v>
      </c>
      <c r="B23" s="13">
        <v>200000</v>
      </c>
      <c r="C23" s="3" t="s">
        <v>30</v>
      </c>
    </row>
    <row r="24" spans="1:3" x14ac:dyDescent="0.2">
      <c r="A24" s="10" t="s">
        <v>31</v>
      </c>
      <c r="B24" s="11">
        <v>7.4999999999999997E-3</v>
      </c>
      <c r="C24" s="3" t="s">
        <v>32</v>
      </c>
    </row>
    <row r="25" spans="1:3" x14ac:dyDescent="0.2">
      <c r="A25" s="10" t="s">
        <v>33</v>
      </c>
      <c r="B25" s="11">
        <v>2.5000000000000001E-2</v>
      </c>
      <c r="C25" s="3" t="s">
        <v>34</v>
      </c>
    </row>
    <row r="27" spans="1:3" ht="18" customHeight="1" x14ac:dyDescent="0.2">
      <c r="A27" s="15" t="s">
        <v>35</v>
      </c>
      <c r="B27" s="6"/>
      <c r="C27" s="6"/>
    </row>
    <row r="28" spans="1:3" x14ac:dyDescent="0.2">
      <c r="A28" s="10" t="s">
        <v>26</v>
      </c>
      <c r="B28" s="12">
        <v>2</v>
      </c>
      <c r="C28" s="3" t="s">
        <v>36</v>
      </c>
    </row>
    <row r="29" spans="1:3" x14ac:dyDescent="0.2">
      <c r="A29" s="10" t="s">
        <v>28</v>
      </c>
      <c r="B29" s="12">
        <v>0</v>
      </c>
      <c r="C29" s="3"/>
    </row>
    <row r="30" spans="1:3" x14ac:dyDescent="0.2">
      <c r="A30" s="10" t="s">
        <v>29</v>
      </c>
      <c r="B30" s="13">
        <v>40000</v>
      </c>
      <c r="C30" s="3"/>
    </row>
    <row r="31" spans="1:3" x14ac:dyDescent="0.2">
      <c r="A31" s="10" t="s">
        <v>31</v>
      </c>
      <c r="B31" s="11">
        <v>7.4999999999999997E-3</v>
      </c>
      <c r="C31" s="3"/>
    </row>
    <row r="32" spans="1:3" x14ac:dyDescent="0.2">
      <c r="A32" s="10" t="s">
        <v>33</v>
      </c>
      <c r="B32" s="11">
        <v>0.1</v>
      </c>
      <c r="C32" s="3" t="s">
        <v>37</v>
      </c>
    </row>
    <row r="34" spans="1:3" ht="18" customHeight="1" x14ac:dyDescent="0.2">
      <c r="A34" s="15" t="s">
        <v>38</v>
      </c>
      <c r="B34" s="6"/>
      <c r="C34" s="6"/>
    </row>
    <row r="35" spans="1:3" x14ac:dyDescent="0.2">
      <c r="A35" s="10" t="s">
        <v>26</v>
      </c>
      <c r="B35" s="12">
        <v>2</v>
      </c>
      <c r="C35" s="3" t="s">
        <v>36</v>
      </c>
    </row>
    <row r="36" spans="1:3" x14ac:dyDescent="0.2">
      <c r="A36" s="10" t="s">
        <v>28</v>
      </c>
      <c r="B36" s="13">
        <v>5000000</v>
      </c>
      <c r="C36" s="3"/>
    </row>
    <row r="37" spans="1:3" x14ac:dyDescent="0.2">
      <c r="A37" s="10" t="s">
        <v>29</v>
      </c>
      <c r="B37" s="12">
        <v>0</v>
      </c>
      <c r="C37" s="3" t="s">
        <v>39</v>
      </c>
    </row>
    <row r="38" spans="1:3" x14ac:dyDescent="0.2">
      <c r="A38" s="10" t="s">
        <v>31</v>
      </c>
      <c r="B38" s="11">
        <v>7.4999999999999997E-3</v>
      </c>
      <c r="C38" s="3" t="s">
        <v>40</v>
      </c>
    </row>
    <row r="39" spans="1:3" x14ac:dyDescent="0.2">
      <c r="A39" s="10" t="s">
        <v>33</v>
      </c>
      <c r="B39" s="11">
        <v>0.1</v>
      </c>
      <c r="C39" s="3" t="s">
        <v>37</v>
      </c>
    </row>
    <row r="41" spans="1:3" ht="18" customHeight="1" x14ac:dyDescent="0.2">
      <c r="A41" s="15" t="s">
        <v>116</v>
      </c>
      <c r="B41" s="6"/>
      <c r="C41" s="6"/>
    </row>
    <row r="42" spans="1:3" x14ac:dyDescent="0.2">
      <c r="A42" s="10" t="s">
        <v>26</v>
      </c>
      <c r="B42" s="12">
        <v>2</v>
      </c>
      <c r="C42" s="3" t="s">
        <v>36</v>
      </c>
    </row>
    <row r="43" spans="1:3" x14ac:dyDescent="0.2">
      <c r="A43" s="10" t="s">
        <v>28</v>
      </c>
      <c r="B43" s="12">
        <v>0</v>
      </c>
      <c r="C43" s="3"/>
    </row>
    <row r="44" spans="1:3" x14ac:dyDescent="0.2">
      <c r="A44" s="10" t="s">
        <v>29</v>
      </c>
      <c r="B44" s="13">
        <v>20000</v>
      </c>
      <c r="C44" s="3"/>
    </row>
    <row r="45" spans="1:3" x14ac:dyDescent="0.2">
      <c r="A45" s="10" t="s">
        <v>31</v>
      </c>
      <c r="B45" s="11">
        <v>7.4999999999999997E-3</v>
      </c>
      <c r="C45" s="3"/>
    </row>
    <row r="46" spans="1:3" x14ac:dyDescent="0.2">
      <c r="A46" s="10" t="s">
        <v>33</v>
      </c>
      <c r="B46" s="11">
        <v>2.5000000000000001E-2</v>
      </c>
      <c r="C46" s="3" t="s">
        <v>41</v>
      </c>
    </row>
    <row r="48" spans="1:3" ht="18" customHeight="1" x14ac:dyDescent="0.2">
      <c r="A48" s="16" t="s">
        <v>42</v>
      </c>
      <c r="B48" s="6"/>
      <c r="C48" s="6"/>
    </row>
    <row r="49" spans="1:3" x14ac:dyDescent="0.2">
      <c r="A49" s="10" t="s">
        <v>43</v>
      </c>
      <c r="B49" s="12">
        <v>12</v>
      </c>
      <c r="C49" s="3" t="s">
        <v>44</v>
      </c>
    </row>
    <row r="50" spans="1:3" x14ac:dyDescent="0.2">
      <c r="A50" s="10" t="s">
        <v>45</v>
      </c>
      <c r="B50" s="12">
        <v>4</v>
      </c>
      <c r="C50" s="3" t="s">
        <v>46</v>
      </c>
    </row>
    <row r="51" spans="1:3" x14ac:dyDescent="0.2">
      <c r="A51" s="10" t="s">
        <v>47</v>
      </c>
      <c r="B51" s="12">
        <v>1</v>
      </c>
      <c r="C51" s="3" t="s">
        <v>48</v>
      </c>
    </row>
    <row r="52" spans="1:3" x14ac:dyDescent="0.2">
      <c r="A52" s="10" t="s">
        <v>49</v>
      </c>
      <c r="B52" s="13">
        <v>50000</v>
      </c>
      <c r="C52" s="3" t="s">
        <v>50</v>
      </c>
    </row>
    <row r="53" spans="1:3" x14ac:dyDescent="0.2">
      <c r="A53" s="10" t="s">
        <v>51</v>
      </c>
      <c r="B53" s="13">
        <v>5000</v>
      </c>
      <c r="C53" s="3" t="s">
        <v>117</v>
      </c>
    </row>
    <row r="54" spans="1:3" x14ac:dyDescent="0.2">
      <c r="A54" s="10" t="s">
        <v>52</v>
      </c>
      <c r="B54" s="11">
        <v>7.4999999999999997E-3</v>
      </c>
      <c r="C54" s="3" t="s">
        <v>53</v>
      </c>
    </row>
    <row r="55" spans="1:3" x14ac:dyDescent="0.2">
      <c r="A55" s="10" t="s">
        <v>54</v>
      </c>
      <c r="B55" s="11">
        <v>0.1</v>
      </c>
      <c r="C55" s="3" t="s">
        <v>37</v>
      </c>
    </row>
    <row r="57" spans="1:3" ht="18" customHeight="1" x14ac:dyDescent="0.2">
      <c r="A57" s="17" t="s">
        <v>55</v>
      </c>
      <c r="B57" s="6"/>
      <c r="C57" s="6"/>
    </row>
    <row r="58" spans="1:3" x14ac:dyDescent="0.2">
      <c r="A58" s="10" t="s">
        <v>56</v>
      </c>
      <c r="B58" s="12">
        <v>48</v>
      </c>
      <c r="C58" s="3" t="s">
        <v>57</v>
      </c>
    </row>
    <row r="59" spans="1:3" x14ac:dyDescent="0.2">
      <c r="A59" s="10" t="s">
        <v>58</v>
      </c>
      <c r="B59" s="19">
        <v>2026</v>
      </c>
      <c r="C59" s="3" t="s">
        <v>59</v>
      </c>
    </row>
    <row r="60" spans="1:3" x14ac:dyDescent="0.2">
      <c r="A60" s="10" t="s">
        <v>60</v>
      </c>
      <c r="B60" s="18">
        <v>6</v>
      </c>
      <c r="C60" s="3" t="s">
        <v>61</v>
      </c>
    </row>
    <row r="63" spans="1:3" ht="48" customHeight="1" x14ac:dyDescent="0.2">
      <c r="A63" s="4" t="s">
        <v>62</v>
      </c>
      <c r="B63" s="6"/>
      <c r="C63" s="6"/>
    </row>
  </sheetData>
  <mergeCells count="11">
    <mergeCell ref="A41:C41"/>
    <mergeCell ref="A11:C11"/>
    <mergeCell ref="A63:C63"/>
    <mergeCell ref="A1:C1"/>
    <mergeCell ref="A57:C57"/>
    <mergeCell ref="A27:C27"/>
    <mergeCell ref="A34:C34"/>
    <mergeCell ref="A4:C4"/>
    <mergeCell ref="A48:C48"/>
    <mergeCell ref="A20:C20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6064"/>
  </sheetPr>
  <dimension ref="A1:AM54"/>
  <sheetViews>
    <sheetView showGridLines="0" tabSelected="1" workbookViewId="0">
      <pane xSplit="2" ySplit="3" topLeftCell="C4" activePane="bottomRight" state="frozen"/>
      <selection pane="topRight"/>
      <selection pane="bottomLeft"/>
      <selection pane="bottomRight" activeCell="T19" sqref="T19"/>
    </sheetView>
  </sheetViews>
  <sheetFormatPr defaultRowHeight="12" outlineLevelCol="1" x14ac:dyDescent="0.2"/>
  <cols>
    <col min="1" max="1" width="6" style="7" customWidth="1"/>
    <col min="2" max="2" width="9" style="7" customWidth="1"/>
    <col min="3" max="3" width="8" style="7" customWidth="1"/>
    <col min="4" max="4" width="13" style="7" customWidth="1" outlineLevel="1"/>
    <col min="5" max="6" width="12" style="7" customWidth="1" outlineLevel="1"/>
    <col min="7" max="7" width="14" style="7" customWidth="1" outlineLevel="1"/>
    <col min="8" max="8" width="13" style="7" customWidth="1" outlineLevel="1"/>
    <col min="9" max="10" width="12" style="7" customWidth="1" outlineLevel="1"/>
    <col min="11" max="11" width="14" style="7" customWidth="1" outlineLevel="1"/>
    <col min="12" max="12" width="13" style="7" customWidth="1" outlineLevel="1"/>
    <col min="13" max="14" width="12" style="7" customWidth="1" outlineLevel="1"/>
    <col min="15" max="15" width="14" style="7" customWidth="1" outlineLevel="1"/>
    <col min="16" max="16" width="13" style="7" customWidth="1" outlineLevel="1"/>
    <col min="17" max="18" width="12" style="7" customWidth="1" outlineLevel="1"/>
    <col min="19" max="19" width="14" style="7" customWidth="1" outlineLevel="1"/>
    <col min="20" max="20" width="8" style="7" customWidth="1" outlineLevel="1"/>
    <col min="21" max="21" width="14" style="7" customWidth="1" outlineLevel="1"/>
    <col min="22" max="23" width="12" style="7" customWidth="1" outlineLevel="1"/>
    <col min="24" max="24" width="14" style="7" customWidth="1" outlineLevel="1"/>
    <col min="25" max="27" width="14" style="7" customWidth="1"/>
    <col min="28" max="28" width="15" style="7" customWidth="1"/>
    <col min="29" max="29" width="16" style="7" customWidth="1"/>
    <col min="30" max="30" width="14" style="7" customWidth="1"/>
    <col min="31" max="31" width="13" style="7" customWidth="1"/>
    <col min="32" max="32" width="14" style="7" customWidth="1"/>
    <col min="33" max="34" width="11" style="7" customWidth="1"/>
    <col min="35" max="35" width="13" style="7" customWidth="1"/>
    <col min="36" max="37" width="14" style="7" customWidth="1"/>
    <col min="38" max="39" width="16" style="7" customWidth="1"/>
    <col min="40" max="16384" width="9.140625" style="7"/>
  </cols>
  <sheetData>
    <row r="1" spans="1:39" ht="21.95" customHeight="1" x14ac:dyDescent="0.2">
      <c r="A1" s="5" t="s">
        <v>63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39" x14ac:dyDescent="0.2">
      <c r="A2" s="26" t="s">
        <v>64</v>
      </c>
      <c r="B2" s="6"/>
      <c r="C2" s="6"/>
      <c r="D2" s="27" t="s">
        <v>65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28" t="s">
        <v>66</v>
      </c>
      <c r="U2" s="6"/>
      <c r="V2" s="6"/>
      <c r="W2" s="6"/>
      <c r="X2" s="6"/>
      <c r="Y2" s="28" t="s">
        <v>67</v>
      </c>
      <c r="Z2" s="6"/>
      <c r="AA2" s="6"/>
      <c r="AB2" s="6"/>
      <c r="AC2" s="29" t="s">
        <v>68</v>
      </c>
      <c r="AD2" s="30" t="s">
        <v>69</v>
      </c>
      <c r="AE2" s="6"/>
      <c r="AF2" s="6"/>
      <c r="AG2" s="6"/>
      <c r="AH2" s="6"/>
      <c r="AI2" s="6"/>
      <c r="AJ2" s="31" t="s">
        <v>70</v>
      </c>
      <c r="AK2" s="29" t="s">
        <v>71</v>
      </c>
      <c r="AL2" s="6"/>
      <c r="AM2" s="6"/>
    </row>
    <row r="3" spans="1:39" ht="42" customHeight="1" x14ac:dyDescent="0.2">
      <c r="A3" s="20" t="s">
        <v>72</v>
      </c>
      <c r="B3" s="20" t="s">
        <v>73</v>
      </c>
      <c r="C3" s="20" t="s">
        <v>74</v>
      </c>
      <c r="D3" s="21" t="s">
        <v>75</v>
      </c>
      <c r="E3" s="21" t="s">
        <v>76</v>
      </c>
      <c r="F3" s="21" t="s">
        <v>77</v>
      </c>
      <c r="G3" s="21" t="s">
        <v>78</v>
      </c>
      <c r="H3" s="21" t="s">
        <v>79</v>
      </c>
      <c r="I3" s="21" t="s">
        <v>80</v>
      </c>
      <c r="J3" s="21" t="s">
        <v>81</v>
      </c>
      <c r="K3" s="21" t="s">
        <v>82</v>
      </c>
      <c r="L3" s="21" t="s">
        <v>83</v>
      </c>
      <c r="M3" s="21" t="s">
        <v>84</v>
      </c>
      <c r="N3" s="21" t="s">
        <v>85</v>
      </c>
      <c r="O3" s="21" t="s">
        <v>86</v>
      </c>
      <c r="P3" s="21" t="s">
        <v>87</v>
      </c>
      <c r="Q3" s="21" t="s">
        <v>88</v>
      </c>
      <c r="R3" s="21" t="s">
        <v>89</v>
      </c>
      <c r="S3" s="21" t="s">
        <v>90</v>
      </c>
      <c r="T3" s="21" t="s">
        <v>91</v>
      </c>
      <c r="U3" s="21" t="s">
        <v>92</v>
      </c>
      <c r="V3" s="21" t="s">
        <v>93</v>
      </c>
      <c r="W3" s="21" t="s">
        <v>94</v>
      </c>
      <c r="X3" s="21" t="s">
        <v>95</v>
      </c>
      <c r="Y3" s="22" t="s">
        <v>96</v>
      </c>
      <c r="Z3" s="22" t="s">
        <v>97</v>
      </c>
      <c r="AA3" s="22" t="s">
        <v>98</v>
      </c>
      <c r="AB3" s="22" t="s">
        <v>99</v>
      </c>
      <c r="AC3" s="20" t="s">
        <v>100</v>
      </c>
      <c r="AD3" s="23" t="s">
        <v>101</v>
      </c>
      <c r="AE3" s="23" t="s">
        <v>102</v>
      </c>
      <c r="AF3" s="23" t="s">
        <v>103</v>
      </c>
      <c r="AG3" s="23" t="s">
        <v>104</v>
      </c>
      <c r="AH3" s="23" t="s">
        <v>105</v>
      </c>
      <c r="AI3" s="23" t="s">
        <v>106</v>
      </c>
      <c r="AJ3" s="24" t="s">
        <v>107</v>
      </c>
      <c r="AK3" s="20" t="s">
        <v>108</v>
      </c>
      <c r="AL3" s="20" t="s">
        <v>109</v>
      </c>
      <c r="AM3" s="20" t="s">
        <v>110</v>
      </c>
    </row>
    <row r="4" spans="1:39" x14ac:dyDescent="0.2">
      <c r="A4" s="32">
        <v>1</v>
      </c>
      <c r="B4" s="32" t="str">
        <f>TEXT(DATE(VARIABLES!$B$59+INT((VARIABLES!$B$60+A4-2)/12),MOD(VARIABLES!$B$60+A4-2,12)+1,1),"mmm-yy")</f>
        <v>Jun-26</v>
      </c>
      <c r="C4" s="33">
        <f>IF($A4&lt;VARIABLES!$B$7,VARIABLES!$B$5/12,VARIABLES!$B$6/12)</f>
        <v>4.1666666666666664E-2</v>
      </c>
      <c r="D4" s="14">
        <f>IF($A4&lt;VARIABLES!$B$21,0,IF($A4=VARIABLES!$B$21,VARIABLES!$B$22+VARIABLES!$B$23,VARIABLES!$B$23))</f>
        <v>500000</v>
      </c>
      <c r="E4" s="14">
        <f>D4*VARIABLES!$B$24</f>
        <v>3750</v>
      </c>
      <c r="F4" s="14">
        <f>IF($A4&lt;VARIABLES!$B$21,0,(IF($A4=VARIABLES!$B$21,0,G3)+D4)*C4*VARIABLES!$B$25)</f>
        <v>520.83333333333337</v>
      </c>
      <c r="G4" s="14">
        <f>IF($A4&lt;VARIABLES!$B$21,0,(IF($A4=VARIABLES!$B$21,0,G3)+D4)*(1+C4)-F4)</f>
        <v>520312.50000000006</v>
      </c>
      <c r="H4" s="14">
        <f>IF($A4&lt;VARIABLES!$B$28,0,IF($A4=VARIABLES!$B$28,VARIABLES!$B$29+VARIABLES!$B$30,VARIABLES!$B$30))</f>
        <v>0</v>
      </c>
      <c r="I4" s="14">
        <f>H4*VARIABLES!$B$31</f>
        <v>0</v>
      </c>
      <c r="J4" s="14">
        <f>IF($A4&lt;VARIABLES!$B$28,0,(IF($A4=VARIABLES!$B$28,0,K3)+H4)*C4*VARIABLES!$B$32)</f>
        <v>0</v>
      </c>
      <c r="K4" s="14">
        <f>IF($A4&lt;VARIABLES!$B$28,0,(IF($A4=VARIABLES!$B$28,0,K3)+H4)*(1+C4)-J4)</f>
        <v>0</v>
      </c>
      <c r="L4" s="14">
        <f>IF($A4&lt;VARIABLES!$B$35,0,IF($A4=VARIABLES!$B$35,VARIABLES!$B$36+VARIABLES!$B$37,VARIABLES!$B$37))</f>
        <v>0</v>
      </c>
      <c r="M4" s="14">
        <f>L4*VARIABLES!$B$38</f>
        <v>0</v>
      </c>
      <c r="N4" s="14">
        <f>IF($A4&lt;VARIABLES!$B$35,0,(IF($A4=VARIABLES!$B$35,0,O3)+L4)*C4*VARIABLES!$B$39)</f>
        <v>0</v>
      </c>
      <c r="O4" s="14">
        <f>IF($A4&lt;VARIABLES!$B$35,0,(IF($A4=VARIABLES!$B$35,0,O3)+L4)*(1+C4)-N4)</f>
        <v>0</v>
      </c>
      <c r="P4" s="14">
        <f>IF($A4&lt;VARIABLES!$B$42,0,IF($A4=VARIABLES!$B$42,VARIABLES!$B$43+VARIABLES!$B$44,VARIABLES!$B$44))</f>
        <v>0</v>
      </c>
      <c r="Q4" s="14">
        <f>P4*VARIABLES!$B$45</f>
        <v>0</v>
      </c>
      <c r="R4" s="14">
        <f>IF($A4&lt;VARIABLES!$B$42,0,(IF($A4=VARIABLES!$B$42,0,S3)+P4)*C4*VARIABLES!$B$46)</f>
        <v>0</v>
      </c>
      <c r="S4" s="14">
        <f>IF($A4&lt;VARIABLES!$B$42,0,(IF($A4=VARIABLES!$B$42,0,S3)+P4)*(1+C4)-R4)</f>
        <v>0</v>
      </c>
      <c r="T4" s="34">
        <f>IF($A4&lt;VARIABLES!$B$50,0,MIN(VARIABLES!$B$49,INT(($A4-VARIABLES!$B$50)/VARIABLES!$B$51)+1))</f>
        <v>0</v>
      </c>
      <c r="U4" s="14">
        <f>T4*VARIABLES!$B$53+IF(AND($A4&gt;=VARIABLES!$B$50,MOD($A4-VARIABLES!$B$50,VARIABLES!$B$51)=0,($A4-VARIABLES!$B$50)/VARIABLES!$B$51&lt;VARIABLES!$B$49),VARIABLES!$B$52,0)</f>
        <v>0</v>
      </c>
      <c r="V4" s="14">
        <f>U4*VARIABLES!$B$54</f>
        <v>0</v>
      </c>
      <c r="W4" s="14">
        <f>IF($A4&lt;VARIABLES!$B$50,0,(IF($A4&lt;VARIABLES!$B$50+1,0,X3)+U4)*C4*VARIABLES!$B$55)</f>
        <v>0</v>
      </c>
      <c r="X4" s="14">
        <f>IF($A4&lt;VARIABLES!$B$50,0,(IF($A4&lt;VARIABLES!$B$50+1,0,X3)+U4)*(1+C4)-W4)</f>
        <v>0</v>
      </c>
      <c r="Y4" s="14">
        <f t="shared" ref="Y4:Y51" si="0">D4+H4+L4+P4+U4</f>
        <v>500000</v>
      </c>
      <c r="Z4" s="14">
        <f t="shared" ref="Z4:Z51" si="1">E4+I4+M4+Q4+V4</f>
        <v>3750</v>
      </c>
      <c r="AA4" s="14">
        <f t="shared" ref="AA4:AA51" si="2">F4+J4+N4+R4+W4</f>
        <v>520.83333333333337</v>
      </c>
      <c r="AB4" s="35">
        <f t="shared" ref="AB4:AB51" si="3">Z4+AA4</f>
        <v>4270.833333333333</v>
      </c>
      <c r="AC4" s="36">
        <f t="shared" ref="AC4:AC51" si="4">G4+K4+O4+S4+X4</f>
        <v>520312.50000000006</v>
      </c>
      <c r="AD4" s="14">
        <f>IF($A4=1,VARIABLES!$B$12,0)</f>
        <v>50000</v>
      </c>
      <c r="AE4" s="14">
        <f>IF($A4&lt;=3,VARIABLES!$B$13,IF($A4&lt;=6,VARIABLES!$B$14,VARIABLES!$B$15))</f>
        <v>20000</v>
      </c>
      <c r="AF4" s="14">
        <f>IF(MOD($A4,12)=0,AC4*VARIABLES!$B$16,0)</f>
        <v>0</v>
      </c>
      <c r="AG4" s="14">
        <f>VARIABLES!$B$17</f>
        <v>5000</v>
      </c>
      <c r="AH4" s="14">
        <f>IF(MOD($A4,12)=0,VARIABLES!$B$18,0)</f>
        <v>0</v>
      </c>
      <c r="AI4" s="37">
        <f t="shared" ref="AI4:AI51" si="5">AD4+AE4+AF4+AG4+AH4</f>
        <v>75000</v>
      </c>
      <c r="AJ4" s="38">
        <f>IF($A4&lt;VARIABLES!$B$7,VARIABLES!$B$9,0)</f>
        <v>26583.333333333332</v>
      </c>
      <c r="AK4" s="39">
        <f t="shared" ref="AK4:AK51" si="6">AB4-AI4-AJ4</f>
        <v>-97312.5</v>
      </c>
      <c r="AL4" s="39">
        <f>AK4</f>
        <v>-97312.5</v>
      </c>
      <c r="AM4" s="40">
        <f>AJ4</f>
        <v>26583.333333333332</v>
      </c>
    </row>
    <row r="5" spans="1:39" x14ac:dyDescent="0.2">
      <c r="A5" s="41">
        <v>2</v>
      </c>
      <c r="B5" s="41" t="str">
        <f>TEXT(DATE(VARIABLES!$B$59+INT((VARIABLES!$B$60+A5-2)/12),MOD(VARIABLES!$B$60+A5-2,12)+1,1),"mmm-yy")</f>
        <v>Jul-26</v>
      </c>
      <c r="C5" s="42">
        <f>IF($A5&lt;VARIABLES!$B$7,VARIABLES!$B$5/12,VARIABLES!$B$6/12)</f>
        <v>4.1666666666666664E-2</v>
      </c>
      <c r="D5" s="43">
        <f>IF($A5&lt;VARIABLES!$B$21,0,IF($A5=VARIABLES!$B$21,VARIABLES!$B$22+VARIABLES!$B$23,VARIABLES!$B$23))</f>
        <v>200000</v>
      </c>
      <c r="E5" s="43">
        <f>D5*VARIABLES!$B$24</f>
        <v>1500</v>
      </c>
      <c r="F5" s="43">
        <f>IF($A5&lt;VARIABLES!$B$21,0,(IF($A5=VARIABLES!$B$21,0,G4)+D5)*C5*VARIABLES!$B$25)</f>
        <v>750.32552083333337</v>
      </c>
      <c r="G5" s="43">
        <f>IF($A5&lt;VARIABLES!$B$21,0,(IF($A5=VARIABLES!$B$21,0,G4)+D5)*(1+C5)-F5)</f>
        <v>749575.1953125</v>
      </c>
      <c r="H5" s="43">
        <f>IF($A5&lt;VARIABLES!$B$28,0,IF($A5=VARIABLES!$B$28,VARIABLES!$B$29+VARIABLES!$B$30,VARIABLES!$B$30))</f>
        <v>40000</v>
      </c>
      <c r="I5" s="43">
        <f>H5*VARIABLES!$B$31</f>
        <v>300</v>
      </c>
      <c r="J5" s="43">
        <f>IF($A5&lt;VARIABLES!$B$28,0,(IF($A5=VARIABLES!$B$28,0,K4)+H5)*C5*VARIABLES!$B$32)</f>
        <v>166.66666666666666</v>
      </c>
      <c r="K5" s="43">
        <f>IF($A5&lt;VARIABLES!$B$28,0,(IF($A5=VARIABLES!$B$28,0,K4)+H5)*(1+C5)-J5)</f>
        <v>41500.000000000007</v>
      </c>
      <c r="L5" s="43">
        <f>IF($A5&lt;VARIABLES!$B$35,0,IF($A5=VARIABLES!$B$35,VARIABLES!$B$36+VARIABLES!$B$37,VARIABLES!$B$37))</f>
        <v>5000000</v>
      </c>
      <c r="M5" s="43">
        <f>L5*VARIABLES!$B$38</f>
        <v>37500</v>
      </c>
      <c r="N5" s="43">
        <f>IF($A5&lt;VARIABLES!$B$35,0,(IF($A5=VARIABLES!$B$35,0,O4)+L5)*C5*VARIABLES!$B$39)</f>
        <v>20833.333333333332</v>
      </c>
      <c r="O5" s="43">
        <f>IF($A5&lt;VARIABLES!$B$35,0,(IF($A5=VARIABLES!$B$35,0,O4)+L5)*(1+C5)-N5)</f>
        <v>5187500.0000000009</v>
      </c>
      <c r="P5" s="43">
        <f>IF($A5&lt;VARIABLES!$B$42,0,IF($A5=VARIABLES!$B$42,VARIABLES!$B$43+VARIABLES!$B$44,VARIABLES!$B$44))</f>
        <v>20000</v>
      </c>
      <c r="Q5" s="43">
        <f>P5*VARIABLES!$B$45</f>
        <v>150</v>
      </c>
      <c r="R5" s="43">
        <f>IF($A5&lt;VARIABLES!$B$42,0,(IF($A5=VARIABLES!$B$42,0,S4)+P5)*C5*VARIABLES!$B$46)</f>
        <v>20.833333333333332</v>
      </c>
      <c r="S5" s="43">
        <f>IF($A5&lt;VARIABLES!$B$42,0,(IF($A5=VARIABLES!$B$42,0,S4)+P5)*(1+C5)-R5)</f>
        <v>20812.500000000004</v>
      </c>
      <c r="T5" s="44">
        <f>IF($A5&lt;VARIABLES!$B$50,0,MIN(VARIABLES!$B$49,INT(($A5-VARIABLES!$B$50)/VARIABLES!$B$51)+1))</f>
        <v>0</v>
      </c>
      <c r="U5" s="43">
        <f>T5*VARIABLES!$B$53+IF(AND($A5&gt;=VARIABLES!$B$50,MOD($A5-VARIABLES!$B$50,VARIABLES!$B$51)=0,($A5-VARIABLES!$B$50)/VARIABLES!$B$51&lt;VARIABLES!$B$49),VARIABLES!$B$52,0)</f>
        <v>0</v>
      </c>
      <c r="V5" s="43">
        <f>U5*VARIABLES!$B$54</f>
        <v>0</v>
      </c>
      <c r="W5" s="43">
        <f>IF($A5&lt;VARIABLES!$B$50,0,(IF($A5&lt;VARIABLES!$B$50+1,0,X4)+U5)*C5*VARIABLES!$B$55)</f>
        <v>0</v>
      </c>
      <c r="X5" s="43">
        <f>IF($A5&lt;VARIABLES!$B$50,0,(IF($A5&lt;VARIABLES!$B$50+1,0,X4)+U5)*(1+C5)-W5)</f>
        <v>0</v>
      </c>
      <c r="Y5" s="43">
        <f t="shared" si="0"/>
        <v>5260000</v>
      </c>
      <c r="Z5" s="43">
        <f t="shared" si="1"/>
        <v>39450</v>
      </c>
      <c r="AA5" s="43">
        <f t="shared" si="2"/>
        <v>21771.158854166664</v>
      </c>
      <c r="AB5" s="35">
        <f t="shared" si="3"/>
        <v>61221.158854166664</v>
      </c>
      <c r="AC5" s="36">
        <f t="shared" si="4"/>
        <v>5999387.6953125009</v>
      </c>
      <c r="AD5" s="43">
        <f>IF($A5=1,VARIABLES!$B$12,0)</f>
        <v>0</v>
      </c>
      <c r="AE5" s="43">
        <f>IF($A5&lt;=3,VARIABLES!$B$13,IF($A5&lt;=6,VARIABLES!$B$14,VARIABLES!$B$15))</f>
        <v>20000</v>
      </c>
      <c r="AF5" s="43">
        <f>IF(MOD($A5,12)=0,AC5*VARIABLES!$B$16,0)</f>
        <v>0</v>
      </c>
      <c r="AG5" s="43">
        <f>VARIABLES!$B$17</f>
        <v>5000</v>
      </c>
      <c r="AH5" s="43">
        <f>IF(MOD($A5,12)=0,VARIABLES!$B$18,0)</f>
        <v>0</v>
      </c>
      <c r="AI5" s="37">
        <f t="shared" si="5"/>
        <v>25000</v>
      </c>
      <c r="AJ5" s="38">
        <f>IF($A5&lt;VARIABLES!$B$7,VARIABLES!$B$9,0)</f>
        <v>26583.333333333332</v>
      </c>
      <c r="AK5" s="45">
        <f t="shared" si="6"/>
        <v>9637.8255208333321</v>
      </c>
      <c r="AL5" s="45">
        <f t="shared" ref="AL5:AL51" si="7">AL4+AK5</f>
        <v>-87674.674479166672</v>
      </c>
      <c r="AM5" s="40">
        <f t="shared" ref="AM5:AM51" si="8">AM4+AJ5</f>
        <v>53166.666666666664</v>
      </c>
    </row>
    <row r="6" spans="1:39" x14ac:dyDescent="0.2">
      <c r="A6" s="32">
        <v>3</v>
      </c>
      <c r="B6" s="32" t="str">
        <f>TEXT(DATE(VARIABLES!$B$59+INT((VARIABLES!$B$60+A6-2)/12),MOD(VARIABLES!$B$60+A6-2,12)+1,1),"mmm-yy")</f>
        <v>Aug-26</v>
      </c>
      <c r="C6" s="33">
        <f>IF($A6&lt;VARIABLES!$B$7,VARIABLES!$B$5/12,VARIABLES!$B$6/12)</f>
        <v>4.1666666666666664E-2</v>
      </c>
      <c r="D6" s="14">
        <f>IF($A6&lt;VARIABLES!$B$21,0,IF($A6=VARIABLES!$B$21,VARIABLES!$B$22+VARIABLES!$B$23,VARIABLES!$B$23))</f>
        <v>200000</v>
      </c>
      <c r="E6" s="14">
        <f>D6*VARIABLES!$B$24</f>
        <v>1500</v>
      </c>
      <c r="F6" s="14">
        <f>IF($A6&lt;VARIABLES!$B$21,0,(IF($A6=VARIABLES!$B$21,0,G5)+D6)*C6*VARIABLES!$B$25)</f>
        <v>989.14082845052076</v>
      </c>
      <c r="G6" s="14">
        <f>IF($A6&lt;VARIABLES!$B$21,0,(IF($A6=VARIABLES!$B$21,0,G5)+D6)*(1+C6)-F6)</f>
        <v>988151.68762207031</v>
      </c>
      <c r="H6" s="14">
        <f>IF($A6&lt;VARIABLES!$B$28,0,IF($A6=VARIABLES!$B$28,VARIABLES!$B$29+VARIABLES!$B$30,VARIABLES!$B$30))</f>
        <v>40000</v>
      </c>
      <c r="I6" s="14">
        <f>H6*VARIABLES!$B$31</f>
        <v>300</v>
      </c>
      <c r="J6" s="14">
        <f>IF($A6&lt;VARIABLES!$B$28,0,(IF($A6=VARIABLES!$B$28,0,K5)+H6)*C6*VARIABLES!$B$32)</f>
        <v>339.58333333333331</v>
      </c>
      <c r="K6" s="14">
        <f>IF($A6&lt;VARIABLES!$B$28,0,(IF($A6=VARIABLES!$B$28,0,K5)+H6)*(1+C6)-J6)</f>
        <v>84556.250000000015</v>
      </c>
      <c r="L6" s="14">
        <f>IF($A6&lt;VARIABLES!$B$35,0,IF($A6=VARIABLES!$B$35,VARIABLES!$B$36+VARIABLES!$B$37,VARIABLES!$B$37))</f>
        <v>0</v>
      </c>
      <c r="M6" s="14">
        <f>L6*VARIABLES!$B$38</f>
        <v>0</v>
      </c>
      <c r="N6" s="14">
        <f>IF($A6&lt;VARIABLES!$B$35,0,(IF($A6=VARIABLES!$B$35,0,O5)+L6)*C6*VARIABLES!$B$39)</f>
        <v>21614.583333333339</v>
      </c>
      <c r="O6" s="14">
        <f>IF($A6&lt;VARIABLES!$B$35,0,(IF($A6=VARIABLES!$B$35,0,O5)+L6)*(1+C6)-N6)</f>
        <v>5382031.2500000019</v>
      </c>
      <c r="P6" s="14">
        <f>IF($A6&lt;VARIABLES!$B$42,0,IF($A6=VARIABLES!$B$42,VARIABLES!$B$43+VARIABLES!$B$44,VARIABLES!$B$44))</f>
        <v>20000</v>
      </c>
      <c r="Q6" s="14">
        <f>P6*VARIABLES!$B$45</f>
        <v>150</v>
      </c>
      <c r="R6" s="14">
        <f>IF($A6&lt;VARIABLES!$B$42,0,(IF($A6=VARIABLES!$B$42,0,S5)+P6)*C6*VARIABLES!$B$46)</f>
        <v>42.513020833333336</v>
      </c>
      <c r="S6" s="14">
        <f>IF($A6&lt;VARIABLES!$B$42,0,(IF($A6=VARIABLES!$B$42,0,S5)+P6)*(1+C6)-R6)</f>
        <v>42470.5078125</v>
      </c>
      <c r="T6" s="34">
        <f>IF($A6&lt;VARIABLES!$B$50,0,MIN(VARIABLES!$B$49,INT(($A6-VARIABLES!$B$50)/VARIABLES!$B$51)+1))</f>
        <v>0</v>
      </c>
      <c r="U6" s="14">
        <f>T6*VARIABLES!$B$53+IF(AND($A6&gt;=VARIABLES!$B$50,MOD($A6-VARIABLES!$B$50,VARIABLES!$B$51)=0,($A6-VARIABLES!$B$50)/VARIABLES!$B$51&lt;VARIABLES!$B$49),VARIABLES!$B$52,0)</f>
        <v>0</v>
      </c>
      <c r="V6" s="14">
        <f>U6*VARIABLES!$B$54</f>
        <v>0</v>
      </c>
      <c r="W6" s="14">
        <f>IF($A6&lt;VARIABLES!$B$50,0,(IF($A6&lt;VARIABLES!$B$50+1,0,X5)+U6)*C6*VARIABLES!$B$55)</f>
        <v>0</v>
      </c>
      <c r="X6" s="14">
        <f>IF($A6&lt;VARIABLES!$B$50,0,(IF($A6&lt;VARIABLES!$B$50+1,0,X5)+U6)*(1+C6)-W6)</f>
        <v>0</v>
      </c>
      <c r="Y6" s="14">
        <f t="shared" si="0"/>
        <v>260000</v>
      </c>
      <c r="Z6" s="14">
        <f t="shared" si="1"/>
        <v>1950</v>
      </c>
      <c r="AA6" s="14">
        <f t="shared" si="2"/>
        <v>22985.820515950527</v>
      </c>
      <c r="AB6" s="35">
        <f t="shared" si="3"/>
        <v>24935.820515950527</v>
      </c>
      <c r="AC6" s="36">
        <f t="shared" si="4"/>
        <v>6497209.6954345722</v>
      </c>
      <c r="AD6" s="14">
        <f>IF($A6=1,VARIABLES!$B$12,0)</f>
        <v>0</v>
      </c>
      <c r="AE6" s="14">
        <f>IF($A6&lt;=3,VARIABLES!$B$13,IF($A6&lt;=6,VARIABLES!$B$14,VARIABLES!$B$15))</f>
        <v>20000</v>
      </c>
      <c r="AF6" s="14">
        <f>IF(MOD($A6,12)=0,AC6*VARIABLES!$B$16,0)</f>
        <v>0</v>
      </c>
      <c r="AG6" s="14">
        <f>VARIABLES!$B$17</f>
        <v>5000</v>
      </c>
      <c r="AH6" s="14">
        <f>IF(MOD($A6,12)=0,VARIABLES!$B$18,0)</f>
        <v>0</v>
      </c>
      <c r="AI6" s="37">
        <f t="shared" si="5"/>
        <v>25000</v>
      </c>
      <c r="AJ6" s="38">
        <f>IF($A6&lt;VARIABLES!$B$7,VARIABLES!$B$9,0)</f>
        <v>26583.333333333332</v>
      </c>
      <c r="AK6" s="39">
        <f t="shared" si="6"/>
        <v>-26647.512817382805</v>
      </c>
      <c r="AL6" s="39">
        <f t="shared" si="7"/>
        <v>-114322.18729654947</v>
      </c>
      <c r="AM6" s="40">
        <f t="shared" si="8"/>
        <v>79750</v>
      </c>
    </row>
    <row r="7" spans="1:39" x14ac:dyDescent="0.2">
      <c r="A7" s="41">
        <v>4</v>
      </c>
      <c r="B7" s="41" t="str">
        <f>TEXT(DATE(VARIABLES!$B$59+INT((VARIABLES!$B$60+A7-2)/12),MOD(VARIABLES!$B$60+A7-2,12)+1,1),"mmm-yy")</f>
        <v>Sept-26</v>
      </c>
      <c r="C7" s="42">
        <f>IF($A7&lt;VARIABLES!$B$7,VARIABLES!$B$5/12,VARIABLES!$B$6/12)</f>
        <v>4.1666666666666664E-2</v>
      </c>
      <c r="D7" s="43">
        <f>IF($A7&lt;VARIABLES!$B$21,0,IF($A7=VARIABLES!$B$21,VARIABLES!$B$22+VARIABLES!$B$23,VARIABLES!$B$23))</f>
        <v>200000</v>
      </c>
      <c r="E7" s="43">
        <f>D7*VARIABLES!$B$24</f>
        <v>1500</v>
      </c>
      <c r="F7" s="43">
        <f>IF($A7&lt;VARIABLES!$B$21,0,(IF($A7=VARIABLES!$B$21,0,G6)+D7)*C7*VARIABLES!$B$25)</f>
        <v>1237.6580079396565</v>
      </c>
      <c r="G7" s="43">
        <f>IF($A7&lt;VARIABLES!$B$21,0,(IF($A7=VARIABLES!$B$21,0,G6)+D7)*(1+C7)-F7)</f>
        <v>1236420.3499317172</v>
      </c>
      <c r="H7" s="43">
        <f>IF($A7&lt;VARIABLES!$B$28,0,IF($A7=VARIABLES!$B$28,VARIABLES!$B$29+VARIABLES!$B$30,VARIABLES!$B$30))</f>
        <v>40000</v>
      </c>
      <c r="I7" s="43">
        <f>H7*VARIABLES!$B$31</f>
        <v>300</v>
      </c>
      <c r="J7" s="43">
        <f>IF($A7&lt;VARIABLES!$B$28,0,(IF($A7=VARIABLES!$B$28,0,K6)+H7)*C7*VARIABLES!$B$32)</f>
        <v>518.984375</v>
      </c>
      <c r="K7" s="43">
        <f>IF($A7&lt;VARIABLES!$B$28,0,(IF($A7=VARIABLES!$B$28,0,K6)+H7)*(1+C7)-J7)</f>
        <v>129227.10937500003</v>
      </c>
      <c r="L7" s="43">
        <f>IF($A7&lt;VARIABLES!$B$35,0,IF($A7=VARIABLES!$B$35,VARIABLES!$B$36+VARIABLES!$B$37,VARIABLES!$B$37))</f>
        <v>0</v>
      </c>
      <c r="M7" s="43">
        <f>L7*VARIABLES!$B$38</f>
        <v>0</v>
      </c>
      <c r="N7" s="43">
        <f>IF($A7&lt;VARIABLES!$B$35,0,(IF($A7=VARIABLES!$B$35,0,O6)+L7)*C7*VARIABLES!$B$39)</f>
        <v>22425.130208333343</v>
      </c>
      <c r="O7" s="43">
        <f>IF($A7&lt;VARIABLES!$B$35,0,(IF($A7=VARIABLES!$B$35,0,O6)+L7)*(1+C7)-N7)</f>
        <v>5583857.4218750028</v>
      </c>
      <c r="P7" s="43">
        <f>IF($A7&lt;VARIABLES!$B$42,0,IF($A7=VARIABLES!$B$42,VARIABLES!$B$43+VARIABLES!$B$44,VARIABLES!$B$44))</f>
        <v>20000</v>
      </c>
      <c r="Q7" s="43">
        <f>P7*VARIABLES!$B$45</f>
        <v>150</v>
      </c>
      <c r="R7" s="43">
        <f>IF($A7&lt;VARIABLES!$B$42,0,(IF($A7=VARIABLES!$B$42,0,S6)+P7)*C7*VARIABLES!$B$46)</f>
        <v>65.073445638020829</v>
      </c>
      <c r="S7" s="43">
        <f>IF($A7&lt;VARIABLES!$B$42,0,(IF($A7=VARIABLES!$B$42,0,S6)+P7)*(1+C7)-R7)</f>
        <v>65008.372192382813</v>
      </c>
      <c r="T7" s="44">
        <f>IF($A7&lt;VARIABLES!$B$50,0,MIN(VARIABLES!$B$49,INT(($A7-VARIABLES!$B$50)/VARIABLES!$B$51)+1))</f>
        <v>1</v>
      </c>
      <c r="U7" s="43">
        <f>T7*VARIABLES!$B$53+IF(AND($A7&gt;=VARIABLES!$B$50,MOD($A7-VARIABLES!$B$50,VARIABLES!$B$51)=0,($A7-VARIABLES!$B$50)/VARIABLES!$B$51&lt;VARIABLES!$B$49),VARIABLES!$B$52,0)</f>
        <v>55000</v>
      </c>
      <c r="V7" s="43">
        <f>U7*VARIABLES!$B$54</f>
        <v>412.5</v>
      </c>
      <c r="W7" s="43">
        <f>IF($A7&lt;VARIABLES!$B$50,0,(IF($A7&lt;VARIABLES!$B$50+1,0,X6)+U7)*C7*VARIABLES!$B$55)</f>
        <v>229.16666666666666</v>
      </c>
      <c r="X7" s="43">
        <f>IF($A7&lt;VARIABLES!$B$50,0,(IF($A7&lt;VARIABLES!$B$50+1,0,X6)+U7)*(1+C7)-W7)</f>
        <v>57062.500000000007</v>
      </c>
      <c r="Y7" s="43">
        <f t="shared" si="0"/>
        <v>315000</v>
      </c>
      <c r="Z7" s="43">
        <f t="shared" si="1"/>
        <v>2362.5</v>
      </c>
      <c r="AA7" s="43">
        <f t="shared" si="2"/>
        <v>24476.012703577686</v>
      </c>
      <c r="AB7" s="35">
        <f t="shared" si="3"/>
        <v>26838.512703577686</v>
      </c>
      <c r="AC7" s="36">
        <f t="shared" si="4"/>
        <v>7071575.7533741025</v>
      </c>
      <c r="AD7" s="43">
        <f>IF($A7=1,VARIABLES!$B$12,0)</f>
        <v>0</v>
      </c>
      <c r="AE7" s="43">
        <f>IF($A7&lt;=3,VARIABLES!$B$13,IF($A7&lt;=6,VARIABLES!$B$14,VARIABLES!$B$15))</f>
        <v>30000</v>
      </c>
      <c r="AF7" s="43">
        <f>IF(MOD($A7,12)=0,AC7*VARIABLES!$B$16,0)</f>
        <v>0</v>
      </c>
      <c r="AG7" s="43">
        <f>VARIABLES!$B$17</f>
        <v>5000</v>
      </c>
      <c r="AH7" s="43">
        <f>IF(MOD($A7,12)=0,VARIABLES!$B$18,0)</f>
        <v>0</v>
      </c>
      <c r="AI7" s="37">
        <f t="shared" si="5"/>
        <v>35000</v>
      </c>
      <c r="AJ7" s="38">
        <f>IF($A7&lt;VARIABLES!$B$7,VARIABLES!$B$9,0)</f>
        <v>26583.333333333332</v>
      </c>
      <c r="AK7" s="45">
        <f t="shared" si="6"/>
        <v>-34744.820629755646</v>
      </c>
      <c r="AL7" s="45">
        <f t="shared" si="7"/>
        <v>-149067.00792630512</v>
      </c>
      <c r="AM7" s="40">
        <f t="shared" si="8"/>
        <v>106333.33333333333</v>
      </c>
    </row>
    <row r="8" spans="1:39" x14ac:dyDescent="0.2">
      <c r="A8" s="32">
        <v>5</v>
      </c>
      <c r="B8" s="32" t="str">
        <f>TEXT(DATE(VARIABLES!$B$59+INT((VARIABLES!$B$60+A8-2)/12),MOD(VARIABLES!$B$60+A8-2,12)+1,1),"mmm-yy")</f>
        <v>Oct-26</v>
      </c>
      <c r="C8" s="33">
        <f>IF($A8&lt;VARIABLES!$B$7,VARIABLES!$B$5/12,VARIABLES!$B$6/12)</f>
        <v>4.1666666666666664E-2</v>
      </c>
      <c r="D8" s="14">
        <f>IF($A8&lt;VARIABLES!$B$21,0,IF($A8=VARIABLES!$B$21,VARIABLES!$B$22+VARIABLES!$B$23,VARIABLES!$B$23))</f>
        <v>200000</v>
      </c>
      <c r="E8" s="14">
        <f>D8*VARIABLES!$B$24</f>
        <v>1500</v>
      </c>
      <c r="F8" s="14">
        <f>IF($A8&lt;VARIABLES!$B$21,0,(IF($A8=VARIABLES!$B$21,0,G7)+D8)*C8*VARIABLES!$B$25)</f>
        <v>1496.2711978455388</v>
      </c>
      <c r="G8" s="14">
        <f>IF($A8&lt;VARIABLES!$B$21,0,(IF($A8=VARIABLES!$B$21,0,G7)+D8)*(1+C8)-F8)</f>
        <v>1494774.9266476934</v>
      </c>
      <c r="H8" s="14">
        <f>IF($A8&lt;VARIABLES!$B$28,0,IF($A8=VARIABLES!$B$28,VARIABLES!$B$29+VARIABLES!$B$30,VARIABLES!$B$30))</f>
        <v>40000</v>
      </c>
      <c r="I8" s="14">
        <f>H8*VARIABLES!$B$31</f>
        <v>300</v>
      </c>
      <c r="J8" s="14">
        <f>IF($A8&lt;VARIABLES!$B$28,0,(IF($A8=VARIABLES!$B$28,0,K7)+H8)*C8*VARIABLES!$B$32)</f>
        <v>705.11295572916686</v>
      </c>
      <c r="K8" s="14">
        <f>IF($A8&lt;VARIABLES!$B$28,0,(IF($A8=VARIABLES!$B$28,0,K7)+H8)*(1+C8)-J8)</f>
        <v>175573.12597656256</v>
      </c>
      <c r="L8" s="14">
        <f>IF($A8&lt;VARIABLES!$B$35,0,IF($A8=VARIABLES!$B$35,VARIABLES!$B$36+VARIABLES!$B$37,VARIABLES!$B$37))</f>
        <v>0</v>
      </c>
      <c r="M8" s="14">
        <f>L8*VARIABLES!$B$38</f>
        <v>0</v>
      </c>
      <c r="N8" s="14">
        <f>IF($A8&lt;VARIABLES!$B$35,0,(IF($A8=VARIABLES!$B$35,0,O7)+L8)*C8*VARIABLES!$B$39)</f>
        <v>23266.072591145843</v>
      </c>
      <c r="O8" s="14">
        <f>IF($A8&lt;VARIABLES!$B$35,0,(IF($A8=VARIABLES!$B$35,0,O7)+L8)*(1+C8)-N8)</f>
        <v>5793252.0751953162</v>
      </c>
      <c r="P8" s="14">
        <f>IF($A8&lt;VARIABLES!$B$42,0,IF($A8=VARIABLES!$B$42,VARIABLES!$B$43+VARIABLES!$B$44,VARIABLES!$B$44))</f>
        <v>20000</v>
      </c>
      <c r="Q8" s="14">
        <f>P8*VARIABLES!$B$45</f>
        <v>150</v>
      </c>
      <c r="R8" s="14">
        <f>IF($A8&lt;VARIABLES!$B$42,0,(IF($A8=VARIABLES!$B$42,0,S7)+P8)*C8*VARIABLES!$B$46)</f>
        <v>88.550387700398758</v>
      </c>
      <c r="S8" s="14">
        <f>IF($A8&lt;VARIABLES!$B$42,0,(IF($A8=VARIABLES!$B$42,0,S7)+P8)*(1+C8)-R8)</f>
        <v>88461.837312698379</v>
      </c>
      <c r="T8" s="34">
        <f>IF($A8&lt;VARIABLES!$B$50,0,MIN(VARIABLES!$B$49,INT(($A8-VARIABLES!$B$50)/VARIABLES!$B$51)+1))</f>
        <v>2</v>
      </c>
      <c r="U8" s="14">
        <f>T8*VARIABLES!$B$53+IF(AND($A8&gt;=VARIABLES!$B$50,MOD($A8-VARIABLES!$B$50,VARIABLES!$B$51)=0,($A8-VARIABLES!$B$50)/VARIABLES!$B$51&lt;VARIABLES!$B$49),VARIABLES!$B$52,0)</f>
        <v>60000</v>
      </c>
      <c r="V8" s="14">
        <f>U8*VARIABLES!$B$54</f>
        <v>450</v>
      </c>
      <c r="W8" s="14">
        <f>IF($A8&lt;VARIABLES!$B$50,0,(IF($A8&lt;VARIABLES!$B$50+1,0,X7)+U8)*C8*VARIABLES!$B$55)</f>
        <v>487.76041666666663</v>
      </c>
      <c r="X8" s="14">
        <f>IF($A8&lt;VARIABLES!$B$50,0,(IF($A8&lt;VARIABLES!$B$50+1,0,X7)+U8)*(1+C8)-W8)</f>
        <v>121452.34375</v>
      </c>
      <c r="Y8" s="14">
        <f t="shared" si="0"/>
        <v>320000</v>
      </c>
      <c r="Z8" s="14">
        <f t="shared" si="1"/>
        <v>2400</v>
      </c>
      <c r="AA8" s="14">
        <f t="shared" si="2"/>
        <v>26043.767549087614</v>
      </c>
      <c r="AB8" s="35">
        <f t="shared" si="3"/>
        <v>28443.767549087614</v>
      </c>
      <c r="AC8" s="36">
        <f t="shared" si="4"/>
        <v>7673514.30888227</v>
      </c>
      <c r="AD8" s="14">
        <f>IF($A8=1,VARIABLES!$B$12,0)</f>
        <v>0</v>
      </c>
      <c r="AE8" s="14">
        <f>IF($A8&lt;=3,VARIABLES!$B$13,IF($A8&lt;=6,VARIABLES!$B$14,VARIABLES!$B$15))</f>
        <v>30000</v>
      </c>
      <c r="AF8" s="14">
        <f>IF(MOD($A8,12)=0,AC8*VARIABLES!$B$16,0)</f>
        <v>0</v>
      </c>
      <c r="AG8" s="14">
        <f>VARIABLES!$B$17</f>
        <v>5000</v>
      </c>
      <c r="AH8" s="14">
        <f>IF(MOD($A8,12)=0,VARIABLES!$B$18,0)</f>
        <v>0</v>
      </c>
      <c r="AI8" s="37">
        <f t="shared" si="5"/>
        <v>35000</v>
      </c>
      <c r="AJ8" s="38">
        <f>IF($A8&lt;VARIABLES!$B$7,VARIABLES!$B$9,0)</f>
        <v>26583.333333333332</v>
      </c>
      <c r="AK8" s="39">
        <f t="shared" si="6"/>
        <v>-33139.565784245715</v>
      </c>
      <c r="AL8" s="39">
        <f t="shared" si="7"/>
        <v>-182206.57371055085</v>
      </c>
      <c r="AM8" s="40">
        <f t="shared" si="8"/>
        <v>132916.66666666666</v>
      </c>
    </row>
    <row r="9" spans="1:39" x14ac:dyDescent="0.2">
      <c r="A9" s="41">
        <v>6</v>
      </c>
      <c r="B9" s="41" t="str">
        <f>TEXT(DATE(VARIABLES!$B$59+INT((VARIABLES!$B$60+A9-2)/12),MOD(VARIABLES!$B$60+A9-2,12)+1,1),"mmm-yy")</f>
        <v>Nov-26</v>
      </c>
      <c r="C9" s="42">
        <f>IF($A9&lt;VARIABLES!$B$7,VARIABLES!$B$5/12,VARIABLES!$B$6/12)</f>
        <v>4.1666666666666664E-2</v>
      </c>
      <c r="D9" s="43">
        <f>IF($A9&lt;VARIABLES!$B$21,0,IF($A9=VARIABLES!$B$21,VARIABLES!$B$22+VARIABLES!$B$23,VARIABLES!$B$23))</f>
        <v>200000</v>
      </c>
      <c r="E9" s="43">
        <f>D9*VARIABLES!$B$24</f>
        <v>1500</v>
      </c>
      <c r="F9" s="43">
        <f>IF($A9&lt;VARIABLES!$B$21,0,(IF($A9=VARIABLES!$B$21,0,G8)+D9)*C9*VARIABLES!$B$25)</f>
        <v>1765.3905485913472</v>
      </c>
      <c r="G9" s="43">
        <f>IF($A9&lt;VARIABLES!$B$21,0,(IF($A9=VARIABLES!$B$21,0,G8)+D9)*(1+C9)-F9)</f>
        <v>1763625.1580427561</v>
      </c>
      <c r="H9" s="43">
        <f>IF($A9&lt;VARIABLES!$B$28,0,IF($A9=VARIABLES!$B$28,VARIABLES!$B$29+VARIABLES!$B$30,VARIABLES!$B$30))</f>
        <v>40000</v>
      </c>
      <c r="I9" s="43">
        <f>H9*VARIABLES!$B$31</f>
        <v>300</v>
      </c>
      <c r="J9" s="43">
        <f>IF($A9&lt;VARIABLES!$B$28,0,(IF($A9=VARIABLES!$B$28,0,K8)+H9)*C9*VARIABLES!$B$32)</f>
        <v>898.22135823567737</v>
      </c>
      <c r="K9" s="43">
        <f>IF($A9&lt;VARIABLES!$B$28,0,(IF($A9=VARIABLES!$B$28,0,K8)+H9)*(1+C9)-J9)</f>
        <v>223657.11820068368</v>
      </c>
      <c r="L9" s="43">
        <f>IF($A9&lt;VARIABLES!$B$35,0,IF($A9=VARIABLES!$B$35,VARIABLES!$B$36+VARIABLES!$B$37,VARIABLES!$B$37))</f>
        <v>0</v>
      </c>
      <c r="M9" s="43">
        <f>L9*VARIABLES!$B$38</f>
        <v>0</v>
      </c>
      <c r="N9" s="43">
        <f>IF($A9&lt;VARIABLES!$B$35,0,(IF($A9=VARIABLES!$B$35,0,O8)+L9)*C9*VARIABLES!$B$39)</f>
        <v>24138.550313313819</v>
      </c>
      <c r="O9" s="43">
        <f>IF($A9&lt;VARIABLES!$B$35,0,(IF($A9=VARIABLES!$B$35,0,O8)+L9)*(1+C9)-N9)</f>
        <v>6010499.0280151414</v>
      </c>
      <c r="P9" s="43">
        <f>IF($A9&lt;VARIABLES!$B$42,0,IF($A9=VARIABLES!$B$42,VARIABLES!$B$43+VARIABLES!$B$44,VARIABLES!$B$44))</f>
        <v>20000</v>
      </c>
      <c r="Q9" s="43">
        <f>P9*VARIABLES!$B$45</f>
        <v>150</v>
      </c>
      <c r="R9" s="43">
        <f>IF($A9&lt;VARIABLES!$B$42,0,(IF($A9=VARIABLES!$B$42,0,S8)+P9)*C9*VARIABLES!$B$46)</f>
        <v>112.98108053406082</v>
      </c>
      <c r="S9" s="43">
        <f>IF($A9&lt;VARIABLES!$B$42,0,(IF($A9=VARIABLES!$B$42,0,S8)+P9)*(1+C9)-R9)</f>
        <v>112868.09945352675</v>
      </c>
      <c r="T9" s="44">
        <f>IF($A9&lt;VARIABLES!$B$50,0,MIN(VARIABLES!$B$49,INT(($A9-VARIABLES!$B$50)/VARIABLES!$B$51)+1))</f>
        <v>3</v>
      </c>
      <c r="U9" s="43">
        <f>T9*VARIABLES!$B$53+IF(AND($A9&gt;=VARIABLES!$B$50,MOD($A9-VARIABLES!$B$50,VARIABLES!$B$51)=0,($A9-VARIABLES!$B$50)/VARIABLES!$B$51&lt;VARIABLES!$B$49),VARIABLES!$B$52,0)</f>
        <v>65000</v>
      </c>
      <c r="V9" s="43">
        <f>U9*VARIABLES!$B$54</f>
        <v>487.5</v>
      </c>
      <c r="W9" s="43">
        <f>IF($A9&lt;VARIABLES!$B$50,0,(IF($A9&lt;VARIABLES!$B$50+1,0,X8)+U9)*C9*VARIABLES!$B$55)</f>
        <v>776.884765625</v>
      </c>
      <c r="X9" s="43">
        <f>IF($A9&lt;VARIABLES!$B$50,0,(IF($A9&lt;VARIABLES!$B$50+1,0,X8)+U9)*(1+C9)-W9)</f>
        <v>193444.306640625</v>
      </c>
      <c r="Y9" s="43">
        <f t="shared" si="0"/>
        <v>325000</v>
      </c>
      <c r="Z9" s="43">
        <f t="shared" si="1"/>
        <v>2437.5</v>
      </c>
      <c r="AA9" s="43">
        <f t="shared" si="2"/>
        <v>27692.028066299903</v>
      </c>
      <c r="AB9" s="35">
        <f t="shared" si="3"/>
        <v>30129.528066299903</v>
      </c>
      <c r="AC9" s="36">
        <f t="shared" si="4"/>
        <v>8304093.7103527328</v>
      </c>
      <c r="AD9" s="43">
        <f>IF($A9=1,VARIABLES!$B$12,0)</f>
        <v>0</v>
      </c>
      <c r="AE9" s="43">
        <f>IF($A9&lt;=3,VARIABLES!$B$13,IF($A9&lt;=6,VARIABLES!$B$14,VARIABLES!$B$15))</f>
        <v>30000</v>
      </c>
      <c r="AF9" s="43">
        <f>IF(MOD($A9,12)=0,AC9*VARIABLES!$B$16,0)</f>
        <v>0</v>
      </c>
      <c r="AG9" s="43">
        <f>VARIABLES!$B$17</f>
        <v>5000</v>
      </c>
      <c r="AH9" s="43">
        <f>IF(MOD($A9,12)=0,VARIABLES!$B$18,0)</f>
        <v>0</v>
      </c>
      <c r="AI9" s="37">
        <f t="shared" si="5"/>
        <v>35000</v>
      </c>
      <c r="AJ9" s="38">
        <f>IF($A9&lt;VARIABLES!$B$7,VARIABLES!$B$9,0)</f>
        <v>26583.333333333332</v>
      </c>
      <c r="AK9" s="45">
        <f t="shared" si="6"/>
        <v>-31453.805267033429</v>
      </c>
      <c r="AL9" s="45">
        <f t="shared" si="7"/>
        <v>-213660.37897758427</v>
      </c>
      <c r="AM9" s="40">
        <f t="shared" si="8"/>
        <v>159500</v>
      </c>
    </row>
    <row r="10" spans="1:39" x14ac:dyDescent="0.2">
      <c r="A10" s="32">
        <v>7</v>
      </c>
      <c r="B10" s="32" t="str">
        <f>TEXT(DATE(VARIABLES!$B$59+INT((VARIABLES!$B$60+A10-2)/12),MOD(VARIABLES!$B$60+A10-2,12)+1,1),"mmm-yy")</f>
        <v>Dec-26</v>
      </c>
      <c r="C10" s="33">
        <f>IF($A10&lt;VARIABLES!$B$7,VARIABLES!$B$5/12,VARIABLES!$B$6/12)</f>
        <v>4.1666666666666664E-2</v>
      </c>
      <c r="D10" s="14">
        <f>IF($A10&lt;VARIABLES!$B$21,0,IF($A10=VARIABLES!$B$21,VARIABLES!$B$22+VARIABLES!$B$23,VARIABLES!$B$23))</f>
        <v>200000</v>
      </c>
      <c r="E10" s="14">
        <f>D10*VARIABLES!$B$24</f>
        <v>1500</v>
      </c>
      <c r="F10" s="14">
        <f>IF($A10&lt;VARIABLES!$B$21,0,(IF($A10=VARIABLES!$B$21,0,G9)+D10)*C10*VARIABLES!$B$25)</f>
        <v>2045.4428729612043</v>
      </c>
      <c r="G10" s="14">
        <f>IF($A10&lt;VARIABLES!$B$21,0,(IF($A10=VARIABLES!$B$21,0,G9)+D10)*(1+C10)-F10)</f>
        <v>2043397.4300882432</v>
      </c>
      <c r="H10" s="14">
        <f>IF($A10&lt;VARIABLES!$B$28,0,IF($A10=VARIABLES!$B$28,VARIABLES!$B$29+VARIABLES!$B$30,VARIABLES!$B$30))</f>
        <v>40000</v>
      </c>
      <c r="I10" s="14">
        <f>H10*VARIABLES!$B$31</f>
        <v>300</v>
      </c>
      <c r="J10" s="14">
        <f>IF($A10&lt;VARIABLES!$B$28,0,(IF($A10=VARIABLES!$B$28,0,K9)+H10)*C10*VARIABLES!$B$32)</f>
        <v>1098.5713258361818</v>
      </c>
      <c r="K10" s="14">
        <f>IF($A10&lt;VARIABLES!$B$28,0,(IF($A10=VARIABLES!$B$28,0,K9)+H10)*(1+C10)-J10)</f>
        <v>273544.26013320935</v>
      </c>
      <c r="L10" s="14">
        <f>IF($A10&lt;VARIABLES!$B$35,0,IF($A10=VARIABLES!$B$35,VARIABLES!$B$36+VARIABLES!$B$37,VARIABLES!$B$37))</f>
        <v>0</v>
      </c>
      <c r="M10" s="14">
        <f>L10*VARIABLES!$B$38</f>
        <v>0</v>
      </c>
      <c r="N10" s="14">
        <f>IF($A10&lt;VARIABLES!$B$35,0,(IF($A10=VARIABLES!$B$35,0,O9)+L10)*C10*VARIABLES!$B$39)</f>
        <v>25043.74595006309</v>
      </c>
      <c r="O10" s="14">
        <f>IF($A10&lt;VARIABLES!$B$35,0,(IF($A10=VARIABLES!$B$35,0,O9)+L10)*(1+C10)-N10)</f>
        <v>6235892.7415657099</v>
      </c>
      <c r="P10" s="14">
        <f>IF($A10&lt;VARIABLES!$B$42,0,IF($A10=VARIABLES!$B$42,VARIABLES!$B$43+VARIABLES!$B$44,VARIABLES!$B$44))</f>
        <v>20000</v>
      </c>
      <c r="Q10" s="14">
        <f>P10*VARIABLES!$B$45</f>
        <v>150</v>
      </c>
      <c r="R10" s="14">
        <f>IF($A10&lt;VARIABLES!$B$42,0,(IF($A10=VARIABLES!$B$42,0,S9)+P10)*C10*VARIABLES!$B$46)</f>
        <v>138.40427026409037</v>
      </c>
      <c r="S10" s="14">
        <f>IF($A10&lt;VARIABLES!$B$42,0,(IF($A10=VARIABLES!$B$42,0,S9)+P10)*(1+C10)-R10)</f>
        <v>138265.8659938263</v>
      </c>
      <c r="T10" s="34">
        <f>IF($A10&lt;VARIABLES!$B$50,0,MIN(VARIABLES!$B$49,INT(($A10-VARIABLES!$B$50)/VARIABLES!$B$51)+1))</f>
        <v>4</v>
      </c>
      <c r="U10" s="14">
        <f>T10*VARIABLES!$B$53+IF(AND($A10&gt;=VARIABLES!$B$50,MOD($A10-VARIABLES!$B$50,VARIABLES!$B$51)=0,($A10-VARIABLES!$B$50)/VARIABLES!$B$51&lt;VARIABLES!$B$49),VARIABLES!$B$52,0)</f>
        <v>70000</v>
      </c>
      <c r="V10" s="14">
        <f>U10*VARIABLES!$B$54</f>
        <v>525</v>
      </c>
      <c r="W10" s="14">
        <f>IF($A10&lt;VARIABLES!$B$50,0,(IF($A10&lt;VARIABLES!$B$50+1,0,X9)+U10)*C10*VARIABLES!$B$55)</f>
        <v>1097.6846110026042</v>
      </c>
      <c r="X10" s="14">
        <f>IF($A10&lt;VARIABLES!$B$50,0,(IF($A10&lt;VARIABLES!$B$50+1,0,X9)+U10)*(1+C10)-W10)</f>
        <v>273323.46813964844</v>
      </c>
      <c r="Y10" s="14">
        <f t="shared" si="0"/>
        <v>330000</v>
      </c>
      <c r="Z10" s="14">
        <f t="shared" si="1"/>
        <v>2475</v>
      </c>
      <c r="AA10" s="14">
        <f t="shared" si="2"/>
        <v>29423.849030127174</v>
      </c>
      <c r="AB10" s="35">
        <f t="shared" si="3"/>
        <v>31898.849030127174</v>
      </c>
      <c r="AC10" s="36">
        <f t="shared" si="4"/>
        <v>8964423.7659206372</v>
      </c>
      <c r="AD10" s="14">
        <f>IF($A10=1,VARIABLES!$B$12,0)</f>
        <v>0</v>
      </c>
      <c r="AE10" s="14">
        <f>IF($A10&lt;=3,VARIABLES!$B$13,IF($A10&lt;=6,VARIABLES!$B$14,VARIABLES!$B$15))</f>
        <v>40000</v>
      </c>
      <c r="AF10" s="14">
        <f>IF(MOD($A10,12)=0,AC10*VARIABLES!$B$16,0)</f>
        <v>0</v>
      </c>
      <c r="AG10" s="14">
        <f>VARIABLES!$B$17</f>
        <v>5000</v>
      </c>
      <c r="AH10" s="14">
        <f>IF(MOD($A10,12)=0,VARIABLES!$B$18,0)</f>
        <v>0</v>
      </c>
      <c r="AI10" s="37">
        <f t="shared" si="5"/>
        <v>45000</v>
      </c>
      <c r="AJ10" s="38">
        <f>IF($A10&lt;VARIABLES!$B$7,VARIABLES!$B$9,0)</f>
        <v>26583.333333333332</v>
      </c>
      <c r="AK10" s="39">
        <f t="shared" si="6"/>
        <v>-39684.484303206162</v>
      </c>
      <c r="AL10" s="39">
        <f t="shared" si="7"/>
        <v>-253344.86328079045</v>
      </c>
      <c r="AM10" s="40">
        <f t="shared" si="8"/>
        <v>186083.33333333334</v>
      </c>
    </row>
    <row r="11" spans="1:39" x14ac:dyDescent="0.2">
      <c r="A11" s="41">
        <v>8</v>
      </c>
      <c r="B11" s="41" t="str">
        <f>TEXT(DATE(VARIABLES!$B$59+INT((VARIABLES!$B$60+A11-2)/12),MOD(VARIABLES!$B$60+A11-2,12)+1,1),"mmm-yy")</f>
        <v>Jan-27</v>
      </c>
      <c r="C11" s="42">
        <f>IF($A11&lt;VARIABLES!$B$7,VARIABLES!$B$5/12,VARIABLES!$B$6/12)</f>
        <v>4.1666666666666664E-2</v>
      </c>
      <c r="D11" s="43">
        <f>IF($A11&lt;VARIABLES!$B$21,0,IF($A11=VARIABLES!$B$21,VARIABLES!$B$22+VARIABLES!$B$23,VARIABLES!$B$23))</f>
        <v>200000</v>
      </c>
      <c r="E11" s="43">
        <f>D11*VARIABLES!$B$24</f>
        <v>1500</v>
      </c>
      <c r="F11" s="43">
        <f>IF($A11&lt;VARIABLES!$B$21,0,(IF($A11=VARIABLES!$B$21,0,G10)+D11)*C11*VARIABLES!$B$25)</f>
        <v>2336.8723230085866</v>
      </c>
      <c r="G11" s="43">
        <f>IF($A11&lt;VARIABLES!$B$21,0,(IF($A11=VARIABLES!$B$21,0,G10)+D11)*(1+C11)-F11)</f>
        <v>2334535.4506855784</v>
      </c>
      <c r="H11" s="43">
        <f>IF($A11&lt;VARIABLES!$B$28,0,IF($A11=VARIABLES!$B$28,VARIABLES!$B$29+VARIABLES!$B$30,VARIABLES!$B$30))</f>
        <v>40000</v>
      </c>
      <c r="I11" s="43">
        <f>H11*VARIABLES!$B$31</f>
        <v>300</v>
      </c>
      <c r="J11" s="43">
        <f>IF($A11&lt;VARIABLES!$B$28,0,(IF($A11=VARIABLES!$B$28,0,K10)+H11)*C11*VARIABLES!$B$32)</f>
        <v>1306.4344172217056</v>
      </c>
      <c r="K11" s="43">
        <f>IF($A11&lt;VARIABLES!$B$28,0,(IF($A11=VARIABLES!$B$28,0,K10)+H11)*(1+C11)-J11)</f>
        <v>325302.16988820472</v>
      </c>
      <c r="L11" s="43">
        <f>IF($A11&lt;VARIABLES!$B$35,0,IF($A11=VARIABLES!$B$35,VARIABLES!$B$36+VARIABLES!$B$37,VARIABLES!$B$37))</f>
        <v>0</v>
      </c>
      <c r="M11" s="43">
        <f>L11*VARIABLES!$B$38</f>
        <v>0</v>
      </c>
      <c r="N11" s="43">
        <f>IF($A11&lt;VARIABLES!$B$35,0,(IF($A11=VARIABLES!$B$35,0,O10)+L11)*C11*VARIABLES!$B$39)</f>
        <v>25982.886423190459</v>
      </c>
      <c r="O11" s="43">
        <f>IF($A11&lt;VARIABLES!$B$35,0,(IF($A11=VARIABLES!$B$35,0,O10)+L11)*(1+C11)-N11)</f>
        <v>6469738.7193744248</v>
      </c>
      <c r="P11" s="43">
        <f>IF($A11&lt;VARIABLES!$B$42,0,IF($A11=VARIABLES!$B$42,VARIABLES!$B$43+VARIABLES!$B$44,VARIABLES!$B$44))</f>
        <v>20000</v>
      </c>
      <c r="Q11" s="43">
        <f>P11*VARIABLES!$B$45</f>
        <v>150</v>
      </c>
      <c r="R11" s="43">
        <f>IF($A11&lt;VARIABLES!$B$42,0,(IF($A11=VARIABLES!$B$42,0,S10)+P11)*C11*VARIABLES!$B$46)</f>
        <v>164.86027707690241</v>
      </c>
      <c r="S11" s="43">
        <f>IF($A11&lt;VARIABLES!$B$42,0,(IF($A11=VARIABLES!$B$42,0,S10)+P11)*(1+C11)-R11)</f>
        <v>164695.41679982553</v>
      </c>
      <c r="T11" s="44">
        <f>IF($A11&lt;VARIABLES!$B$50,0,MIN(VARIABLES!$B$49,INT(($A11-VARIABLES!$B$50)/VARIABLES!$B$51)+1))</f>
        <v>5</v>
      </c>
      <c r="U11" s="43">
        <f>T11*VARIABLES!$B$53+IF(AND($A11&gt;=VARIABLES!$B$50,MOD($A11-VARIABLES!$B$50,VARIABLES!$B$51)=0,($A11-VARIABLES!$B$50)/VARIABLES!$B$51&lt;VARIABLES!$B$49),VARIABLES!$B$52,0)</f>
        <v>75000</v>
      </c>
      <c r="V11" s="43">
        <f>U11*VARIABLES!$B$54</f>
        <v>562.5</v>
      </c>
      <c r="W11" s="43">
        <f>IF($A11&lt;VARIABLES!$B$50,0,(IF($A11&lt;VARIABLES!$B$50+1,0,X10)+U11)*C11*VARIABLES!$B$55)</f>
        <v>1451.3477839152019</v>
      </c>
      <c r="X11" s="43">
        <f>IF($A11&lt;VARIABLES!$B$50,0,(IF($A11&lt;VARIABLES!$B$50+1,0,X10)+U11)*(1+C11)-W11)</f>
        <v>361385.5981948853</v>
      </c>
      <c r="Y11" s="43">
        <f t="shared" si="0"/>
        <v>335000</v>
      </c>
      <c r="Z11" s="43">
        <f t="shared" si="1"/>
        <v>2512.5</v>
      </c>
      <c r="AA11" s="43">
        <f t="shared" si="2"/>
        <v>31242.401224412853</v>
      </c>
      <c r="AB11" s="35">
        <f t="shared" si="3"/>
        <v>33754.901224412853</v>
      </c>
      <c r="AC11" s="36">
        <f t="shared" si="4"/>
        <v>9655657.3549429178</v>
      </c>
      <c r="AD11" s="43">
        <f>IF($A11=1,VARIABLES!$B$12,0)</f>
        <v>0</v>
      </c>
      <c r="AE11" s="43">
        <f>IF($A11&lt;=3,VARIABLES!$B$13,IF($A11&lt;=6,VARIABLES!$B$14,VARIABLES!$B$15))</f>
        <v>40000</v>
      </c>
      <c r="AF11" s="43">
        <f>IF(MOD($A11,12)=0,AC11*VARIABLES!$B$16,0)</f>
        <v>0</v>
      </c>
      <c r="AG11" s="43">
        <f>VARIABLES!$B$17</f>
        <v>5000</v>
      </c>
      <c r="AH11" s="43">
        <f>IF(MOD($A11,12)=0,VARIABLES!$B$18,0)</f>
        <v>0</v>
      </c>
      <c r="AI11" s="37">
        <f t="shared" si="5"/>
        <v>45000</v>
      </c>
      <c r="AJ11" s="38">
        <f>IF($A11&lt;VARIABLES!$B$7,VARIABLES!$B$9,0)</f>
        <v>26583.333333333332</v>
      </c>
      <c r="AK11" s="45">
        <f t="shared" si="6"/>
        <v>-37828.432108920475</v>
      </c>
      <c r="AL11" s="45">
        <f t="shared" si="7"/>
        <v>-291173.29538971093</v>
      </c>
      <c r="AM11" s="40">
        <f t="shared" si="8"/>
        <v>212666.66666666669</v>
      </c>
    </row>
    <row r="12" spans="1:39" x14ac:dyDescent="0.2">
      <c r="A12" s="32">
        <v>9</v>
      </c>
      <c r="B12" s="32" t="str">
        <f>TEXT(DATE(VARIABLES!$B$59+INT((VARIABLES!$B$60+A12-2)/12),MOD(VARIABLES!$B$60+A12-2,12)+1,1),"mmm-yy")</f>
        <v>Feb-27</v>
      </c>
      <c r="C12" s="33">
        <f>IF($A12&lt;VARIABLES!$B$7,VARIABLES!$B$5/12,VARIABLES!$B$6/12)</f>
        <v>4.1666666666666664E-2</v>
      </c>
      <c r="D12" s="14">
        <f>IF($A12&lt;VARIABLES!$B$21,0,IF($A12=VARIABLES!$B$21,VARIABLES!$B$22+VARIABLES!$B$23,VARIABLES!$B$23))</f>
        <v>200000</v>
      </c>
      <c r="E12" s="14">
        <f>D12*VARIABLES!$B$24</f>
        <v>1500</v>
      </c>
      <c r="F12" s="14">
        <f>IF($A12&lt;VARIABLES!$B$21,0,(IF($A12=VARIABLES!$B$21,0,G11)+D12)*C12*VARIABLES!$B$25)</f>
        <v>2640.1410944641443</v>
      </c>
      <c r="G12" s="14">
        <f>IF($A12&lt;VARIABLES!$B$21,0,(IF($A12=VARIABLES!$B$21,0,G11)+D12)*(1+C12)-F12)</f>
        <v>2637500.9533696799</v>
      </c>
      <c r="H12" s="14">
        <f>IF($A12&lt;VARIABLES!$B$28,0,IF($A12=VARIABLES!$B$28,VARIABLES!$B$29+VARIABLES!$B$30,VARIABLES!$B$30))</f>
        <v>40000</v>
      </c>
      <c r="I12" s="14">
        <f>H12*VARIABLES!$B$31</f>
        <v>300</v>
      </c>
      <c r="J12" s="14">
        <f>IF($A12&lt;VARIABLES!$B$28,0,(IF($A12=VARIABLES!$B$28,0,K11)+H12)*C12*VARIABLES!$B$32)</f>
        <v>1522.0923745341863</v>
      </c>
      <c r="K12" s="14">
        <f>IF($A12&lt;VARIABLES!$B$28,0,(IF($A12=VARIABLES!$B$28,0,K11)+H12)*(1+C12)-J12)</f>
        <v>379001.00125901244</v>
      </c>
      <c r="L12" s="14">
        <f>IF($A12&lt;VARIABLES!$B$35,0,IF($A12=VARIABLES!$B$35,VARIABLES!$B$36+VARIABLES!$B$37,VARIABLES!$B$37))</f>
        <v>0</v>
      </c>
      <c r="M12" s="14">
        <f>L12*VARIABLES!$B$38</f>
        <v>0</v>
      </c>
      <c r="N12" s="14">
        <f>IF($A12&lt;VARIABLES!$B$35,0,(IF($A12=VARIABLES!$B$35,0,O11)+L12)*C12*VARIABLES!$B$39)</f>
        <v>26957.244664060105</v>
      </c>
      <c r="O12" s="14">
        <f>IF($A12&lt;VARIABLES!$B$35,0,(IF($A12=VARIABLES!$B$35,0,O11)+L12)*(1+C12)-N12)</f>
        <v>6712353.9213509662</v>
      </c>
      <c r="P12" s="14">
        <f>IF($A12&lt;VARIABLES!$B$42,0,IF($A12=VARIABLES!$B$42,VARIABLES!$B$43+VARIABLES!$B$44,VARIABLES!$B$44))</f>
        <v>20000</v>
      </c>
      <c r="Q12" s="14">
        <f>P12*VARIABLES!$B$45</f>
        <v>150</v>
      </c>
      <c r="R12" s="14">
        <f>IF($A12&lt;VARIABLES!$B$42,0,(IF($A12=VARIABLES!$B$42,0,S11)+P12)*C12*VARIABLES!$B$46)</f>
        <v>192.39105916648492</v>
      </c>
      <c r="S12" s="14">
        <f>IF($A12&lt;VARIABLES!$B$42,0,(IF($A12=VARIABLES!$B$42,0,S11)+P12)*(1+C12)-R12)</f>
        <v>192198.66810731846</v>
      </c>
      <c r="T12" s="34">
        <f>IF($A12&lt;VARIABLES!$B$50,0,MIN(VARIABLES!$B$49,INT(($A12-VARIABLES!$B$50)/VARIABLES!$B$51)+1))</f>
        <v>6</v>
      </c>
      <c r="U12" s="14">
        <f>T12*VARIABLES!$B$53+IF(AND($A12&gt;=VARIABLES!$B$50,MOD($A12-VARIABLES!$B$50,VARIABLES!$B$51)=0,($A12-VARIABLES!$B$50)/VARIABLES!$B$51&lt;VARIABLES!$B$49),VARIABLES!$B$52,0)</f>
        <v>80000</v>
      </c>
      <c r="V12" s="14">
        <f>U12*VARIABLES!$B$54</f>
        <v>600</v>
      </c>
      <c r="W12" s="14">
        <f>IF($A12&lt;VARIABLES!$B$50,0,(IF($A12&lt;VARIABLES!$B$50+1,0,X11)+U12)*C12*VARIABLES!$B$55)</f>
        <v>1839.1066591453555</v>
      </c>
      <c r="X12" s="14">
        <f>IF($A12&lt;VARIABLES!$B$50,0,(IF($A12&lt;VARIABLES!$B$50+1,0,X11)+U12)*(1+C12)-W12)</f>
        <v>457937.55812719354</v>
      </c>
      <c r="Y12" s="14">
        <f t="shared" si="0"/>
        <v>340000</v>
      </c>
      <c r="Z12" s="14">
        <f t="shared" si="1"/>
        <v>2550</v>
      </c>
      <c r="AA12" s="14">
        <f t="shared" si="2"/>
        <v>33150.975851370276</v>
      </c>
      <c r="AB12" s="35">
        <f t="shared" si="3"/>
        <v>35700.975851370276</v>
      </c>
      <c r="AC12" s="36">
        <f t="shared" si="4"/>
        <v>10378992.102214169</v>
      </c>
      <c r="AD12" s="14">
        <f>IF($A12=1,VARIABLES!$B$12,0)</f>
        <v>0</v>
      </c>
      <c r="AE12" s="14">
        <f>IF($A12&lt;=3,VARIABLES!$B$13,IF($A12&lt;=6,VARIABLES!$B$14,VARIABLES!$B$15))</f>
        <v>40000</v>
      </c>
      <c r="AF12" s="14">
        <f>IF(MOD($A12,12)=0,AC12*VARIABLES!$B$16,0)</f>
        <v>0</v>
      </c>
      <c r="AG12" s="14">
        <f>VARIABLES!$B$17</f>
        <v>5000</v>
      </c>
      <c r="AH12" s="14">
        <f>IF(MOD($A12,12)=0,VARIABLES!$B$18,0)</f>
        <v>0</v>
      </c>
      <c r="AI12" s="37">
        <f t="shared" si="5"/>
        <v>45000</v>
      </c>
      <c r="AJ12" s="38">
        <f>IF($A12&lt;VARIABLES!$B$7,VARIABLES!$B$9,0)</f>
        <v>26583.333333333332</v>
      </c>
      <c r="AK12" s="39">
        <f t="shared" si="6"/>
        <v>-35882.357481963059</v>
      </c>
      <c r="AL12" s="39">
        <f t="shared" si="7"/>
        <v>-327055.65287167398</v>
      </c>
      <c r="AM12" s="40">
        <f t="shared" si="8"/>
        <v>239250.00000000003</v>
      </c>
    </row>
    <row r="13" spans="1:39" x14ac:dyDescent="0.2">
      <c r="A13" s="41">
        <v>10</v>
      </c>
      <c r="B13" s="41" t="str">
        <f>TEXT(DATE(VARIABLES!$B$59+INT((VARIABLES!$B$60+A13-2)/12),MOD(VARIABLES!$B$60+A13-2,12)+1,1),"mmm-yy")</f>
        <v>Mar-27</v>
      </c>
      <c r="C13" s="42">
        <f>IF($A13&lt;VARIABLES!$B$7,VARIABLES!$B$5/12,VARIABLES!$B$6/12)</f>
        <v>4.1666666666666664E-2</v>
      </c>
      <c r="D13" s="43">
        <f>IF($A13&lt;VARIABLES!$B$21,0,IF($A13=VARIABLES!$B$21,VARIABLES!$B$22+VARIABLES!$B$23,VARIABLES!$B$23))</f>
        <v>200000</v>
      </c>
      <c r="E13" s="43">
        <f>D13*VARIABLES!$B$24</f>
        <v>1500</v>
      </c>
      <c r="F13" s="43">
        <f>IF($A13&lt;VARIABLES!$B$21,0,(IF($A13=VARIABLES!$B$21,0,G12)+D13)*C13*VARIABLES!$B$25)</f>
        <v>2955.7301597600836</v>
      </c>
      <c r="G13" s="43">
        <f>IF($A13&lt;VARIABLES!$B$21,0,(IF($A13=VARIABLES!$B$21,0,G12)+D13)*(1+C13)-F13)</f>
        <v>2952774.4296003236</v>
      </c>
      <c r="H13" s="43">
        <f>IF($A13&lt;VARIABLES!$B$28,0,IF($A13=VARIABLES!$B$28,VARIABLES!$B$29+VARIABLES!$B$30,VARIABLES!$B$30))</f>
        <v>40000</v>
      </c>
      <c r="I13" s="43">
        <f>H13*VARIABLES!$B$31</f>
        <v>300</v>
      </c>
      <c r="J13" s="43">
        <f>IF($A13&lt;VARIABLES!$B$28,0,(IF($A13=VARIABLES!$B$28,0,K12)+H13)*C13*VARIABLES!$B$32)</f>
        <v>1745.837505245885</v>
      </c>
      <c r="K13" s="43">
        <f>IF($A13&lt;VARIABLES!$B$28,0,(IF($A13=VARIABLES!$B$28,0,K12)+H13)*(1+C13)-J13)</f>
        <v>434713.53880622546</v>
      </c>
      <c r="L13" s="43">
        <f>IF($A13&lt;VARIABLES!$B$35,0,IF($A13=VARIABLES!$B$35,VARIABLES!$B$36+VARIABLES!$B$37,VARIABLES!$B$37))</f>
        <v>0</v>
      </c>
      <c r="M13" s="43">
        <f>L13*VARIABLES!$B$38</f>
        <v>0</v>
      </c>
      <c r="N13" s="43">
        <f>IF($A13&lt;VARIABLES!$B$35,0,(IF($A13=VARIABLES!$B$35,0,O12)+L13)*C13*VARIABLES!$B$39)</f>
        <v>27968.141338962359</v>
      </c>
      <c r="O13" s="43">
        <f>IF($A13&lt;VARIABLES!$B$35,0,(IF($A13=VARIABLES!$B$35,0,O12)+L13)*(1+C13)-N13)</f>
        <v>6964067.1934016282</v>
      </c>
      <c r="P13" s="43">
        <f>IF($A13&lt;VARIABLES!$B$42,0,IF($A13=VARIABLES!$B$42,VARIABLES!$B$43+VARIABLES!$B$44,VARIABLES!$B$44))</f>
        <v>20000</v>
      </c>
      <c r="Q13" s="43">
        <f>P13*VARIABLES!$B$45</f>
        <v>150</v>
      </c>
      <c r="R13" s="43">
        <f>IF($A13&lt;VARIABLES!$B$42,0,(IF($A13=VARIABLES!$B$42,0,S12)+P13)*C13*VARIABLES!$B$46)</f>
        <v>221.04027927845675</v>
      </c>
      <c r="S13" s="43">
        <f>IF($A13&lt;VARIABLES!$B$42,0,(IF($A13=VARIABLES!$B$42,0,S12)+P13)*(1+C13)-R13)</f>
        <v>220819.23899917831</v>
      </c>
      <c r="T13" s="44">
        <f>IF($A13&lt;VARIABLES!$B$50,0,MIN(VARIABLES!$B$49,INT(($A13-VARIABLES!$B$50)/VARIABLES!$B$51)+1))</f>
        <v>7</v>
      </c>
      <c r="U13" s="43">
        <f>T13*VARIABLES!$B$53+IF(AND($A13&gt;=VARIABLES!$B$50,MOD($A13-VARIABLES!$B$50,VARIABLES!$B$51)=0,($A13-VARIABLES!$B$50)/VARIABLES!$B$51&lt;VARIABLES!$B$49),VARIABLES!$B$52,0)</f>
        <v>85000</v>
      </c>
      <c r="V13" s="43">
        <f>U13*VARIABLES!$B$54</f>
        <v>637.5</v>
      </c>
      <c r="W13" s="43">
        <f>IF($A13&lt;VARIABLES!$B$50,0,(IF($A13&lt;VARIABLES!$B$50+1,0,X12)+U13)*C13*VARIABLES!$B$55)</f>
        <v>2262.2398255299727</v>
      </c>
      <c r="X13" s="43">
        <f>IF($A13&lt;VARIABLES!$B$50,0,(IF($A13&lt;VARIABLES!$B$50+1,0,X12)+U13)*(1+C13)-W13)</f>
        <v>563297.71655696328</v>
      </c>
      <c r="Y13" s="43">
        <f t="shared" si="0"/>
        <v>345000</v>
      </c>
      <c r="Z13" s="43">
        <f t="shared" si="1"/>
        <v>2587.5</v>
      </c>
      <c r="AA13" s="43">
        <f t="shared" si="2"/>
        <v>35152.989108776754</v>
      </c>
      <c r="AB13" s="35">
        <f t="shared" si="3"/>
        <v>37740.489108776754</v>
      </c>
      <c r="AC13" s="36">
        <f t="shared" si="4"/>
        <v>11135672.117364319</v>
      </c>
      <c r="AD13" s="43">
        <f>IF($A13=1,VARIABLES!$B$12,0)</f>
        <v>0</v>
      </c>
      <c r="AE13" s="43">
        <f>IF($A13&lt;=3,VARIABLES!$B$13,IF($A13&lt;=6,VARIABLES!$B$14,VARIABLES!$B$15))</f>
        <v>40000</v>
      </c>
      <c r="AF13" s="43">
        <f>IF(MOD($A13,12)=0,AC13*VARIABLES!$B$16,0)</f>
        <v>0</v>
      </c>
      <c r="AG13" s="43">
        <f>VARIABLES!$B$17</f>
        <v>5000</v>
      </c>
      <c r="AH13" s="43">
        <f>IF(MOD($A13,12)=0,VARIABLES!$B$18,0)</f>
        <v>0</v>
      </c>
      <c r="AI13" s="37">
        <f t="shared" si="5"/>
        <v>45000</v>
      </c>
      <c r="AJ13" s="38">
        <f>IF($A13&lt;VARIABLES!$B$7,VARIABLES!$B$9,0)</f>
        <v>26583.333333333332</v>
      </c>
      <c r="AK13" s="45">
        <f t="shared" si="6"/>
        <v>-33842.844224556582</v>
      </c>
      <c r="AL13" s="45">
        <f t="shared" si="7"/>
        <v>-360898.49709623057</v>
      </c>
      <c r="AM13" s="40">
        <f t="shared" si="8"/>
        <v>265833.33333333337</v>
      </c>
    </row>
    <row r="14" spans="1:39" x14ac:dyDescent="0.2">
      <c r="A14" s="32">
        <v>11</v>
      </c>
      <c r="B14" s="32" t="str">
        <f>TEXT(DATE(VARIABLES!$B$59+INT((VARIABLES!$B$60+A14-2)/12),MOD(VARIABLES!$B$60+A14-2,12)+1,1),"mmm-yy")</f>
        <v>Apr-27</v>
      </c>
      <c r="C14" s="33">
        <f>IF($A14&lt;VARIABLES!$B$7,VARIABLES!$B$5/12,VARIABLES!$B$6/12)</f>
        <v>4.1666666666666664E-2</v>
      </c>
      <c r="D14" s="14">
        <f>IF($A14&lt;VARIABLES!$B$21,0,IF($A14=VARIABLES!$B$21,VARIABLES!$B$22+VARIABLES!$B$23,VARIABLES!$B$23))</f>
        <v>200000</v>
      </c>
      <c r="E14" s="14">
        <f>D14*VARIABLES!$B$24</f>
        <v>1500</v>
      </c>
      <c r="F14" s="14">
        <f>IF($A14&lt;VARIABLES!$B$21,0,(IF($A14=VARIABLES!$B$21,0,G13)+D14)*C14*VARIABLES!$B$25)</f>
        <v>3284.1400308336702</v>
      </c>
      <c r="G14" s="14">
        <f>IF($A14&lt;VARIABLES!$B$21,0,(IF($A14=VARIABLES!$B$21,0,G13)+D14)*(1+C14)-F14)</f>
        <v>3280855.8908028365</v>
      </c>
      <c r="H14" s="14">
        <f>IF($A14&lt;VARIABLES!$B$28,0,IF($A14=VARIABLES!$B$28,VARIABLES!$B$29+VARIABLES!$B$30,VARIABLES!$B$30))</f>
        <v>40000</v>
      </c>
      <c r="I14" s="14">
        <f>H14*VARIABLES!$B$31</f>
        <v>300</v>
      </c>
      <c r="J14" s="14">
        <f>IF($A14&lt;VARIABLES!$B$28,0,(IF($A14=VARIABLES!$B$28,0,K13)+H14)*C14*VARIABLES!$B$32)</f>
        <v>1977.9730783592729</v>
      </c>
      <c r="K14" s="14">
        <f>IF($A14&lt;VARIABLES!$B$28,0,(IF($A14=VARIABLES!$B$28,0,K13)+H14)*(1+C14)-J14)</f>
        <v>492515.29651145893</v>
      </c>
      <c r="L14" s="14">
        <f>IF($A14&lt;VARIABLES!$B$35,0,IF($A14=VARIABLES!$B$35,VARIABLES!$B$36+VARIABLES!$B$37,VARIABLES!$B$37))</f>
        <v>0</v>
      </c>
      <c r="M14" s="14">
        <f>L14*VARIABLES!$B$38</f>
        <v>0</v>
      </c>
      <c r="N14" s="14">
        <f>IF($A14&lt;VARIABLES!$B$35,0,(IF($A14=VARIABLES!$B$35,0,O13)+L14)*C14*VARIABLES!$B$39)</f>
        <v>29016.94663917345</v>
      </c>
      <c r="O14" s="14">
        <f>IF($A14&lt;VARIABLES!$B$35,0,(IF($A14=VARIABLES!$B$35,0,O13)+L14)*(1+C14)-N14)</f>
        <v>7225219.7131541893</v>
      </c>
      <c r="P14" s="14">
        <f>IF($A14&lt;VARIABLES!$B$42,0,IF($A14=VARIABLES!$B$42,VARIABLES!$B$43+VARIABLES!$B$44,VARIABLES!$B$44))</f>
        <v>20000</v>
      </c>
      <c r="Q14" s="14">
        <f>P14*VARIABLES!$B$45</f>
        <v>150</v>
      </c>
      <c r="R14" s="14">
        <f>IF($A14&lt;VARIABLES!$B$42,0,(IF($A14=VARIABLES!$B$42,0,S13)+P14)*C14*VARIABLES!$B$46)</f>
        <v>250.8533739574774</v>
      </c>
      <c r="S14" s="14">
        <f>IF($A14&lt;VARIABLES!$B$42,0,(IF($A14=VARIABLES!$B$42,0,S13)+P14)*(1+C14)-R14)</f>
        <v>250602.52058351994</v>
      </c>
      <c r="T14" s="34">
        <f>IF($A14&lt;VARIABLES!$B$50,0,MIN(VARIABLES!$B$49,INT(($A14-VARIABLES!$B$50)/VARIABLES!$B$51)+1))</f>
        <v>8</v>
      </c>
      <c r="U14" s="14">
        <f>T14*VARIABLES!$B$53+IF(AND($A14&gt;=VARIABLES!$B$50,MOD($A14-VARIABLES!$B$50,VARIABLES!$B$51)=0,($A14-VARIABLES!$B$50)/VARIABLES!$B$51&lt;VARIABLES!$B$49),VARIABLES!$B$52,0)</f>
        <v>90000</v>
      </c>
      <c r="V14" s="14">
        <f>U14*VARIABLES!$B$54</f>
        <v>675</v>
      </c>
      <c r="W14" s="14">
        <f>IF($A14&lt;VARIABLES!$B$50,0,(IF($A14&lt;VARIABLES!$B$50+1,0,X13)+U14)*C14*VARIABLES!$B$55)</f>
        <v>2722.0738189873468</v>
      </c>
      <c r="X14" s="14">
        <f>IF($A14&lt;VARIABLES!$B$50,0,(IF($A14&lt;VARIABLES!$B$50+1,0,X13)+U14)*(1+C14)-W14)</f>
        <v>677796.38092784944</v>
      </c>
      <c r="Y14" s="14">
        <f t="shared" si="0"/>
        <v>350000</v>
      </c>
      <c r="Z14" s="14">
        <f t="shared" si="1"/>
        <v>2625</v>
      </c>
      <c r="AA14" s="14">
        <f t="shared" si="2"/>
        <v>37251.986941311217</v>
      </c>
      <c r="AB14" s="35">
        <f t="shared" si="3"/>
        <v>39876.986941311217</v>
      </c>
      <c r="AC14" s="36">
        <f t="shared" si="4"/>
        <v>11926989.801979853</v>
      </c>
      <c r="AD14" s="14">
        <f>IF($A14=1,VARIABLES!$B$12,0)</f>
        <v>0</v>
      </c>
      <c r="AE14" s="14">
        <f>IF($A14&lt;=3,VARIABLES!$B$13,IF($A14&lt;=6,VARIABLES!$B$14,VARIABLES!$B$15))</f>
        <v>40000</v>
      </c>
      <c r="AF14" s="14">
        <f>IF(MOD($A14,12)=0,AC14*VARIABLES!$B$16,0)</f>
        <v>0</v>
      </c>
      <c r="AG14" s="14">
        <f>VARIABLES!$B$17</f>
        <v>5000</v>
      </c>
      <c r="AH14" s="14">
        <f>IF(MOD($A14,12)=0,VARIABLES!$B$18,0)</f>
        <v>0</v>
      </c>
      <c r="AI14" s="37">
        <f t="shared" si="5"/>
        <v>45000</v>
      </c>
      <c r="AJ14" s="38">
        <f>IF($A14&lt;VARIABLES!$B$7,VARIABLES!$B$9,0)</f>
        <v>26583.333333333332</v>
      </c>
      <c r="AK14" s="39">
        <f t="shared" si="6"/>
        <v>-31706.346392022115</v>
      </c>
      <c r="AL14" s="39">
        <f t="shared" si="7"/>
        <v>-392604.84348825266</v>
      </c>
      <c r="AM14" s="40">
        <f t="shared" si="8"/>
        <v>292416.66666666669</v>
      </c>
    </row>
    <row r="15" spans="1:39" x14ac:dyDescent="0.2">
      <c r="A15" s="41">
        <v>12</v>
      </c>
      <c r="B15" s="41" t="str">
        <f>TEXT(DATE(VARIABLES!$B$59+INT((VARIABLES!$B$60+A15-2)/12),MOD(VARIABLES!$B$60+A15-2,12)+1,1),"mmm-yy")</f>
        <v>May-27</v>
      </c>
      <c r="C15" s="42">
        <f>IF($A15&lt;VARIABLES!$B$7,VARIABLES!$B$5/12,VARIABLES!$B$6/12)</f>
        <v>4.1666666666666664E-2</v>
      </c>
      <c r="D15" s="43">
        <f>IF($A15&lt;VARIABLES!$B$21,0,IF($A15=VARIABLES!$B$21,VARIABLES!$B$22+VARIABLES!$B$23,VARIABLES!$B$23))</f>
        <v>200000</v>
      </c>
      <c r="E15" s="43">
        <f>D15*VARIABLES!$B$24</f>
        <v>1500</v>
      </c>
      <c r="F15" s="43">
        <f>IF($A15&lt;VARIABLES!$B$21,0,(IF($A15=VARIABLES!$B$21,0,G14)+D15)*C15*VARIABLES!$B$25)</f>
        <v>3625.8915529196211</v>
      </c>
      <c r="G15" s="43">
        <f>IF($A15&lt;VARIABLES!$B$21,0,(IF($A15=VARIABLES!$B$21,0,G14)+D15)*(1+C15)-F15)</f>
        <v>3622265.6613667021</v>
      </c>
      <c r="H15" s="43">
        <f>IF($A15&lt;VARIABLES!$B$28,0,IF($A15=VARIABLES!$B$28,VARIABLES!$B$29+VARIABLES!$B$30,VARIABLES!$B$30))</f>
        <v>40000</v>
      </c>
      <c r="I15" s="43">
        <f>H15*VARIABLES!$B$31</f>
        <v>300</v>
      </c>
      <c r="J15" s="43">
        <f>IF($A15&lt;VARIABLES!$B$28,0,(IF($A15=VARIABLES!$B$28,0,K14)+H15)*C15*VARIABLES!$B$32)</f>
        <v>2218.8137354644123</v>
      </c>
      <c r="K15" s="43">
        <f>IF($A15&lt;VARIABLES!$B$28,0,(IF($A15=VARIABLES!$B$28,0,K14)+H15)*(1+C15)-J15)</f>
        <v>552484.62013063871</v>
      </c>
      <c r="L15" s="43">
        <f>IF($A15&lt;VARIABLES!$B$35,0,IF($A15=VARIABLES!$B$35,VARIABLES!$B$36+VARIABLES!$B$37,VARIABLES!$B$37))</f>
        <v>0</v>
      </c>
      <c r="M15" s="43">
        <f>L15*VARIABLES!$B$38</f>
        <v>0</v>
      </c>
      <c r="N15" s="43">
        <f>IF($A15&lt;VARIABLES!$B$35,0,(IF($A15=VARIABLES!$B$35,0,O14)+L15)*C15*VARIABLES!$B$39)</f>
        <v>30105.082138142458</v>
      </c>
      <c r="O15" s="43">
        <f>IF($A15&lt;VARIABLES!$B$35,0,(IF($A15=VARIABLES!$B$35,0,O14)+L15)*(1+C15)-N15)</f>
        <v>7496165.4523974722</v>
      </c>
      <c r="P15" s="43">
        <f>IF($A15&lt;VARIABLES!$B$42,0,IF($A15=VARIABLES!$B$42,VARIABLES!$B$43+VARIABLES!$B$44,VARIABLES!$B$44))</f>
        <v>20000</v>
      </c>
      <c r="Q15" s="43">
        <f>P15*VARIABLES!$B$45</f>
        <v>150</v>
      </c>
      <c r="R15" s="43">
        <f>IF($A15&lt;VARIABLES!$B$42,0,(IF($A15=VARIABLES!$B$42,0,S14)+P15)*C15*VARIABLES!$B$46)</f>
        <v>281.87762560783329</v>
      </c>
      <c r="S15" s="43">
        <f>IF($A15&lt;VARIABLES!$B$42,0,(IF($A15=VARIABLES!$B$42,0,S14)+P15)*(1+C15)-R15)</f>
        <v>281595.7479822255</v>
      </c>
      <c r="T15" s="44">
        <f>IF($A15&lt;VARIABLES!$B$50,0,MIN(VARIABLES!$B$49,INT(($A15-VARIABLES!$B$50)/VARIABLES!$B$51)+1))</f>
        <v>9</v>
      </c>
      <c r="U15" s="43">
        <f>T15*VARIABLES!$B$53+IF(AND($A15&gt;=VARIABLES!$B$50,MOD($A15-VARIABLES!$B$50,VARIABLES!$B$51)=0,($A15-VARIABLES!$B$50)/VARIABLES!$B$51&lt;VARIABLES!$B$49),VARIABLES!$B$52,0)</f>
        <v>95000</v>
      </c>
      <c r="V15" s="43">
        <f>U15*VARIABLES!$B$54</f>
        <v>712.5</v>
      </c>
      <c r="W15" s="43">
        <f>IF($A15&lt;VARIABLES!$B$50,0,(IF($A15&lt;VARIABLES!$B$50+1,0,X14)+U15)*C15*VARIABLES!$B$55)</f>
        <v>3219.9849205327064</v>
      </c>
      <c r="X15" s="43">
        <f>IF($A15&lt;VARIABLES!$B$50,0,(IF($A15&lt;VARIABLES!$B$50+1,0,X14)+U15)*(1+C15)-W15)</f>
        <v>801776.24521264387</v>
      </c>
      <c r="Y15" s="43">
        <f t="shared" si="0"/>
        <v>355000</v>
      </c>
      <c r="Z15" s="43">
        <f t="shared" si="1"/>
        <v>2662.5</v>
      </c>
      <c r="AA15" s="43">
        <f t="shared" si="2"/>
        <v>39451.64997266703</v>
      </c>
      <c r="AB15" s="35">
        <f t="shared" si="3"/>
        <v>42114.14997266703</v>
      </c>
      <c r="AC15" s="36">
        <f t="shared" si="4"/>
        <v>12754287.727089684</v>
      </c>
      <c r="AD15" s="43">
        <f>IF($A15=1,VARIABLES!$B$12,0)</f>
        <v>0</v>
      </c>
      <c r="AE15" s="43">
        <f>IF($A15&lt;=3,VARIABLES!$B$13,IF($A15&lt;=6,VARIABLES!$B$14,VARIABLES!$B$15))</f>
        <v>40000</v>
      </c>
      <c r="AF15" s="43">
        <f>IF(MOD($A15,12)=0,AC15*VARIABLES!$B$16,0)</f>
        <v>31885.719317724212</v>
      </c>
      <c r="AG15" s="43">
        <f>VARIABLES!$B$17</f>
        <v>5000</v>
      </c>
      <c r="AH15" s="43">
        <f>IF(MOD($A15,12)=0,VARIABLES!$B$18,0)</f>
        <v>3000</v>
      </c>
      <c r="AI15" s="37">
        <f t="shared" si="5"/>
        <v>79885.719317724215</v>
      </c>
      <c r="AJ15" s="38">
        <f>IF($A15&lt;VARIABLES!$B$7,VARIABLES!$B$9,0)</f>
        <v>26583.333333333332</v>
      </c>
      <c r="AK15" s="45">
        <f t="shared" si="6"/>
        <v>-64354.902678390514</v>
      </c>
      <c r="AL15" s="45">
        <f t="shared" si="7"/>
        <v>-456959.74616664316</v>
      </c>
      <c r="AM15" s="40">
        <f t="shared" si="8"/>
        <v>319000</v>
      </c>
    </row>
    <row r="16" spans="1:39" x14ac:dyDescent="0.2">
      <c r="A16" s="32">
        <v>13</v>
      </c>
      <c r="B16" s="32" t="str">
        <f>TEXT(DATE(VARIABLES!$B$59+INT((VARIABLES!$B$60+A16-2)/12),MOD(VARIABLES!$B$60+A16-2,12)+1,1),"mmm-yy")</f>
        <v>Jun-27</v>
      </c>
      <c r="C16" s="33">
        <f>IF($A16&lt;VARIABLES!$B$7,VARIABLES!$B$5/12,VARIABLES!$B$6/12)</f>
        <v>4.1666666666666664E-2</v>
      </c>
      <c r="D16" s="14">
        <f>IF($A16&lt;VARIABLES!$B$21,0,IF($A16=VARIABLES!$B$21,VARIABLES!$B$22+VARIABLES!$B$23,VARIABLES!$B$23))</f>
        <v>200000</v>
      </c>
      <c r="E16" s="14">
        <f>D16*VARIABLES!$B$24</f>
        <v>1500</v>
      </c>
      <c r="F16" s="14">
        <f>IF($A16&lt;VARIABLES!$B$21,0,(IF($A16=VARIABLES!$B$21,0,G15)+D16)*C16*VARIABLES!$B$25)</f>
        <v>3981.5267305903144</v>
      </c>
      <c r="G16" s="14">
        <f>IF($A16&lt;VARIABLES!$B$21,0,(IF($A16=VARIABLES!$B$21,0,G15)+D16)*(1+C16)-F16)</f>
        <v>3977545.2038597246</v>
      </c>
      <c r="H16" s="14">
        <f>IF($A16&lt;VARIABLES!$B$28,0,IF($A16=VARIABLES!$B$28,VARIABLES!$B$29+VARIABLES!$B$30,VARIABLES!$B$30))</f>
        <v>40000</v>
      </c>
      <c r="I16" s="14">
        <f>H16*VARIABLES!$B$31</f>
        <v>300</v>
      </c>
      <c r="J16" s="14">
        <f>IF($A16&lt;VARIABLES!$B$28,0,(IF($A16=VARIABLES!$B$28,0,K15)+H16)*C16*VARIABLES!$B$32)</f>
        <v>2468.6859172109944</v>
      </c>
      <c r="K16" s="14">
        <f>IF($A16&lt;VARIABLES!$B$28,0,(IF($A16=VARIABLES!$B$28,0,K15)+H16)*(1+C16)-J16)</f>
        <v>614702.79338553769</v>
      </c>
      <c r="L16" s="14">
        <f>IF($A16&lt;VARIABLES!$B$35,0,IF($A16=VARIABLES!$B$35,VARIABLES!$B$36+VARIABLES!$B$37,VARIABLES!$B$37))</f>
        <v>0</v>
      </c>
      <c r="M16" s="14">
        <f>L16*VARIABLES!$B$38</f>
        <v>0</v>
      </c>
      <c r="N16" s="14">
        <f>IF($A16&lt;VARIABLES!$B$35,0,(IF($A16=VARIABLES!$B$35,0,O15)+L16)*C16*VARIABLES!$B$39)</f>
        <v>31234.022718322802</v>
      </c>
      <c r="O16" s="14">
        <f>IF($A16&lt;VARIABLES!$B$35,0,(IF($A16=VARIABLES!$B$35,0,O15)+L16)*(1+C16)-N16)</f>
        <v>7777271.6568623781</v>
      </c>
      <c r="P16" s="14">
        <f>IF($A16&lt;VARIABLES!$B$42,0,IF($A16=VARIABLES!$B$42,VARIABLES!$B$43+VARIABLES!$B$44,VARIABLES!$B$44))</f>
        <v>20000</v>
      </c>
      <c r="Q16" s="14">
        <f>P16*VARIABLES!$B$45</f>
        <v>150</v>
      </c>
      <c r="R16" s="14">
        <f>IF($A16&lt;VARIABLES!$B$42,0,(IF($A16=VARIABLES!$B$42,0,S15)+P16)*C16*VARIABLES!$B$46)</f>
        <v>314.16223748148491</v>
      </c>
      <c r="S16" s="14">
        <f>IF($A16&lt;VARIABLES!$B$42,0,(IF($A16=VARIABLES!$B$42,0,S15)+P16)*(1+C16)-R16)</f>
        <v>313848.07524400338</v>
      </c>
      <c r="T16" s="34">
        <f>IF($A16&lt;VARIABLES!$B$50,0,MIN(VARIABLES!$B$49,INT(($A16-VARIABLES!$B$50)/VARIABLES!$B$51)+1))</f>
        <v>10</v>
      </c>
      <c r="U16" s="14">
        <f>T16*VARIABLES!$B$53+IF(AND($A16&gt;=VARIABLES!$B$50,MOD($A16-VARIABLES!$B$50,VARIABLES!$B$51)=0,($A16-VARIABLES!$B$50)/VARIABLES!$B$51&lt;VARIABLES!$B$49),VARIABLES!$B$52,0)</f>
        <v>100000</v>
      </c>
      <c r="V16" s="14">
        <f>U16*VARIABLES!$B$54</f>
        <v>750</v>
      </c>
      <c r="W16" s="14">
        <f>IF($A16&lt;VARIABLES!$B$50,0,(IF($A16&lt;VARIABLES!$B$50+1,0,X15)+U16)*C16*VARIABLES!$B$55)</f>
        <v>3757.4010217193495</v>
      </c>
      <c r="X16" s="14">
        <f>IF($A16&lt;VARIABLES!$B$50,0,(IF($A16&lt;VARIABLES!$B$50+1,0,X15)+U16)*(1+C16)-W16)</f>
        <v>935592.85440811806</v>
      </c>
      <c r="Y16" s="14">
        <f t="shared" si="0"/>
        <v>360000</v>
      </c>
      <c r="Z16" s="14">
        <f t="shared" si="1"/>
        <v>2700</v>
      </c>
      <c r="AA16" s="14">
        <f t="shared" si="2"/>
        <v>41755.79862532494</v>
      </c>
      <c r="AB16" s="35">
        <f t="shared" si="3"/>
        <v>44455.79862532494</v>
      </c>
      <c r="AC16" s="36">
        <f t="shared" si="4"/>
        <v>13618960.583759764</v>
      </c>
      <c r="AD16" s="14">
        <f>IF($A16=1,VARIABLES!$B$12,0)</f>
        <v>0</v>
      </c>
      <c r="AE16" s="14">
        <f>IF($A16&lt;=3,VARIABLES!$B$13,IF($A16&lt;=6,VARIABLES!$B$14,VARIABLES!$B$15))</f>
        <v>40000</v>
      </c>
      <c r="AF16" s="14">
        <f>IF(MOD($A16,12)=0,AC16*VARIABLES!$B$16,0)</f>
        <v>0</v>
      </c>
      <c r="AG16" s="14">
        <f>VARIABLES!$B$17</f>
        <v>5000</v>
      </c>
      <c r="AH16" s="14">
        <f>IF(MOD($A16,12)=0,VARIABLES!$B$18,0)</f>
        <v>0</v>
      </c>
      <c r="AI16" s="37">
        <f t="shared" si="5"/>
        <v>45000</v>
      </c>
      <c r="AJ16" s="38">
        <f>IF($A16&lt;VARIABLES!$B$7,VARIABLES!$B$9,0)</f>
        <v>26583.333333333332</v>
      </c>
      <c r="AK16" s="39">
        <f t="shared" si="6"/>
        <v>-27127.534708008392</v>
      </c>
      <c r="AL16" s="39">
        <f t="shared" si="7"/>
        <v>-484087.28087465157</v>
      </c>
      <c r="AM16" s="40">
        <f t="shared" si="8"/>
        <v>345583.33333333331</v>
      </c>
    </row>
    <row r="17" spans="1:39" x14ac:dyDescent="0.2">
      <c r="A17" s="41">
        <v>14</v>
      </c>
      <c r="B17" s="41" t="str">
        <f>TEXT(DATE(VARIABLES!$B$59+INT((VARIABLES!$B$60+A17-2)/12),MOD(VARIABLES!$B$60+A17-2,12)+1,1),"mmm-yy")</f>
        <v>Jul-27</v>
      </c>
      <c r="C17" s="42">
        <f>IF($A17&lt;VARIABLES!$B$7,VARIABLES!$B$5/12,VARIABLES!$B$6/12)</f>
        <v>4.1666666666666664E-2</v>
      </c>
      <c r="D17" s="43">
        <f>IF($A17&lt;VARIABLES!$B$21,0,IF($A17=VARIABLES!$B$21,VARIABLES!$B$22+VARIABLES!$B$23,VARIABLES!$B$23))</f>
        <v>200000</v>
      </c>
      <c r="E17" s="43">
        <f>D17*VARIABLES!$B$24</f>
        <v>1500</v>
      </c>
      <c r="F17" s="43">
        <f>IF($A17&lt;VARIABLES!$B$21,0,(IF($A17=VARIABLES!$B$21,0,G16)+D17)*C17*VARIABLES!$B$25)</f>
        <v>4351.6095873538798</v>
      </c>
      <c r="G17" s="43">
        <f>IF($A17&lt;VARIABLES!$B$21,0,(IF($A17=VARIABLES!$B$21,0,G16)+D17)*(1+C17)-F17)</f>
        <v>4347257.9777665269</v>
      </c>
      <c r="H17" s="43">
        <f>IF($A17&lt;VARIABLES!$B$28,0,IF($A17=VARIABLES!$B$28,VARIABLES!$B$29+VARIABLES!$B$30,VARIABLES!$B$30))</f>
        <v>40000</v>
      </c>
      <c r="I17" s="43">
        <f>H17*VARIABLES!$B$31</f>
        <v>300</v>
      </c>
      <c r="J17" s="43">
        <f>IF($A17&lt;VARIABLES!$B$28,0,(IF($A17=VARIABLES!$B$28,0,K16)+H17)*C17*VARIABLES!$B$32)</f>
        <v>2727.9283057730736</v>
      </c>
      <c r="K17" s="43">
        <f>IF($A17&lt;VARIABLES!$B$28,0,(IF($A17=VARIABLES!$B$28,0,K16)+H17)*(1+C17)-J17)</f>
        <v>679254.14813749539</v>
      </c>
      <c r="L17" s="43">
        <f>IF($A17&lt;VARIABLES!$B$35,0,IF($A17=VARIABLES!$B$35,VARIABLES!$B$36+VARIABLES!$B$37,VARIABLES!$B$37))</f>
        <v>0</v>
      </c>
      <c r="M17" s="43">
        <f>L17*VARIABLES!$B$38</f>
        <v>0</v>
      </c>
      <c r="N17" s="43">
        <f>IF($A17&lt;VARIABLES!$B$35,0,(IF($A17=VARIABLES!$B$35,0,O16)+L17)*C17*VARIABLES!$B$39)</f>
        <v>32405.298570259907</v>
      </c>
      <c r="O17" s="43">
        <f>IF($A17&lt;VARIABLES!$B$35,0,(IF($A17=VARIABLES!$B$35,0,O16)+L17)*(1+C17)-N17)</f>
        <v>8068919.343994718</v>
      </c>
      <c r="P17" s="43">
        <f>IF($A17&lt;VARIABLES!$B$42,0,IF($A17=VARIABLES!$B$42,VARIABLES!$B$43+VARIABLES!$B$44,VARIABLES!$B$44))</f>
        <v>20000</v>
      </c>
      <c r="Q17" s="43">
        <f>P17*VARIABLES!$B$45</f>
        <v>150</v>
      </c>
      <c r="R17" s="43">
        <f>IF($A17&lt;VARIABLES!$B$42,0,(IF($A17=VARIABLES!$B$42,0,S16)+P17)*C17*VARIABLES!$B$46)</f>
        <v>347.75841171250352</v>
      </c>
      <c r="S17" s="43">
        <f>IF($A17&lt;VARIABLES!$B$42,0,(IF($A17=VARIABLES!$B$42,0,S16)+P17)*(1+C17)-R17)</f>
        <v>347410.65330079105</v>
      </c>
      <c r="T17" s="44">
        <f>IF($A17&lt;VARIABLES!$B$50,0,MIN(VARIABLES!$B$49,INT(($A17-VARIABLES!$B$50)/VARIABLES!$B$51)+1))</f>
        <v>11</v>
      </c>
      <c r="U17" s="43">
        <f>T17*VARIABLES!$B$53+IF(AND($A17&gt;=VARIABLES!$B$50,MOD($A17-VARIABLES!$B$50,VARIABLES!$B$51)=0,($A17-VARIABLES!$B$50)/VARIABLES!$B$51&lt;VARIABLES!$B$49),VARIABLES!$B$52,0)</f>
        <v>105000</v>
      </c>
      <c r="V17" s="43">
        <f>U17*VARIABLES!$B$54</f>
        <v>787.5</v>
      </c>
      <c r="W17" s="43">
        <f>IF($A17&lt;VARIABLES!$B$50,0,(IF($A17&lt;VARIABLES!$B$50+1,0,X16)+U17)*C17*VARIABLES!$B$55)</f>
        <v>4335.8035600338253</v>
      </c>
      <c r="X17" s="43">
        <f>IF($A17&lt;VARIABLES!$B$50,0,(IF($A17&lt;VARIABLES!$B$50+1,0,X16)+U17)*(1+C17)-W17)</f>
        <v>1079615.0864484224</v>
      </c>
      <c r="Y17" s="43">
        <f t="shared" si="0"/>
        <v>365000</v>
      </c>
      <c r="Z17" s="43">
        <f t="shared" si="1"/>
        <v>2737.5</v>
      </c>
      <c r="AA17" s="43">
        <f t="shared" si="2"/>
        <v>44168.398435133189</v>
      </c>
      <c r="AB17" s="35">
        <f t="shared" si="3"/>
        <v>46905.898435133189</v>
      </c>
      <c r="AC17" s="36">
        <f t="shared" si="4"/>
        <v>14522457.209647952</v>
      </c>
      <c r="AD17" s="43">
        <f>IF($A17=1,VARIABLES!$B$12,0)</f>
        <v>0</v>
      </c>
      <c r="AE17" s="43">
        <f>IF($A17&lt;=3,VARIABLES!$B$13,IF($A17&lt;=6,VARIABLES!$B$14,VARIABLES!$B$15))</f>
        <v>40000</v>
      </c>
      <c r="AF17" s="43">
        <f>IF(MOD($A17,12)=0,AC17*VARIABLES!$B$16,0)</f>
        <v>0</v>
      </c>
      <c r="AG17" s="43">
        <f>VARIABLES!$B$17</f>
        <v>5000</v>
      </c>
      <c r="AH17" s="43">
        <f>IF(MOD($A17,12)=0,VARIABLES!$B$18,0)</f>
        <v>0</v>
      </c>
      <c r="AI17" s="37">
        <f t="shared" si="5"/>
        <v>45000</v>
      </c>
      <c r="AJ17" s="38">
        <f>IF($A17&lt;VARIABLES!$B$7,VARIABLES!$B$9,0)</f>
        <v>26583.333333333332</v>
      </c>
      <c r="AK17" s="45">
        <f t="shared" si="6"/>
        <v>-24677.434898200143</v>
      </c>
      <c r="AL17" s="45">
        <f t="shared" si="7"/>
        <v>-508764.71577285172</v>
      </c>
      <c r="AM17" s="40">
        <f t="shared" si="8"/>
        <v>372166.66666666663</v>
      </c>
    </row>
    <row r="18" spans="1:39" x14ac:dyDescent="0.2">
      <c r="A18" s="32">
        <v>15</v>
      </c>
      <c r="B18" s="32" t="str">
        <f>TEXT(DATE(VARIABLES!$B$59+INT((VARIABLES!$B$60+A18-2)/12),MOD(VARIABLES!$B$60+A18-2,12)+1,1),"mmm-yy")</f>
        <v>Aug-27</v>
      </c>
      <c r="C18" s="33">
        <f>IF($A18&lt;VARIABLES!$B$7,VARIABLES!$B$5/12,VARIABLES!$B$6/12)</f>
        <v>4.1666666666666664E-2</v>
      </c>
      <c r="D18" s="14">
        <f>IF($A18&lt;VARIABLES!$B$21,0,IF($A18=VARIABLES!$B$21,VARIABLES!$B$22+VARIABLES!$B$23,VARIABLES!$B$23))</f>
        <v>200000</v>
      </c>
      <c r="E18" s="14">
        <f>D18*VARIABLES!$B$24</f>
        <v>1500</v>
      </c>
      <c r="F18" s="14">
        <f>IF($A18&lt;VARIABLES!$B$21,0,(IF($A18=VARIABLES!$B$21,0,G17)+D18)*C18*VARIABLES!$B$25)</f>
        <v>4736.7270601734654</v>
      </c>
      <c r="G18" s="14">
        <f>IF($A18&lt;VARIABLES!$B$21,0,(IF($A18=VARIABLES!$B$21,0,G17)+D18)*(1+C18)-F18)</f>
        <v>4731990.3331132922</v>
      </c>
      <c r="H18" s="14">
        <f>IF($A18&lt;VARIABLES!$B$28,0,IF($A18=VARIABLES!$B$28,VARIABLES!$B$29+VARIABLES!$B$30,VARIABLES!$B$30))</f>
        <v>40000</v>
      </c>
      <c r="I18" s="14">
        <f>H18*VARIABLES!$B$31</f>
        <v>300</v>
      </c>
      <c r="J18" s="14">
        <f>IF($A18&lt;VARIABLES!$B$28,0,(IF($A18=VARIABLES!$B$28,0,K17)+H18)*C18*VARIABLES!$B$32)</f>
        <v>2996.8922839062307</v>
      </c>
      <c r="K18" s="14">
        <f>IF($A18&lt;VARIABLES!$B$28,0,(IF($A18=VARIABLES!$B$28,0,K17)+H18)*(1+C18)-J18)</f>
        <v>746226.17869265156</v>
      </c>
      <c r="L18" s="14">
        <f>IF($A18&lt;VARIABLES!$B$35,0,IF($A18=VARIABLES!$B$35,VARIABLES!$B$36+VARIABLES!$B$37,VARIABLES!$B$37))</f>
        <v>0</v>
      </c>
      <c r="M18" s="14">
        <f>L18*VARIABLES!$B$38</f>
        <v>0</v>
      </c>
      <c r="N18" s="14">
        <f>IF($A18&lt;VARIABLES!$B$35,0,(IF($A18=VARIABLES!$B$35,0,O17)+L18)*C18*VARIABLES!$B$39)</f>
        <v>33620.497266644663</v>
      </c>
      <c r="O18" s="14">
        <f>IF($A18&lt;VARIABLES!$B$35,0,(IF($A18=VARIABLES!$B$35,0,O17)+L18)*(1+C18)-N18)</f>
        <v>8371503.8193945214</v>
      </c>
      <c r="P18" s="14">
        <f>IF($A18&lt;VARIABLES!$B$42,0,IF($A18=VARIABLES!$B$42,VARIABLES!$B$43+VARIABLES!$B$44,VARIABLES!$B$44))</f>
        <v>20000</v>
      </c>
      <c r="Q18" s="14">
        <f>P18*VARIABLES!$B$45</f>
        <v>150</v>
      </c>
      <c r="R18" s="14">
        <f>IF($A18&lt;VARIABLES!$B$42,0,(IF($A18=VARIABLES!$B$42,0,S17)+P18)*C18*VARIABLES!$B$46)</f>
        <v>382.71943052165739</v>
      </c>
      <c r="S18" s="14">
        <f>IF($A18&lt;VARIABLES!$B$42,0,(IF($A18=VARIABLES!$B$42,0,S17)+P18)*(1+C18)-R18)</f>
        <v>382336.71109113569</v>
      </c>
      <c r="T18" s="34">
        <f>IF($A18&lt;VARIABLES!$B$50,0,MIN(VARIABLES!$B$49,INT(($A18-VARIABLES!$B$50)/VARIABLES!$B$51)+1))</f>
        <v>12</v>
      </c>
      <c r="U18" s="14">
        <f>T18*VARIABLES!$B$53+IF(AND($A18&gt;=VARIABLES!$B$50,MOD($A18-VARIABLES!$B$50,VARIABLES!$B$51)=0,($A18-VARIABLES!$B$50)/VARIABLES!$B$51&lt;VARIABLES!$B$49),VARIABLES!$B$52,0)</f>
        <v>110000</v>
      </c>
      <c r="V18" s="14">
        <f>U18*VARIABLES!$B$54</f>
        <v>825</v>
      </c>
      <c r="W18" s="14">
        <f>IF($A18&lt;VARIABLES!$B$50,0,(IF($A18&lt;VARIABLES!$B$50+1,0,X17)+U18)*C18*VARIABLES!$B$55)</f>
        <v>4956.7295268684265</v>
      </c>
      <c r="X18" s="14">
        <f>IF($A18&lt;VARIABLES!$B$50,0,(IF($A18&lt;VARIABLES!$B$50+1,0,X17)+U18)*(1+C18)-W18)</f>
        <v>1234225.6521902385</v>
      </c>
      <c r="Y18" s="14">
        <f t="shared" si="0"/>
        <v>370000</v>
      </c>
      <c r="Z18" s="14">
        <f t="shared" si="1"/>
        <v>2775</v>
      </c>
      <c r="AA18" s="14">
        <f t="shared" si="2"/>
        <v>46693.565568114442</v>
      </c>
      <c r="AB18" s="35">
        <f t="shared" si="3"/>
        <v>49468.565568114442</v>
      </c>
      <c r="AC18" s="36">
        <f t="shared" si="4"/>
        <v>15466282.69448184</v>
      </c>
      <c r="AD18" s="14">
        <f>IF($A18=1,VARIABLES!$B$12,0)</f>
        <v>0</v>
      </c>
      <c r="AE18" s="14">
        <f>IF($A18&lt;=3,VARIABLES!$B$13,IF($A18&lt;=6,VARIABLES!$B$14,VARIABLES!$B$15))</f>
        <v>40000</v>
      </c>
      <c r="AF18" s="14">
        <f>IF(MOD($A18,12)=0,AC18*VARIABLES!$B$16,0)</f>
        <v>0</v>
      </c>
      <c r="AG18" s="14">
        <f>VARIABLES!$B$17</f>
        <v>5000</v>
      </c>
      <c r="AH18" s="14">
        <f>IF(MOD($A18,12)=0,VARIABLES!$B$18,0)</f>
        <v>0</v>
      </c>
      <c r="AI18" s="37">
        <f t="shared" si="5"/>
        <v>45000</v>
      </c>
      <c r="AJ18" s="38">
        <f>IF($A18&lt;VARIABLES!$B$7,VARIABLES!$B$9,0)</f>
        <v>26583.333333333332</v>
      </c>
      <c r="AK18" s="39">
        <f t="shared" si="6"/>
        <v>-22114.76776521889</v>
      </c>
      <c r="AL18" s="39">
        <f t="shared" si="7"/>
        <v>-530879.48353807058</v>
      </c>
      <c r="AM18" s="40">
        <f t="shared" si="8"/>
        <v>398749.99999999994</v>
      </c>
    </row>
    <row r="19" spans="1:39" x14ac:dyDescent="0.2">
      <c r="A19" s="41">
        <v>16</v>
      </c>
      <c r="B19" s="41" t="str">
        <f>TEXT(DATE(VARIABLES!$B$59+INT((VARIABLES!$B$60+A19-2)/12),MOD(VARIABLES!$B$60+A19-2,12)+1,1),"mmm-yy")</f>
        <v>Sept-27</v>
      </c>
      <c r="C19" s="42">
        <f>IF($A19&lt;VARIABLES!$B$7,VARIABLES!$B$5/12,VARIABLES!$B$6/12)</f>
        <v>4.1666666666666664E-2</v>
      </c>
      <c r="D19" s="43">
        <f>IF($A19&lt;VARIABLES!$B$21,0,IF($A19=VARIABLES!$B$21,VARIABLES!$B$22+VARIABLES!$B$23,VARIABLES!$B$23))</f>
        <v>200000</v>
      </c>
      <c r="E19" s="43">
        <f>D19*VARIABLES!$B$24</f>
        <v>1500</v>
      </c>
      <c r="F19" s="43">
        <f>IF($A19&lt;VARIABLES!$B$21,0,(IF($A19=VARIABLES!$B$21,0,G18)+D19)*C19*VARIABLES!$B$25)</f>
        <v>5137.4899303263464</v>
      </c>
      <c r="G19" s="43">
        <f>IF($A19&lt;VARIABLES!$B$21,0,(IF($A19=VARIABLES!$B$21,0,G18)+D19)*(1+C19)-F19)</f>
        <v>5132352.4403960202</v>
      </c>
      <c r="H19" s="43">
        <f>IF($A19&lt;VARIABLES!$B$28,0,IF($A19=VARIABLES!$B$28,VARIABLES!$B$29+VARIABLES!$B$30,VARIABLES!$B$30))</f>
        <v>40000</v>
      </c>
      <c r="I19" s="43">
        <f>H19*VARIABLES!$B$31</f>
        <v>300</v>
      </c>
      <c r="J19" s="43">
        <f>IF($A19&lt;VARIABLES!$B$28,0,(IF($A19=VARIABLES!$B$28,0,K18)+H19)*C19*VARIABLES!$B$32)</f>
        <v>3275.9424112193815</v>
      </c>
      <c r="K19" s="43">
        <f>IF($A19&lt;VARIABLES!$B$28,0,(IF($A19=VARIABLES!$B$28,0,K18)+H19)*(1+C19)-J19)</f>
        <v>815709.66039362608</v>
      </c>
      <c r="L19" s="43">
        <f>IF($A19&lt;VARIABLES!$B$35,0,IF($A19=VARIABLES!$B$35,VARIABLES!$B$36+VARIABLES!$B$37,VARIABLES!$B$37))</f>
        <v>0</v>
      </c>
      <c r="M19" s="43">
        <f>L19*VARIABLES!$B$38</f>
        <v>0</v>
      </c>
      <c r="N19" s="43">
        <f>IF($A19&lt;VARIABLES!$B$35,0,(IF($A19=VARIABLES!$B$35,0,O18)+L19)*C19*VARIABLES!$B$39)</f>
        <v>34881.265914143842</v>
      </c>
      <c r="O19" s="43">
        <f>IF($A19&lt;VARIABLES!$B$35,0,(IF($A19=VARIABLES!$B$35,0,O18)+L19)*(1+C19)-N19)</f>
        <v>8685435.2126218155</v>
      </c>
      <c r="P19" s="43">
        <f>IF($A19&lt;VARIABLES!$B$42,0,IF($A19=VARIABLES!$B$42,VARIABLES!$B$43+VARIABLES!$B$44,VARIABLES!$B$44))</f>
        <v>20000</v>
      </c>
      <c r="Q19" s="43">
        <f>P19*VARIABLES!$B$45</f>
        <v>150</v>
      </c>
      <c r="R19" s="43">
        <f>IF($A19&lt;VARIABLES!$B$42,0,(IF($A19=VARIABLES!$B$42,0,S18)+P19)*C19*VARIABLES!$B$46)</f>
        <v>419.10074071993296</v>
      </c>
      <c r="S19" s="43">
        <f>IF($A19&lt;VARIABLES!$B$42,0,(IF($A19=VARIABLES!$B$42,0,S18)+P19)*(1+C19)-R19)</f>
        <v>418681.63997921313</v>
      </c>
      <c r="T19" s="44">
        <f>IF($A19&lt;VARIABLES!$B$50,0,MIN(VARIABLES!$B$49,INT(($A19-VARIABLES!$B$50)/VARIABLES!$B$51)+1))</f>
        <v>12</v>
      </c>
      <c r="U19" s="43">
        <f>T19*VARIABLES!$B$53+IF(AND($A19&gt;=VARIABLES!$B$50,MOD($A19-VARIABLES!$B$50,VARIABLES!$B$51)=0,($A19-VARIABLES!$B$50)/VARIABLES!$B$51&lt;VARIABLES!$B$49),VARIABLES!$B$52,0)</f>
        <v>60000</v>
      </c>
      <c r="V19" s="43">
        <f>U19*VARIABLES!$B$54</f>
        <v>450</v>
      </c>
      <c r="W19" s="43">
        <f>IF($A19&lt;VARIABLES!$B$50,0,(IF($A19&lt;VARIABLES!$B$50+1,0,X18)+U19)*C19*VARIABLES!$B$55)</f>
        <v>5392.6068841259939</v>
      </c>
      <c r="X19" s="43">
        <f>IF($A19&lt;VARIABLES!$B$50,0,(IF($A19&lt;VARIABLES!$B$50+1,0,X18)+U19)*(1+C19)-W19)</f>
        <v>1342759.1141473723</v>
      </c>
      <c r="Y19" s="43">
        <f t="shared" si="0"/>
        <v>320000</v>
      </c>
      <c r="Z19" s="43">
        <f t="shared" si="1"/>
        <v>2400</v>
      </c>
      <c r="AA19" s="43">
        <f t="shared" si="2"/>
        <v>49106.405880535494</v>
      </c>
      <c r="AB19" s="35">
        <f t="shared" si="3"/>
        <v>51506.405880535494</v>
      </c>
      <c r="AC19" s="36">
        <f t="shared" si="4"/>
        <v>16394938.067538049</v>
      </c>
      <c r="AD19" s="43">
        <f>IF($A19=1,VARIABLES!$B$12,0)</f>
        <v>0</v>
      </c>
      <c r="AE19" s="43">
        <f>IF($A19&lt;=3,VARIABLES!$B$13,IF($A19&lt;=6,VARIABLES!$B$14,VARIABLES!$B$15))</f>
        <v>40000</v>
      </c>
      <c r="AF19" s="43">
        <f>IF(MOD($A19,12)=0,AC19*VARIABLES!$B$16,0)</f>
        <v>0</v>
      </c>
      <c r="AG19" s="43">
        <f>VARIABLES!$B$17</f>
        <v>5000</v>
      </c>
      <c r="AH19" s="43">
        <f>IF(MOD($A19,12)=0,VARIABLES!$B$18,0)</f>
        <v>0</v>
      </c>
      <c r="AI19" s="37">
        <f t="shared" si="5"/>
        <v>45000</v>
      </c>
      <c r="AJ19" s="38">
        <f>IF($A19&lt;VARIABLES!$B$7,VARIABLES!$B$9,0)</f>
        <v>26583.333333333332</v>
      </c>
      <c r="AK19" s="45">
        <f t="shared" si="6"/>
        <v>-20076.927452797838</v>
      </c>
      <c r="AL19" s="45">
        <f t="shared" si="7"/>
        <v>-550956.41099086846</v>
      </c>
      <c r="AM19" s="40">
        <f t="shared" si="8"/>
        <v>425333.33333333326</v>
      </c>
    </row>
    <row r="20" spans="1:39" x14ac:dyDescent="0.2">
      <c r="A20" s="32">
        <v>17</v>
      </c>
      <c r="B20" s="32" t="str">
        <f>TEXT(DATE(VARIABLES!$B$59+INT((VARIABLES!$B$60+A20-2)/12),MOD(VARIABLES!$B$60+A20-2,12)+1,1),"mmm-yy")</f>
        <v>Oct-27</v>
      </c>
      <c r="C20" s="33">
        <f>IF($A20&lt;VARIABLES!$B$7,VARIABLES!$B$5/12,VARIABLES!$B$6/12)</f>
        <v>4.1666666666666664E-2</v>
      </c>
      <c r="D20" s="14">
        <f>IF($A20&lt;VARIABLES!$B$21,0,IF($A20=VARIABLES!$B$21,VARIABLES!$B$22+VARIABLES!$B$23,VARIABLES!$B$23))</f>
        <v>200000</v>
      </c>
      <c r="E20" s="14">
        <f>D20*VARIABLES!$B$24</f>
        <v>1500</v>
      </c>
      <c r="F20" s="14">
        <f>IF($A20&lt;VARIABLES!$B$21,0,(IF($A20=VARIABLES!$B$21,0,G19)+D20)*C20*VARIABLES!$B$25)</f>
        <v>5554.5337920791881</v>
      </c>
      <c r="G20" s="14">
        <f>IF($A20&lt;VARIABLES!$B$21,0,(IF($A20=VARIABLES!$B$21,0,G19)+D20)*(1+C20)-F20)</f>
        <v>5548979.2582871085</v>
      </c>
      <c r="H20" s="14">
        <f>IF($A20&lt;VARIABLES!$B$28,0,IF($A20=VARIABLES!$B$28,VARIABLES!$B$29+VARIABLES!$B$30,VARIABLES!$B$30))</f>
        <v>40000</v>
      </c>
      <c r="I20" s="14">
        <f>H20*VARIABLES!$B$31</f>
        <v>300</v>
      </c>
      <c r="J20" s="14">
        <f>IF($A20&lt;VARIABLES!$B$28,0,(IF($A20=VARIABLES!$B$28,0,K19)+H20)*C20*VARIABLES!$B$32)</f>
        <v>3565.4569183067756</v>
      </c>
      <c r="K20" s="14">
        <f>IF($A20&lt;VARIABLES!$B$28,0,(IF($A20=VARIABLES!$B$28,0,K19)+H20)*(1+C20)-J20)</f>
        <v>887798.77265838708</v>
      </c>
      <c r="L20" s="14">
        <f>IF($A20&lt;VARIABLES!$B$35,0,IF($A20=VARIABLES!$B$35,VARIABLES!$B$36+VARIABLES!$B$37,VARIABLES!$B$37))</f>
        <v>0</v>
      </c>
      <c r="M20" s="14">
        <f>L20*VARIABLES!$B$38</f>
        <v>0</v>
      </c>
      <c r="N20" s="14">
        <f>IF($A20&lt;VARIABLES!$B$35,0,(IF($A20=VARIABLES!$B$35,0,O19)+L20)*C20*VARIABLES!$B$39)</f>
        <v>36189.31338592423</v>
      </c>
      <c r="O20" s="14">
        <f>IF($A20&lt;VARIABLES!$B$35,0,(IF($A20=VARIABLES!$B$35,0,O19)+L20)*(1+C20)-N20)</f>
        <v>9011139.0330951344</v>
      </c>
      <c r="P20" s="14">
        <f>IF($A20&lt;VARIABLES!$B$42,0,IF($A20=VARIABLES!$B$42,VARIABLES!$B$43+VARIABLES!$B$44,VARIABLES!$B$44))</f>
        <v>20000</v>
      </c>
      <c r="Q20" s="14">
        <f>P20*VARIABLES!$B$45</f>
        <v>150</v>
      </c>
      <c r="R20" s="14">
        <f>IF($A20&lt;VARIABLES!$B$42,0,(IF($A20=VARIABLES!$B$42,0,S19)+P20)*C20*VARIABLES!$B$46)</f>
        <v>456.96004164501369</v>
      </c>
      <c r="S20" s="14">
        <f>IF($A20&lt;VARIABLES!$B$42,0,(IF($A20=VARIABLES!$B$42,0,S19)+P20)*(1+C20)-R20)</f>
        <v>456503.08160336869</v>
      </c>
      <c r="T20" s="34">
        <f>IF($A20&lt;VARIABLES!$B$50,0,MIN(VARIABLES!$B$49,INT(($A20-VARIABLES!$B$50)/VARIABLES!$B$51)+1))</f>
        <v>12</v>
      </c>
      <c r="U20" s="14">
        <f>T20*VARIABLES!$B$53+IF(AND($A20&gt;=VARIABLES!$B$50,MOD($A20-VARIABLES!$B$50,VARIABLES!$B$51)=0,($A20-VARIABLES!$B$50)/VARIABLES!$B$51&lt;VARIABLES!$B$49),VARIABLES!$B$52,0)</f>
        <v>60000</v>
      </c>
      <c r="V20" s="14">
        <f>U20*VARIABLES!$B$54</f>
        <v>450</v>
      </c>
      <c r="W20" s="14">
        <f>IF($A20&lt;VARIABLES!$B$50,0,(IF($A20&lt;VARIABLES!$B$50+1,0,X19)+U20)*C20*VARIABLES!$B$55)</f>
        <v>5844.829642280718</v>
      </c>
      <c r="X20" s="14">
        <f>IF($A20&lt;VARIABLES!$B$50,0,(IF($A20&lt;VARIABLES!$B$50+1,0,X19)+U20)*(1+C20)-W20)</f>
        <v>1455362.5809278989</v>
      </c>
      <c r="Y20" s="14">
        <f t="shared" si="0"/>
        <v>320000</v>
      </c>
      <c r="Z20" s="14">
        <f t="shared" si="1"/>
        <v>2400</v>
      </c>
      <c r="AA20" s="14">
        <f t="shared" si="2"/>
        <v>51611.093780235926</v>
      </c>
      <c r="AB20" s="35">
        <f t="shared" si="3"/>
        <v>54011.093780235926</v>
      </c>
      <c r="AC20" s="36">
        <f t="shared" si="4"/>
        <v>17359782.726571899</v>
      </c>
      <c r="AD20" s="14">
        <f>IF($A20=1,VARIABLES!$B$12,0)</f>
        <v>0</v>
      </c>
      <c r="AE20" s="14">
        <f>IF($A20&lt;=3,VARIABLES!$B$13,IF($A20&lt;=6,VARIABLES!$B$14,VARIABLES!$B$15))</f>
        <v>40000</v>
      </c>
      <c r="AF20" s="14">
        <f>IF(MOD($A20,12)=0,AC20*VARIABLES!$B$16,0)</f>
        <v>0</v>
      </c>
      <c r="AG20" s="14">
        <f>VARIABLES!$B$17</f>
        <v>5000</v>
      </c>
      <c r="AH20" s="14">
        <f>IF(MOD($A20,12)=0,VARIABLES!$B$18,0)</f>
        <v>0</v>
      </c>
      <c r="AI20" s="37">
        <f t="shared" si="5"/>
        <v>45000</v>
      </c>
      <c r="AJ20" s="38">
        <f>IF($A20&lt;VARIABLES!$B$7,VARIABLES!$B$9,0)</f>
        <v>26583.333333333332</v>
      </c>
      <c r="AK20" s="39">
        <f t="shared" si="6"/>
        <v>-17572.239553097406</v>
      </c>
      <c r="AL20" s="39">
        <f t="shared" si="7"/>
        <v>-568528.65054396586</v>
      </c>
      <c r="AM20" s="40">
        <f t="shared" si="8"/>
        <v>451916.66666666657</v>
      </c>
    </row>
    <row r="21" spans="1:39" x14ac:dyDescent="0.2">
      <c r="A21" s="41">
        <v>18</v>
      </c>
      <c r="B21" s="41" t="str">
        <f>TEXT(DATE(VARIABLES!$B$59+INT((VARIABLES!$B$60+A21-2)/12),MOD(VARIABLES!$B$60+A21-2,12)+1,1),"mmm-yy")</f>
        <v>Nov-27</v>
      </c>
      <c r="C21" s="42">
        <f>IF($A21&lt;VARIABLES!$B$7,VARIABLES!$B$5/12,VARIABLES!$B$6/12)</f>
        <v>4.1666666666666664E-2</v>
      </c>
      <c r="D21" s="43">
        <f>IF($A21&lt;VARIABLES!$B$21,0,IF($A21=VARIABLES!$B$21,VARIABLES!$B$22+VARIABLES!$B$23,VARIABLES!$B$23))</f>
        <v>200000</v>
      </c>
      <c r="E21" s="43">
        <f>D21*VARIABLES!$B$24</f>
        <v>1500</v>
      </c>
      <c r="F21" s="43">
        <f>IF($A21&lt;VARIABLES!$B$21,0,(IF($A21=VARIABLES!$B$21,0,G20)+D21)*C21*VARIABLES!$B$25)</f>
        <v>5988.5200607157385</v>
      </c>
      <c r="G21" s="43">
        <f>IF($A21&lt;VARIABLES!$B$21,0,(IF($A21=VARIABLES!$B$21,0,G20)+D21)*(1+C21)-F21)</f>
        <v>5982531.5406550225</v>
      </c>
      <c r="H21" s="43">
        <f>IF($A21&lt;VARIABLES!$B$28,0,IF($A21=VARIABLES!$B$28,VARIABLES!$B$29+VARIABLES!$B$30,VARIABLES!$B$30))</f>
        <v>40000</v>
      </c>
      <c r="I21" s="43">
        <f>H21*VARIABLES!$B$31</f>
        <v>300</v>
      </c>
      <c r="J21" s="43">
        <f>IF($A21&lt;VARIABLES!$B$28,0,(IF($A21=VARIABLES!$B$28,0,K20)+H21)*C21*VARIABLES!$B$32)</f>
        <v>3865.8282194099465</v>
      </c>
      <c r="K21" s="43">
        <f>IF($A21&lt;VARIABLES!$B$28,0,(IF($A21=VARIABLES!$B$28,0,K20)+H21)*(1+C21)-J21)</f>
        <v>962591.22663307667</v>
      </c>
      <c r="L21" s="43">
        <f>IF($A21&lt;VARIABLES!$B$35,0,IF($A21=VARIABLES!$B$35,VARIABLES!$B$36+VARIABLES!$B$37,VARIABLES!$B$37))</f>
        <v>0</v>
      </c>
      <c r="M21" s="43">
        <f>L21*VARIABLES!$B$38</f>
        <v>0</v>
      </c>
      <c r="N21" s="43">
        <f>IF($A21&lt;VARIABLES!$B$35,0,(IF($A21=VARIABLES!$B$35,0,O20)+L21)*C21*VARIABLES!$B$39)</f>
        <v>37546.412637896392</v>
      </c>
      <c r="O21" s="43">
        <f>IF($A21&lt;VARIABLES!$B$35,0,(IF($A21=VARIABLES!$B$35,0,O20)+L21)*(1+C21)-N21)</f>
        <v>9349056.7468362022</v>
      </c>
      <c r="P21" s="43">
        <f>IF($A21&lt;VARIABLES!$B$42,0,IF($A21=VARIABLES!$B$42,VARIABLES!$B$43+VARIABLES!$B$44,VARIABLES!$B$44))</f>
        <v>20000</v>
      </c>
      <c r="Q21" s="43">
        <f>P21*VARIABLES!$B$45</f>
        <v>150</v>
      </c>
      <c r="R21" s="43">
        <f>IF($A21&lt;VARIABLES!$B$42,0,(IF($A21=VARIABLES!$B$42,0,S20)+P21)*C21*VARIABLES!$B$46)</f>
        <v>496.35737667017565</v>
      </c>
      <c r="S21" s="43">
        <f>IF($A21&lt;VARIABLES!$B$42,0,(IF($A21=VARIABLES!$B$42,0,S20)+P21)*(1+C21)-R21)</f>
        <v>495861.01929350558</v>
      </c>
      <c r="T21" s="44">
        <f>IF($A21&lt;VARIABLES!$B$50,0,MIN(VARIABLES!$B$49,INT(($A21-VARIABLES!$B$50)/VARIABLES!$B$51)+1))</f>
        <v>12</v>
      </c>
      <c r="U21" s="43">
        <f>T21*VARIABLES!$B$53+IF(AND($A21&gt;=VARIABLES!$B$50,MOD($A21-VARIABLES!$B$50,VARIABLES!$B$51)=0,($A21-VARIABLES!$B$50)/VARIABLES!$B$51&lt;VARIABLES!$B$49),VARIABLES!$B$52,0)</f>
        <v>60000</v>
      </c>
      <c r="V21" s="43">
        <f>U21*VARIABLES!$B$54</f>
        <v>450</v>
      </c>
      <c r="W21" s="43">
        <f>IF($A21&lt;VARIABLES!$B$50,0,(IF($A21&lt;VARIABLES!$B$50+1,0,X20)+U21)*C21*VARIABLES!$B$55)</f>
        <v>6314.0107538662451</v>
      </c>
      <c r="X21" s="43">
        <f>IF($A21&lt;VARIABLES!$B$50,0,(IF($A21&lt;VARIABLES!$B$50+1,0,X20)+U21)*(1+C21)-W21)</f>
        <v>1572188.6777126952</v>
      </c>
      <c r="Y21" s="43">
        <f t="shared" si="0"/>
        <v>320000</v>
      </c>
      <c r="Z21" s="43">
        <f t="shared" si="1"/>
        <v>2400</v>
      </c>
      <c r="AA21" s="43">
        <f t="shared" si="2"/>
        <v>54211.12904855849</v>
      </c>
      <c r="AB21" s="35">
        <f t="shared" si="3"/>
        <v>56611.12904855849</v>
      </c>
      <c r="AC21" s="36">
        <f t="shared" si="4"/>
        <v>18362229.2111305</v>
      </c>
      <c r="AD21" s="43">
        <f>IF($A21=1,VARIABLES!$B$12,0)</f>
        <v>0</v>
      </c>
      <c r="AE21" s="43">
        <f>IF($A21&lt;=3,VARIABLES!$B$13,IF($A21&lt;=6,VARIABLES!$B$14,VARIABLES!$B$15))</f>
        <v>40000</v>
      </c>
      <c r="AF21" s="43">
        <f>IF(MOD($A21,12)=0,AC21*VARIABLES!$B$16,0)</f>
        <v>0</v>
      </c>
      <c r="AG21" s="43">
        <f>VARIABLES!$B$17</f>
        <v>5000</v>
      </c>
      <c r="AH21" s="43">
        <f>IF(MOD($A21,12)=0,VARIABLES!$B$18,0)</f>
        <v>0</v>
      </c>
      <c r="AI21" s="37">
        <f t="shared" si="5"/>
        <v>45000</v>
      </c>
      <c r="AJ21" s="38">
        <f>IF($A21&lt;VARIABLES!$B$7,VARIABLES!$B$9,0)</f>
        <v>26583.333333333332</v>
      </c>
      <c r="AK21" s="45">
        <f t="shared" si="6"/>
        <v>-14972.204284774842</v>
      </c>
      <c r="AL21" s="45">
        <f t="shared" si="7"/>
        <v>-583500.8548287407</v>
      </c>
      <c r="AM21" s="40">
        <f t="shared" si="8"/>
        <v>478499.99999999988</v>
      </c>
    </row>
    <row r="22" spans="1:39" x14ac:dyDescent="0.2">
      <c r="A22" s="32">
        <v>19</v>
      </c>
      <c r="B22" s="32" t="str">
        <f>TEXT(DATE(VARIABLES!$B$59+INT((VARIABLES!$B$60+A22-2)/12),MOD(VARIABLES!$B$60+A22-2,12)+1,1),"mmm-yy")</f>
        <v>Dec-27</v>
      </c>
      <c r="C22" s="33">
        <f>IF($A22&lt;VARIABLES!$B$7,VARIABLES!$B$5/12,VARIABLES!$B$6/12)</f>
        <v>4.1666666666666664E-2</v>
      </c>
      <c r="D22" s="14">
        <f>IF($A22&lt;VARIABLES!$B$21,0,IF($A22=VARIABLES!$B$21,VARIABLES!$B$22+VARIABLES!$B$23,VARIABLES!$B$23))</f>
        <v>200000</v>
      </c>
      <c r="E22" s="14">
        <f>D22*VARIABLES!$B$24</f>
        <v>1500</v>
      </c>
      <c r="F22" s="14">
        <f>IF($A22&lt;VARIABLES!$B$21,0,(IF($A22=VARIABLES!$B$21,0,G21)+D22)*C22*VARIABLES!$B$25)</f>
        <v>6440.1370215156485</v>
      </c>
      <c r="G22" s="14">
        <f>IF($A22&lt;VARIABLES!$B$21,0,(IF($A22=VARIABLES!$B$21,0,G21)+D22)*(1+C22)-F22)</f>
        <v>6433696.8844941333</v>
      </c>
      <c r="H22" s="14">
        <f>IF($A22&lt;VARIABLES!$B$28,0,IF($A22=VARIABLES!$B$28,VARIABLES!$B$29+VARIABLES!$B$30,VARIABLES!$B$30))</f>
        <v>40000</v>
      </c>
      <c r="I22" s="14">
        <f>H22*VARIABLES!$B$31</f>
        <v>300</v>
      </c>
      <c r="J22" s="14">
        <f>IF($A22&lt;VARIABLES!$B$28,0,(IF($A22=VARIABLES!$B$28,0,K21)+H22)*C22*VARIABLES!$B$32)</f>
        <v>4177.4634443044861</v>
      </c>
      <c r="K22" s="14">
        <f>IF($A22&lt;VARIABLES!$B$28,0,(IF($A22=VARIABLES!$B$28,0,K21)+H22)*(1+C22)-J22)</f>
        <v>1040188.397631817</v>
      </c>
      <c r="L22" s="14">
        <f>IF($A22&lt;VARIABLES!$B$35,0,IF($A22=VARIABLES!$B$35,VARIABLES!$B$36+VARIABLES!$B$37,VARIABLES!$B$37))</f>
        <v>0</v>
      </c>
      <c r="M22" s="14">
        <f>L22*VARIABLES!$B$38</f>
        <v>0</v>
      </c>
      <c r="N22" s="14">
        <f>IF($A22&lt;VARIABLES!$B$35,0,(IF($A22=VARIABLES!$B$35,0,O21)+L22)*C22*VARIABLES!$B$39)</f>
        <v>38954.403111817512</v>
      </c>
      <c r="O22" s="14">
        <f>IF($A22&lt;VARIABLES!$B$35,0,(IF($A22=VARIABLES!$B$35,0,O21)+L22)*(1+C22)-N22)</f>
        <v>9699646.3748425599</v>
      </c>
      <c r="P22" s="14">
        <f>IF($A22&lt;VARIABLES!$B$42,0,IF($A22=VARIABLES!$B$42,VARIABLES!$B$43+VARIABLES!$B$44,VARIABLES!$B$44))</f>
        <v>20000</v>
      </c>
      <c r="Q22" s="14">
        <f>P22*VARIABLES!$B$45</f>
        <v>150</v>
      </c>
      <c r="R22" s="14">
        <f>IF($A22&lt;VARIABLES!$B$42,0,(IF($A22=VARIABLES!$B$42,0,S21)+P22)*C22*VARIABLES!$B$46)</f>
        <v>537.355228430735</v>
      </c>
      <c r="S22" s="14">
        <f>IF($A22&lt;VARIABLES!$B$42,0,(IF($A22=VARIABLES!$B$42,0,S21)+P22)*(1+C22)-R22)</f>
        <v>536817.87320230436</v>
      </c>
      <c r="T22" s="34">
        <f>IF($A22&lt;VARIABLES!$B$50,0,MIN(VARIABLES!$B$49,INT(($A22-VARIABLES!$B$50)/VARIABLES!$B$51)+1))</f>
        <v>12</v>
      </c>
      <c r="U22" s="14">
        <f>T22*VARIABLES!$B$53+IF(AND($A22&gt;=VARIABLES!$B$50,MOD($A22-VARIABLES!$B$50,VARIABLES!$B$51)=0,($A22-VARIABLES!$B$50)/VARIABLES!$B$51&lt;VARIABLES!$B$49),VARIABLES!$B$52,0)</f>
        <v>60000</v>
      </c>
      <c r="V22" s="14">
        <f>U22*VARIABLES!$B$54</f>
        <v>450</v>
      </c>
      <c r="W22" s="14">
        <f>IF($A22&lt;VARIABLES!$B$50,0,(IF($A22&lt;VARIABLES!$B$50+1,0,X21)+U22)*C22*VARIABLES!$B$55)</f>
        <v>6800.78615713623</v>
      </c>
      <c r="X22" s="14">
        <f>IF($A22&lt;VARIABLES!$B$50,0,(IF($A22&lt;VARIABLES!$B$50+1,0,X21)+U22)*(1+C22)-W22)</f>
        <v>1693395.7531269214</v>
      </c>
      <c r="Y22" s="14">
        <f t="shared" si="0"/>
        <v>320000</v>
      </c>
      <c r="Z22" s="14">
        <f t="shared" si="1"/>
        <v>2400</v>
      </c>
      <c r="AA22" s="14">
        <f t="shared" si="2"/>
        <v>56910.144963204613</v>
      </c>
      <c r="AB22" s="35">
        <f t="shared" si="3"/>
        <v>59310.144963204613</v>
      </c>
      <c r="AC22" s="36">
        <f t="shared" si="4"/>
        <v>19403745.28329774</v>
      </c>
      <c r="AD22" s="14">
        <f>IF($A22=1,VARIABLES!$B$12,0)</f>
        <v>0</v>
      </c>
      <c r="AE22" s="14">
        <f>IF($A22&lt;=3,VARIABLES!$B$13,IF($A22&lt;=6,VARIABLES!$B$14,VARIABLES!$B$15))</f>
        <v>40000</v>
      </c>
      <c r="AF22" s="14">
        <f>IF(MOD($A22,12)=0,AC22*VARIABLES!$B$16,0)</f>
        <v>0</v>
      </c>
      <c r="AG22" s="14">
        <f>VARIABLES!$B$17</f>
        <v>5000</v>
      </c>
      <c r="AH22" s="14">
        <f>IF(MOD($A22,12)=0,VARIABLES!$B$18,0)</f>
        <v>0</v>
      </c>
      <c r="AI22" s="37">
        <f t="shared" si="5"/>
        <v>45000</v>
      </c>
      <c r="AJ22" s="38">
        <f>IF($A22&lt;VARIABLES!$B$7,VARIABLES!$B$9,0)</f>
        <v>26583.333333333332</v>
      </c>
      <c r="AK22" s="39">
        <f t="shared" si="6"/>
        <v>-12273.188370128719</v>
      </c>
      <c r="AL22" s="39">
        <f t="shared" si="7"/>
        <v>-595774.04319886945</v>
      </c>
      <c r="AM22" s="40">
        <f t="shared" si="8"/>
        <v>505083.3333333332</v>
      </c>
    </row>
    <row r="23" spans="1:39" x14ac:dyDescent="0.2">
      <c r="A23" s="41">
        <v>20</v>
      </c>
      <c r="B23" s="41" t="str">
        <f>TEXT(DATE(VARIABLES!$B$59+INT((VARIABLES!$B$60+A23-2)/12),MOD(VARIABLES!$B$60+A23-2,12)+1,1),"mmm-yy")</f>
        <v>Jan-28</v>
      </c>
      <c r="C23" s="42">
        <f>IF($A23&lt;VARIABLES!$B$7,VARIABLES!$B$5/12,VARIABLES!$B$6/12)</f>
        <v>4.1666666666666664E-2</v>
      </c>
      <c r="D23" s="43">
        <f>IF($A23&lt;VARIABLES!$B$21,0,IF($A23=VARIABLES!$B$21,VARIABLES!$B$22+VARIABLES!$B$23,VARIABLES!$B$23))</f>
        <v>200000</v>
      </c>
      <c r="E23" s="43">
        <f>D23*VARIABLES!$B$24</f>
        <v>1500</v>
      </c>
      <c r="F23" s="43">
        <f>IF($A23&lt;VARIABLES!$B$21,0,(IF($A23=VARIABLES!$B$21,0,G22)+D23)*C23*VARIABLES!$B$25)</f>
        <v>6910.1009213480547</v>
      </c>
      <c r="G23" s="43">
        <f>IF($A23&lt;VARIABLES!$B$21,0,(IF($A23=VARIABLES!$B$21,0,G22)+D23)*(1+C23)-F23)</f>
        <v>6903190.8204267081</v>
      </c>
      <c r="H23" s="43">
        <f>IF($A23&lt;VARIABLES!$B$28,0,IF($A23=VARIABLES!$B$28,VARIABLES!$B$29+VARIABLES!$B$30,VARIABLES!$B$30))</f>
        <v>40000</v>
      </c>
      <c r="I23" s="43">
        <f>H23*VARIABLES!$B$31</f>
        <v>300</v>
      </c>
      <c r="J23" s="43">
        <f>IF($A23&lt;VARIABLES!$B$28,0,(IF($A23=VARIABLES!$B$28,0,K22)+H23)*C23*VARIABLES!$B$32)</f>
        <v>4500.7849901325708</v>
      </c>
      <c r="K23" s="43">
        <f>IF($A23&lt;VARIABLES!$B$28,0,(IF($A23=VARIABLES!$B$28,0,K22)+H23)*(1+C23)-J23)</f>
        <v>1120695.4625430102</v>
      </c>
      <c r="L23" s="43">
        <f>IF($A23&lt;VARIABLES!$B$35,0,IF($A23=VARIABLES!$B$35,VARIABLES!$B$36+VARIABLES!$B$37,VARIABLES!$B$37))</f>
        <v>0</v>
      </c>
      <c r="M23" s="43">
        <f>L23*VARIABLES!$B$38</f>
        <v>0</v>
      </c>
      <c r="N23" s="43">
        <f>IF($A23&lt;VARIABLES!$B$35,0,(IF($A23=VARIABLES!$B$35,0,O22)+L23)*C23*VARIABLES!$B$39)</f>
        <v>40415.193228510667</v>
      </c>
      <c r="O23" s="43">
        <f>IF($A23&lt;VARIABLES!$B$35,0,(IF($A23=VARIABLES!$B$35,0,O22)+L23)*(1+C23)-N23)</f>
        <v>10063383.113899156</v>
      </c>
      <c r="P23" s="43">
        <f>IF($A23&lt;VARIABLES!$B$42,0,IF($A23=VARIABLES!$B$42,VARIABLES!$B$43+VARIABLES!$B$44,VARIABLES!$B$44))</f>
        <v>20000</v>
      </c>
      <c r="Q23" s="43">
        <f>P23*VARIABLES!$B$45</f>
        <v>150</v>
      </c>
      <c r="R23" s="43">
        <f>IF($A23&lt;VARIABLES!$B$42,0,(IF($A23=VARIABLES!$B$42,0,S22)+P23)*C23*VARIABLES!$B$46)</f>
        <v>580.01861791906708</v>
      </c>
      <c r="S23" s="43">
        <f>IF($A23&lt;VARIABLES!$B$42,0,(IF($A23=VARIABLES!$B$42,0,S22)+P23)*(1+C23)-R23)</f>
        <v>579438.59930114797</v>
      </c>
      <c r="T23" s="44">
        <f>IF($A23&lt;VARIABLES!$B$50,0,MIN(VARIABLES!$B$49,INT(($A23-VARIABLES!$B$50)/VARIABLES!$B$51)+1))</f>
        <v>12</v>
      </c>
      <c r="U23" s="43">
        <f>T23*VARIABLES!$B$53+IF(AND($A23&gt;=VARIABLES!$B$50,MOD($A23-VARIABLES!$B$50,VARIABLES!$B$51)=0,($A23-VARIABLES!$B$50)/VARIABLES!$B$51&lt;VARIABLES!$B$49),VARIABLES!$B$52,0)</f>
        <v>60000</v>
      </c>
      <c r="V23" s="43">
        <f>U23*VARIABLES!$B$54</f>
        <v>450</v>
      </c>
      <c r="W23" s="43">
        <f>IF($A23&lt;VARIABLES!$B$50,0,(IF($A23&lt;VARIABLES!$B$50+1,0,X22)+U23)*C23*VARIABLES!$B$55)</f>
        <v>7305.8156380288392</v>
      </c>
      <c r="X23" s="43">
        <f>IF($A23&lt;VARIABLES!$B$50,0,(IF($A23&lt;VARIABLES!$B$50+1,0,X22)+U23)*(1+C23)-W23)</f>
        <v>1819148.0938691811</v>
      </c>
      <c r="Y23" s="43">
        <f t="shared" si="0"/>
        <v>320000</v>
      </c>
      <c r="Z23" s="43">
        <f t="shared" si="1"/>
        <v>2400</v>
      </c>
      <c r="AA23" s="43">
        <f t="shared" si="2"/>
        <v>59711.913395939198</v>
      </c>
      <c r="AB23" s="35">
        <f t="shared" si="3"/>
        <v>62111.913395939198</v>
      </c>
      <c r="AC23" s="36">
        <f t="shared" si="4"/>
        <v>20485856.090039205</v>
      </c>
      <c r="AD23" s="43">
        <f>IF($A23=1,VARIABLES!$B$12,0)</f>
        <v>0</v>
      </c>
      <c r="AE23" s="43">
        <f>IF($A23&lt;=3,VARIABLES!$B$13,IF($A23&lt;=6,VARIABLES!$B$14,VARIABLES!$B$15))</f>
        <v>40000</v>
      </c>
      <c r="AF23" s="43">
        <f>IF(MOD($A23,12)=0,AC23*VARIABLES!$B$16,0)</f>
        <v>0</v>
      </c>
      <c r="AG23" s="43">
        <f>VARIABLES!$B$17</f>
        <v>5000</v>
      </c>
      <c r="AH23" s="43">
        <f>IF(MOD($A23,12)=0,VARIABLES!$B$18,0)</f>
        <v>0</v>
      </c>
      <c r="AI23" s="37">
        <f t="shared" si="5"/>
        <v>45000</v>
      </c>
      <c r="AJ23" s="38">
        <f>IF($A23&lt;VARIABLES!$B$7,VARIABLES!$B$9,0)</f>
        <v>26583.333333333332</v>
      </c>
      <c r="AK23" s="45">
        <f t="shared" si="6"/>
        <v>-9471.4199373941337</v>
      </c>
      <c r="AL23" s="45">
        <f t="shared" si="7"/>
        <v>-605245.46313626354</v>
      </c>
      <c r="AM23" s="40">
        <f t="shared" si="8"/>
        <v>531666.66666666651</v>
      </c>
    </row>
    <row r="24" spans="1:39" x14ac:dyDescent="0.2">
      <c r="A24" s="32">
        <v>21</v>
      </c>
      <c r="B24" s="32" t="str">
        <f>TEXT(DATE(VARIABLES!$B$59+INT((VARIABLES!$B$60+A24-2)/12),MOD(VARIABLES!$B$60+A24-2,12)+1,1),"mmm-yy")</f>
        <v>Feb-28</v>
      </c>
      <c r="C24" s="33">
        <f>IF($A24&lt;VARIABLES!$B$7,VARIABLES!$B$5/12,VARIABLES!$B$6/12)</f>
        <v>4.1666666666666664E-2</v>
      </c>
      <c r="D24" s="14">
        <f>IF($A24&lt;VARIABLES!$B$21,0,IF($A24=VARIABLES!$B$21,VARIABLES!$B$22+VARIABLES!$B$23,VARIABLES!$B$23))</f>
        <v>200000</v>
      </c>
      <c r="E24" s="14">
        <f>D24*VARIABLES!$B$24</f>
        <v>1500</v>
      </c>
      <c r="F24" s="14">
        <f>IF($A24&lt;VARIABLES!$B$21,0,(IF($A24=VARIABLES!$B$21,0,G23)+D24)*C24*VARIABLES!$B$25)</f>
        <v>7399.157104611154</v>
      </c>
      <c r="G24" s="14">
        <f>IF($A24&lt;VARIABLES!$B$21,0,(IF($A24=VARIABLES!$B$21,0,G23)+D24)*(1+C24)-F24)</f>
        <v>7391757.9475065432</v>
      </c>
      <c r="H24" s="14">
        <f>IF($A24&lt;VARIABLES!$B$28,0,IF($A24=VARIABLES!$B$28,VARIABLES!$B$29+VARIABLES!$B$30,VARIABLES!$B$30))</f>
        <v>40000</v>
      </c>
      <c r="I24" s="14">
        <f>H24*VARIABLES!$B$31</f>
        <v>300</v>
      </c>
      <c r="J24" s="14">
        <f>IF($A24&lt;VARIABLES!$B$28,0,(IF($A24=VARIABLES!$B$28,0,K23)+H24)*C24*VARIABLES!$B$32)</f>
        <v>4836.2310939292092</v>
      </c>
      <c r="K24" s="14">
        <f>IF($A24&lt;VARIABLES!$B$28,0,(IF($A24=VARIABLES!$B$28,0,K23)+H24)*(1+C24)-J24)</f>
        <v>1204221.5423883733</v>
      </c>
      <c r="L24" s="14">
        <f>IF($A24&lt;VARIABLES!$B$35,0,IF($A24=VARIABLES!$B$35,VARIABLES!$B$36+VARIABLES!$B$37,VARIABLES!$B$37))</f>
        <v>0</v>
      </c>
      <c r="M24" s="14">
        <f>L24*VARIABLES!$B$38</f>
        <v>0</v>
      </c>
      <c r="N24" s="14">
        <f>IF($A24&lt;VARIABLES!$B$35,0,(IF($A24=VARIABLES!$B$35,0,O23)+L24)*C24*VARIABLES!$B$39)</f>
        <v>41930.762974579819</v>
      </c>
      <c r="O24" s="14">
        <f>IF($A24&lt;VARIABLES!$B$35,0,(IF($A24=VARIABLES!$B$35,0,O23)+L24)*(1+C24)-N24)</f>
        <v>10440759.980670374</v>
      </c>
      <c r="P24" s="14">
        <f>IF($A24&lt;VARIABLES!$B$42,0,IF($A24=VARIABLES!$B$42,VARIABLES!$B$43+VARIABLES!$B$44,VARIABLES!$B$44))</f>
        <v>20000</v>
      </c>
      <c r="Q24" s="14">
        <f>P24*VARIABLES!$B$45</f>
        <v>150</v>
      </c>
      <c r="R24" s="14">
        <f>IF($A24&lt;VARIABLES!$B$42,0,(IF($A24=VARIABLES!$B$42,0,S23)+P24)*C24*VARIABLES!$B$46)</f>
        <v>624.41520760536241</v>
      </c>
      <c r="S24" s="14">
        <f>IF($A24&lt;VARIABLES!$B$42,0,(IF($A24=VARIABLES!$B$42,0,S23)+P24)*(1+C24)-R24)</f>
        <v>623790.79239775718</v>
      </c>
      <c r="T24" s="34">
        <f>IF($A24&lt;VARIABLES!$B$50,0,MIN(VARIABLES!$B$49,INT(($A24-VARIABLES!$B$50)/VARIABLES!$B$51)+1))</f>
        <v>12</v>
      </c>
      <c r="U24" s="14">
        <f>T24*VARIABLES!$B$53+IF(AND($A24&gt;=VARIABLES!$B$50,MOD($A24-VARIABLES!$B$50,VARIABLES!$B$51)=0,($A24-VARIABLES!$B$50)/VARIABLES!$B$51&lt;VARIABLES!$B$49),VARIABLES!$B$52,0)</f>
        <v>60000</v>
      </c>
      <c r="V24" s="14">
        <f>U24*VARIABLES!$B$54</f>
        <v>450</v>
      </c>
      <c r="W24" s="14">
        <f>IF($A24&lt;VARIABLES!$B$50,0,(IF($A24&lt;VARIABLES!$B$50+1,0,X23)+U24)*C24*VARIABLES!$B$55)</f>
        <v>7829.7837244549219</v>
      </c>
      <c r="X24" s="14">
        <f>IF($A24&lt;VARIABLES!$B$50,0,(IF($A24&lt;VARIABLES!$B$50+1,0,X23)+U24)*(1+C24)-W24)</f>
        <v>1949616.1473892755</v>
      </c>
      <c r="Y24" s="14">
        <f t="shared" si="0"/>
        <v>320000</v>
      </c>
      <c r="Z24" s="14">
        <f t="shared" si="1"/>
        <v>2400</v>
      </c>
      <c r="AA24" s="14">
        <f t="shared" si="2"/>
        <v>62620.350105180471</v>
      </c>
      <c r="AB24" s="35">
        <f t="shared" si="3"/>
        <v>65020.350105180471</v>
      </c>
      <c r="AC24" s="36">
        <f t="shared" si="4"/>
        <v>21610146.410352319</v>
      </c>
      <c r="AD24" s="14">
        <f>IF($A24=1,VARIABLES!$B$12,0)</f>
        <v>0</v>
      </c>
      <c r="AE24" s="14">
        <f>IF($A24&lt;=3,VARIABLES!$B$13,IF($A24&lt;=6,VARIABLES!$B$14,VARIABLES!$B$15))</f>
        <v>40000</v>
      </c>
      <c r="AF24" s="14">
        <f>IF(MOD($A24,12)=0,AC24*VARIABLES!$B$16,0)</f>
        <v>0</v>
      </c>
      <c r="AG24" s="14">
        <f>VARIABLES!$B$17</f>
        <v>5000</v>
      </c>
      <c r="AH24" s="14">
        <f>IF(MOD($A24,12)=0,VARIABLES!$B$18,0)</f>
        <v>0</v>
      </c>
      <c r="AI24" s="37">
        <f t="shared" si="5"/>
        <v>45000</v>
      </c>
      <c r="AJ24" s="38">
        <f>IF($A24&lt;VARIABLES!$B$7,VARIABLES!$B$9,0)</f>
        <v>26583.333333333332</v>
      </c>
      <c r="AK24" s="39">
        <f t="shared" si="6"/>
        <v>-6562.9832281528616</v>
      </c>
      <c r="AL24" s="39">
        <f t="shared" si="7"/>
        <v>-611808.44636441639</v>
      </c>
      <c r="AM24" s="40">
        <f t="shared" si="8"/>
        <v>558249.99999999988</v>
      </c>
    </row>
    <row r="25" spans="1:39" x14ac:dyDescent="0.2">
      <c r="A25" s="41">
        <v>22</v>
      </c>
      <c r="B25" s="41" t="str">
        <f>TEXT(DATE(VARIABLES!$B$59+INT((VARIABLES!$B$60+A25-2)/12),MOD(VARIABLES!$B$60+A25-2,12)+1,1),"mmm-yy")</f>
        <v>Mar-28</v>
      </c>
      <c r="C25" s="42">
        <f>IF($A25&lt;VARIABLES!$B$7,VARIABLES!$B$5/12,VARIABLES!$B$6/12)</f>
        <v>4.1666666666666664E-2</v>
      </c>
      <c r="D25" s="43">
        <f>IF($A25&lt;VARIABLES!$B$21,0,IF($A25=VARIABLES!$B$21,VARIABLES!$B$22+VARIABLES!$B$23,VARIABLES!$B$23))</f>
        <v>200000</v>
      </c>
      <c r="E25" s="43">
        <f>D25*VARIABLES!$B$24</f>
        <v>1500</v>
      </c>
      <c r="F25" s="43">
        <f>IF($A25&lt;VARIABLES!$B$21,0,(IF($A25=VARIABLES!$B$21,0,G24)+D25)*C25*VARIABLES!$B$25)</f>
        <v>7908.0811953193161</v>
      </c>
      <c r="G25" s="43">
        <f>IF($A25&lt;VARIABLES!$B$21,0,(IF($A25=VARIABLES!$B$21,0,G24)+D25)*(1+C25)-F25)</f>
        <v>7900173.1141239973</v>
      </c>
      <c r="H25" s="43">
        <f>IF($A25&lt;VARIABLES!$B$28,0,IF($A25=VARIABLES!$B$28,VARIABLES!$B$29+VARIABLES!$B$30,VARIABLES!$B$30))</f>
        <v>40000</v>
      </c>
      <c r="I25" s="43">
        <f>H25*VARIABLES!$B$31</f>
        <v>300</v>
      </c>
      <c r="J25" s="43">
        <f>IF($A25&lt;VARIABLES!$B$28,0,(IF($A25=VARIABLES!$B$28,0,K24)+H25)*C25*VARIABLES!$B$32)</f>
        <v>5184.2564266182226</v>
      </c>
      <c r="K25" s="43">
        <f>IF($A25&lt;VARIABLES!$B$28,0,(IF($A25=VARIABLES!$B$28,0,K24)+H25)*(1+C25)-J25)</f>
        <v>1290879.8502279373</v>
      </c>
      <c r="L25" s="43">
        <f>IF($A25&lt;VARIABLES!$B$35,0,IF($A25=VARIABLES!$B$35,VARIABLES!$B$36+VARIABLES!$B$37,VARIABLES!$B$37))</f>
        <v>0</v>
      </c>
      <c r="M25" s="43">
        <f>L25*VARIABLES!$B$38</f>
        <v>0</v>
      </c>
      <c r="N25" s="43">
        <f>IF($A25&lt;VARIABLES!$B$35,0,(IF($A25=VARIABLES!$B$35,0,O24)+L25)*C25*VARIABLES!$B$39)</f>
        <v>43503.166586126557</v>
      </c>
      <c r="O25" s="43">
        <f>IF($A25&lt;VARIABLES!$B$35,0,(IF($A25=VARIABLES!$B$35,0,O24)+L25)*(1+C25)-N25)</f>
        <v>10832288.479945512</v>
      </c>
      <c r="P25" s="43">
        <f>IF($A25&lt;VARIABLES!$B$42,0,IF($A25=VARIABLES!$B$42,VARIABLES!$B$43+VARIABLES!$B$44,VARIABLES!$B$44))</f>
        <v>20000</v>
      </c>
      <c r="Q25" s="43">
        <f>P25*VARIABLES!$B$45</f>
        <v>150</v>
      </c>
      <c r="R25" s="43">
        <f>IF($A25&lt;VARIABLES!$B$42,0,(IF($A25=VARIABLES!$B$42,0,S24)+P25)*C25*VARIABLES!$B$46)</f>
        <v>670.61540874766376</v>
      </c>
      <c r="S25" s="43">
        <f>IF($A25&lt;VARIABLES!$B$42,0,(IF($A25=VARIABLES!$B$42,0,S24)+P25)*(1+C25)-R25)</f>
        <v>669944.79333891603</v>
      </c>
      <c r="T25" s="44">
        <f>IF($A25&lt;VARIABLES!$B$50,0,MIN(VARIABLES!$B$49,INT(($A25-VARIABLES!$B$50)/VARIABLES!$B$51)+1))</f>
        <v>12</v>
      </c>
      <c r="U25" s="43">
        <f>T25*VARIABLES!$B$53+IF(AND($A25&gt;=VARIABLES!$B$50,MOD($A25-VARIABLES!$B$50,VARIABLES!$B$51)=0,($A25-VARIABLES!$B$50)/VARIABLES!$B$51&lt;VARIABLES!$B$49),VARIABLES!$B$52,0)</f>
        <v>60000</v>
      </c>
      <c r="V25" s="43">
        <f>U25*VARIABLES!$B$54</f>
        <v>450</v>
      </c>
      <c r="W25" s="43">
        <f>IF($A25&lt;VARIABLES!$B$50,0,(IF($A25&lt;VARIABLES!$B$50+1,0,X24)+U25)*C25*VARIABLES!$B$55)</f>
        <v>8373.4006141219816</v>
      </c>
      <c r="X25" s="43">
        <f>IF($A25&lt;VARIABLES!$B$50,0,(IF($A25&lt;VARIABLES!$B$50+1,0,X24)+U25)*(1+C25)-W25)</f>
        <v>2084976.7529163735</v>
      </c>
      <c r="Y25" s="43">
        <f t="shared" si="0"/>
        <v>320000</v>
      </c>
      <c r="Z25" s="43">
        <f t="shared" si="1"/>
        <v>2400</v>
      </c>
      <c r="AA25" s="43">
        <f t="shared" si="2"/>
        <v>65639.520230933747</v>
      </c>
      <c r="AB25" s="35">
        <f t="shared" si="3"/>
        <v>68039.520230933747</v>
      </c>
      <c r="AC25" s="36">
        <f t="shared" si="4"/>
        <v>22778262.990552738</v>
      </c>
      <c r="AD25" s="43">
        <f>IF($A25=1,VARIABLES!$B$12,0)</f>
        <v>0</v>
      </c>
      <c r="AE25" s="43">
        <f>IF($A25&lt;=3,VARIABLES!$B$13,IF($A25&lt;=6,VARIABLES!$B$14,VARIABLES!$B$15))</f>
        <v>40000</v>
      </c>
      <c r="AF25" s="43">
        <f>IF(MOD($A25,12)=0,AC25*VARIABLES!$B$16,0)</f>
        <v>0</v>
      </c>
      <c r="AG25" s="43">
        <f>VARIABLES!$B$17</f>
        <v>5000</v>
      </c>
      <c r="AH25" s="43">
        <f>IF(MOD($A25,12)=0,VARIABLES!$B$18,0)</f>
        <v>0</v>
      </c>
      <c r="AI25" s="37">
        <f t="shared" si="5"/>
        <v>45000</v>
      </c>
      <c r="AJ25" s="38">
        <f>IF($A25&lt;VARIABLES!$B$7,VARIABLES!$B$9,0)</f>
        <v>26583.333333333332</v>
      </c>
      <c r="AK25" s="45">
        <f t="shared" si="6"/>
        <v>-3543.8131023995847</v>
      </c>
      <c r="AL25" s="45">
        <f t="shared" si="7"/>
        <v>-615352.25946681597</v>
      </c>
      <c r="AM25" s="40">
        <f t="shared" si="8"/>
        <v>584833.33333333326</v>
      </c>
    </row>
    <row r="26" spans="1:39" x14ac:dyDescent="0.2">
      <c r="A26" s="32">
        <v>23</v>
      </c>
      <c r="B26" s="32" t="str">
        <f>TEXT(DATE(VARIABLES!$B$59+INT((VARIABLES!$B$60+A26-2)/12),MOD(VARIABLES!$B$60+A26-2,12)+1,1),"mmm-yy")</f>
        <v>Apr-28</v>
      </c>
      <c r="C26" s="33">
        <f>IF($A26&lt;VARIABLES!$B$7,VARIABLES!$B$5/12,VARIABLES!$B$6/12)</f>
        <v>4.1666666666666664E-2</v>
      </c>
      <c r="D26" s="14">
        <f>IF($A26&lt;VARIABLES!$B$21,0,IF($A26=VARIABLES!$B$21,VARIABLES!$B$22+VARIABLES!$B$23,VARIABLES!$B$23))</f>
        <v>200000</v>
      </c>
      <c r="E26" s="14">
        <f>D26*VARIABLES!$B$24</f>
        <v>1500</v>
      </c>
      <c r="F26" s="14">
        <f>IF($A26&lt;VARIABLES!$B$21,0,(IF($A26=VARIABLES!$B$21,0,G25)+D26)*C26*VARIABLES!$B$25)</f>
        <v>8437.6803272124962</v>
      </c>
      <c r="G26" s="14">
        <f>IF($A26&lt;VARIABLES!$B$21,0,(IF($A26=VARIABLES!$B$21,0,G25)+D26)*(1+C26)-F26)</f>
        <v>8429242.6468852852</v>
      </c>
      <c r="H26" s="14">
        <f>IF($A26&lt;VARIABLES!$B$28,0,IF($A26=VARIABLES!$B$28,VARIABLES!$B$29+VARIABLES!$B$30,VARIABLES!$B$30))</f>
        <v>40000</v>
      </c>
      <c r="I26" s="14">
        <f>H26*VARIABLES!$B$31</f>
        <v>300</v>
      </c>
      <c r="J26" s="14">
        <f>IF($A26&lt;VARIABLES!$B$28,0,(IF($A26=VARIABLES!$B$28,0,K25)+H26)*C26*VARIABLES!$B$32)</f>
        <v>5545.3327092830723</v>
      </c>
      <c r="K26" s="14">
        <f>IF($A26&lt;VARIABLES!$B$28,0,(IF($A26=VARIABLES!$B$28,0,K25)+H26)*(1+C26)-J26)</f>
        <v>1380787.844611485</v>
      </c>
      <c r="L26" s="14">
        <f>IF($A26&lt;VARIABLES!$B$35,0,IF($A26=VARIABLES!$B$35,VARIABLES!$B$36+VARIABLES!$B$37,VARIABLES!$B$37))</f>
        <v>0</v>
      </c>
      <c r="M26" s="14">
        <f>L26*VARIABLES!$B$38</f>
        <v>0</v>
      </c>
      <c r="N26" s="14">
        <f>IF($A26&lt;VARIABLES!$B$35,0,(IF($A26=VARIABLES!$B$35,0,O25)+L26)*C26*VARIABLES!$B$39)</f>
        <v>45134.535333106302</v>
      </c>
      <c r="O26" s="14">
        <f>IF($A26&lt;VARIABLES!$B$35,0,(IF($A26=VARIABLES!$B$35,0,O25)+L26)*(1+C26)-N26)</f>
        <v>11238499.297943469</v>
      </c>
      <c r="P26" s="14">
        <f>IF($A26&lt;VARIABLES!$B$42,0,IF($A26=VARIABLES!$B$42,VARIABLES!$B$43+VARIABLES!$B$44,VARIABLES!$B$44))</f>
        <v>20000</v>
      </c>
      <c r="Q26" s="14">
        <f>P26*VARIABLES!$B$45</f>
        <v>150</v>
      </c>
      <c r="R26" s="14">
        <f>IF($A26&lt;VARIABLES!$B$42,0,(IF($A26=VARIABLES!$B$42,0,S25)+P26)*C26*VARIABLES!$B$46)</f>
        <v>718.6924930613709</v>
      </c>
      <c r="S26" s="14">
        <f>IF($A26&lt;VARIABLES!$B$42,0,(IF($A26=VARIABLES!$B$42,0,S25)+P26)*(1+C26)-R26)</f>
        <v>717973.8005683095</v>
      </c>
      <c r="T26" s="34">
        <f>IF($A26&lt;VARIABLES!$B$50,0,MIN(VARIABLES!$B$49,INT(($A26-VARIABLES!$B$50)/VARIABLES!$B$51)+1))</f>
        <v>12</v>
      </c>
      <c r="U26" s="14">
        <f>T26*VARIABLES!$B$53+IF(AND($A26&gt;=VARIABLES!$B$50,MOD($A26-VARIABLES!$B$50,VARIABLES!$B$51)=0,($A26-VARIABLES!$B$50)/VARIABLES!$B$51&lt;VARIABLES!$B$49),VARIABLES!$B$52,0)</f>
        <v>60000</v>
      </c>
      <c r="V26" s="14">
        <f>U26*VARIABLES!$B$54</f>
        <v>450</v>
      </c>
      <c r="W26" s="14">
        <f>IF($A26&lt;VARIABLES!$B$50,0,(IF($A26&lt;VARIABLES!$B$50+1,0,X25)+U26)*C26*VARIABLES!$B$55)</f>
        <v>8937.4031371515557</v>
      </c>
      <c r="X26" s="14">
        <f>IF($A26&lt;VARIABLES!$B$50,0,(IF($A26&lt;VARIABLES!$B$50+1,0,X25)+U26)*(1+C26)-W26)</f>
        <v>2225413.3811507374</v>
      </c>
      <c r="Y26" s="14">
        <f t="shared" si="0"/>
        <v>320000</v>
      </c>
      <c r="Z26" s="14">
        <f t="shared" si="1"/>
        <v>2400</v>
      </c>
      <c r="AA26" s="14">
        <f t="shared" si="2"/>
        <v>68773.643999814798</v>
      </c>
      <c r="AB26" s="35">
        <f t="shared" si="3"/>
        <v>71173.643999814798</v>
      </c>
      <c r="AC26" s="36">
        <f t="shared" si="4"/>
        <v>23991916.971159283</v>
      </c>
      <c r="AD26" s="14">
        <f>IF($A26=1,VARIABLES!$B$12,0)</f>
        <v>0</v>
      </c>
      <c r="AE26" s="14">
        <f>IF($A26&lt;=3,VARIABLES!$B$13,IF($A26&lt;=6,VARIABLES!$B$14,VARIABLES!$B$15))</f>
        <v>40000</v>
      </c>
      <c r="AF26" s="14">
        <f>IF(MOD($A26,12)=0,AC26*VARIABLES!$B$16,0)</f>
        <v>0</v>
      </c>
      <c r="AG26" s="14">
        <f>VARIABLES!$B$17</f>
        <v>5000</v>
      </c>
      <c r="AH26" s="14">
        <f>IF(MOD($A26,12)=0,VARIABLES!$B$18,0)</f>
        <v>0</v>
      </c>
      <c r="AI26" s="37">
        <f t="shared" si="5"/>
        <v>45000</v>
      </c>
      <c r="AJ26" s="38">
        <f>IF($A26&lt;VARIABLES!$B$7,VARIABLES!$B$9,0)</f>
        <v>26583.333333333332</v>
      </c>
      <c r="AK26" s="39">
        <f t="shared" si="6"/>
        <v>-409.68933351853411</v>
      </c>
      <c r="AL26" s="39">
        <f t="shared" si="7"/>
        <v>-615761.94880033447</v>
      </c>
      <c r="AM26" s="40">
        <f t="shared" si="8"/>
        <v>611416.66666666663</v>
      </c>
    </row>
    <row r="27" spans="1:39" x14ac:dyDescent="0.2">
      <c r="A27" s="41">
        <v>24</v>
      </c>
      <c r="B27" s="41" t="str">
        <f>TEXT(DATE(VARIABLES!$B$59+INT((VARIABLES!$B$60+A27-2)/12),MOD(VARIABLES!$B$60+A27-2,12)+1,1),"mmm-yy")</f>
        <v>May-28</v>
      </c>
      <c r="C27" s="42">
        <f>IF($A27&lt;VARIABLES!$B$7,VARIABLES!$B$5/12,VARIABLES!$B$6/12)</f>
        <v>4.1666666666666664E-2</v>
      </c>
      <c r="D27" s="43">
        <f>IF($A27&lt;VARIABLES!$B$21,0,IF($A27=VARIABLES!$B$21,VARIABLES!$B$22+VARIABLES!$B$23,VARIABLES!$B$23))</f>
        <v>200000</v>
      </c>
      <c r="E27" s="43">
        <f>D27*VARIABLES!$B$24</f>
        <v>1500</v>
      </c>
      <c r="F27" s="43">
        <f>IF($A27&lt;VARIABLES!$B$21,0,(IF($A27=VARIABLES!$B$21,0,G26)+D27)*C27*VARIABLES!$B$25)</f>
        <v>8988.7944238388391</v>
      </c>
      <c r="G27" s="43">
        <f>IF($A27&lt;VARIABLES!$B$21,0,(IF($A27=VARIABLES!$B$21,0,G26)+D27)*(1+C27)-F27)</f>
        <v>8979805.6294149999</v>
      </c>
      <c r="H27" s="43">
        <f>IF($A27&lt;VARIABLES!$B$28,0,IF($A27=VARIABLES!$B$28,VARIABLES!$B$29+VARIABLES!$B$30,VARIABLES!$B$30))</f>
        <v>40000</v>
      </c>
      <c r="I27" s="43">
        <f>H27*VARIABLES!$B$31</f>
        <v>300</v>
      </c>
      <c r="J27" s="43">
        <f>IF($A27&lt;VARIABLES!$B$28,0,(IF($A27=VARIABLES!$B$28,0,K26)+H27)*C27*VARIABLES!$B$32)</f>
        <v>5919.9493525478538</v>
      </c>
      <c r="K27" s="43">
        <f>IF($A27&lt;VARIABLES!$B$28,0,(IF($A27=VARIABLES!$B$28,0,K26)+H27)*(1+C27)-J27)</f>
        <v>1474067.388784416</v>
      </c>
      <c r="L27" s="43">
        <f>IF($A27&lt;VARIABLES!$B$35,0,IF($A27=VARIABLES!$B$35,VARIABLES!$B$36+VARIABLES!$B$37,VARIABLES!$B$37))</f>
        <v>0</v>
      </c>
      <c r="M27" s="43">
        <f>L27*VARIABLES!$B$38</f>
        <v>0</v>
      </c>
      <c r="N27" s="43">
        <f>IF($A27&lt;VARIABLES!$B$35,0,(IF($A27=VARIABLES!$B$35,0,O26)+L27)*C27*VARIABLES!$B$39)</f>
        <v>46827.08040809779</v>
      </c>
      <c r="O27" s="43">
        <f>IF($A27&lt;VARIABLES!$B$35,0,(IF($A27=VARIABLES!$B$35,0,O26)+L27)*(1+C27)-N27)</f>
        <v>11659943.021616349</v>
      </c>
      <c r="P27" s="43">
        <f>IF($A27&lt;VARIABLES!$B$42,0,IF($A27=VARIABLES!$B$42,VARIABLES!$B$43+VARIABLES!$B$44,VARIABLES!$B$44))</f>
        <v>20000</v>
      </c>
      <c r="Q27" s="43">
        <f>P27*VARIABLES!$B$45</f>
        <v>150</v>
      </c>
      <c r="R27" s="43">
        <f>IF($A27&lt;VARIABLES!$B$42,0,(IF($A27=VARIABLES!$B$42,0,S26)+P27)*C27*VARIABLES!$B$46)</f>
        <v>768.72270892532242</v>
      </c>
      <c r="S27" s="43">
        <f>IF($A27&lt;VARIABLES!$B$42,0,(IF($A27=VARIABLES!$B$42,0,S26)+P27)*(1+C27)-R27)</f>
        <v>767953.98621639702</v>
      </c>
      <c r="T27" s="44">
        <f>IF($A27&lt;VARIABLES!$B$50,0,MIN(VARIABLES!$B$49,INT(($A27-VARIABLES!$B$50)/VARIABLES!$B$51)+1))</f>
        <v>12</v>
      </c>
      <c r="U27" s="43">
        <f>T27*VARIABLES!$B$53+IF(AND($A27&gt;=VARIABLES!$B$50,MOD($A27-VARIABLES!$B$50,VARIABLES!$B$51)=0,($A27-VARIABLES!$B$50)/VARIABLES!$B$51&lt;VARIABLES!$B$49),VARIABLES!$B$52,0)</f>
        <v>60000</v>
      </c>
      <c r="V27" s="43">
        <f>U27*VARIABLES!$B$54</f>
        <v>450</v>
      </c>
      <c r="W27" s="43">
        <f>IF($A27&lt;VARIABLES!$B$50,0,(IF($A27&lt;VARIABLES!$B$50+1,0,X26)+U27)*C27*VARIABLES!$B$55)</f>
        <v>9522.5557547947392</v>
      </c>
      <c r="X27" s="43">
        <f>IF($A27&lt;VARIABLES!$B$50,0,(IF($A27&lt;VARIABLES!$B$50+1,0,X26)+U27)*(1+C27)-W27)</f>
        <v>2371116.3829438901</v>
      </c>
      <c r="Y27" s="43">
        <f t="shared" si="0"/>
        <v>320000</v>
      </c>
      <c r="Z27" s="43">
        <f t="shared" si="1"/>
        <v>2400</v>
      </c>
      <c r="AA27" s="43">
        <f t="shared" si="2"/>
        <v>72027.102648204542</v>
      </c>
      <c r="AB27" s="35">
        <f t="shared" si="3"/>
        <v>74427.102648204542</v>
      </c>
      <c r="AC27" s="36">
        <f t="shared" si="4"/>
        <v>25252886.408976052</v>
      </c>
      <c r="AD27" s="43">
        <f>IF($A27=1,VARIABLES!$B$12,0)</f>
        <v>0</v>
      </c>
      <c r="AE27" s="43">
        <f>IF($A27&lt;=3,VARIABLES!$B$13,IF($A27&lt;=6,VARIABLES!$B$14,VARIABLES!$B$15))</f>
        <v>40000</v>
      </c>
      <c r="AF27" s="43">
        <f>IF(MOD($A27,12)=0,AC27*VARIABLES!$B$16,0)</f>
        <v>63132.21602244013</v>
      </c>
      <c r="AG27" s="43">
        <f>VARIABLES!$B$17</f>
        <v>5000</v>
      </c>
      <c r="AH27" s="43">
        <f>IF(MOD($A27,12)=0,VARIABLES!$B$18,0)</f>
        <v>3000</v>
      </c>
      <c r="AI27" s="37">
        <f t="shared" si="5"/>
        <v>111132.21602244013</v>
      </c>
      <c r="AJ27" s="38">
        <f>IF($A27&lt;VARIABLES!$B$7,VARIABLES!$B$9,0)</f>
        <v>26583.333333333332</v>
      </c>
      <c r="AK27" s="45">
        <f t="shared" si="6"/>
        <v>-63288.446707568917</v>
      </c>
      <c r="AL27" s="45">
        <f t="shared" si="7"/>
        <v>-679050.39550790342</v>
      </c>
      <c r="AM27" s="40">
        <f t="shared" si="8"/>
        <v>638000</v>
      </c>
    </row>
    <row r="28" spans="1:39" x14ac:dyDescent="0.2">
      <c r="A28" s="32">
        <v>25</v>
      </c>
      <c r="B28" s="32" t="str">
        <f>TEXT(DATE(VARIABLES!$B$59+INT((VARIABLES!$B$60+A28-2)/12),MOD(VARIABLES!$B$60+A28-2,12)+1,1),"mmm-yy")</f>
        <v>Jun-28</v>
      </c>
      <c r="C28" s="33">
        <f>IF($A28&lt;VARIABLES!$B$7,VARIABLES!$B$5/12,VARIABLES!$B$6/12)</f>
        <v>4.1666666666666664E-2</v>
      </c>
      <c r="D28" s="14">
        <f>IF($A28&lt;VARIABLES!$B$21,0,IF($A28=VARIABLES!$B$21,VARIABLES!$B$22+VARIABLES!$B$23,VARIABLES!$B$23))</f>
        <v>200000</v>
      </c>
      <c r="E28" s="14">
        <f>D28*VARIABLES!$B$24</f>
        <v>1500</v>
      </c>
      <c r="F28" s="14">
        <f>IF($A28&lt;VARIABLES!$B$21,0,(IF($A28=VARIABLES!$B$21,0,G27)+D28)*C28*VARIABLES!$B$25)</f>
        <v>9562.2975306406242</v>
      </c>
      <c r="G28" s="14">
        <f>IF($A28&lt;VARIABLES!$B$21,0,(IF($A28=VARIABLES!$B$21,0,G27)+D28)*(1+C28)-F28)</f>
        <v>9552735.2331099864</v>
      </c>
      <c r="H28" s="14">
        <f>IF($A28&lt;VARIABLES!$B$28,0,IF($A28=VARIABLES!$B$28,VARIABLES!$B$29+VARIABLES!$B$30,VARIABLES!$B$30))</f>
        <v>40000</v>
      </c>
      <c r="I28" s="14">
        <f>H28*VARIABLES!$B$31</f>
        <v>300</v>
      </c>
      <c r="J28" s="14">
        <f>IF($A28&lt;VARIABLES!$B$28,0,(IF($A28=VARIABLES!$B$28,0,K27)+H28)*C28*VARIABLES!$B$32)</f>
        <v>6308.6141199350668</v>
      </c>
      <c r="K28" s="14">
        <f>IF($A28&lt;VARIABLES!$B$28,0,(IF($A28=VARIABLES!$B$28,0,K27)+H28)*(1+C28)-J28)</f>
        <v>1570844.9158638318</v>
      </c>
      <c r="L28" s="14">
        <f>IF($A28&lt;VARIABLES!$B$35,0,IF($A28=VARIABLES!$B$35,VARIABLES!$B$36+VARIABLES!$B$37,VARIABLES!$B$37))</f>
        <v>0</v>
      </c>
      <c r="M28" s="14">
        <f>L28*VARIABLES!$B$38</f>
        <v>0</v>
      </c>
      <c r="N28" s="14">
        <f>IF($A28&lt;VARIABLES!$B$35,0,(IF($A28=VARIABLES!$B$35,0,O27)+L28)*C28*VARIABLES!$B$39)</f>
        <v>48583.095923401452</v>
      </c>
      <c r="O28" s="14">
        <f>IF($A28&lt;VARIABLES!$B$35,0,(IF($A28=VARIABLES!$B$35,0,O27)+L28)*(1+C28)-N28)</f>
        <v>12097190.884926964</v>
      </c>
      <c r="P28" s="14">
        <f>IF($A28&lt;VARIABLES!$B$42,0,IF($A28=VARIABLES!$B$42,VARIABLES!$B$43+VARIABLES!$B$44,VARIABLES!$B$44))</f>
        <v>20000</v>
      </c>
      <c r="Q28" s="14">
        <f>P28*VARIABLES!$B$45</f>
        <v>150</v>
      </c>
      <c r="R28" s="14">
        <f>IF($A28&lt;VARIABLES!$B$42,0,(IF($A28=VARIABLES!$B$42,0,S27)+P28)*C28*VARIABLES!$B$46)</f>
        <v>820.78540230874682</v>
      </c>
      <c r="S28" s="14">
        <f>IF($A28&lt;VARIABLES!$B$42,0,(IF($A28=VARIABLES!$B$42,0,S27)+P28)*(1+C28)-R28)</f>
        <v>819964.61690643814</v>
      </c>
      <c r="T28" s="34">
        <f>IF($A28&lt;VARIABLES!$B$50,0,MIN(VARIABLES!$B$49,INT(($A28-VARIABLES!$B$50)/VARIABLES!$B$51)+1))</f>
        <v>12</v>
      </c>
      <c r="U28" s="14">
        <f>T28*VARIABLES!$B$53+IF(AND($A28&gt;=VARIABLES!$B$50,MOD($A28-VARIABLES!$B$50,VARIABLES!$B$51)=0,($A28-VARIABLES!$B$50)/VARIABLES!$B$51&lt;VARIABLES!$B$49),VARIABLES!$B$52,0)</f>
        <v>60000</v>
      </c>
      <c r="V28" s="14">
        <f>U28*VARIABLES!$B$54</f>
        <v>450</v>
      </c>
      <c r="W28" s="14">
        <f>IF($A28&lt;VARIABLES!$B$50,0,(IF($A28&lt;VARIABLES!$B$50+1,0,X27)+U28)*C28*VARIABLES!$B$55)</f>
        <v>10129.651595599542</v>
      </c>
      <c r="X28" s="14">
        <f>IF($A28&lt;VARIABLES!$B$50,0,(IF($A28&lt;VARIABLES!$B$50+1,0,X27)+U28)*(1+C28)-W28)</f>
        <v>2522283.2473042863</v>
      </c>
      <c r="Y28" s="14">
        <f t="shared" si="0"/>
        <v>320000</v>
      </c>
      <c r="Z28" s="14">
        <f t="shared" si="1"/>
        <v>2400</v>
      </c>
      <c r="AA28" s="14">
        <f t="shared" si="2"/>
        <v>75404.444571885426</v>
      </c>
      <c r="AB28" s="35">
        <f t="shared" si="3"/>
        <v>77804.444571885426</v>
      </c>
      <c r="AC28" s="36">
        <f t="shared" si="4"/>
        <v>26563018.898111507</v>
      </c>
      <c r="AD28" s="14">
        <f>IF($A28=1,VARIABLES!$B$12,0)</f>
        <v>0</v>
      </c>
      <c r="AE28" s="14">
        <f>IF($A28&lt;=3,VARIABLES!$B$13,IF($A28&lt;=6,VARIABLES!$B$14,VARIABLES!$B$15))</f>
        <v>40000</v>
      </c>
      <c r="AF28" s="14">
        <f>IF(MOD($A28,12)=0,AC28*VARIABLES!$B$16,0)</f>
        <v>0</v>
      </c>
      <c r="AG28" s="14">
        <f>VARIABLES!$B$17</f>
        <v>5000</v>
      </c>
      <c r="AH28" s="14">
        <f>IF(MOD($A28,12)=0,VARIABLES!$B$18,0)</f>
        <v>0</v>
      </c>
      <c r="AI28" s="37">
        <f t="shared" si="5"/>
        <v>45000</v>
      </c>
      <c r="AJ28" s="38">
        <f>IF($A28&lt;VARIABLES!$B$7,VARIABLES!$B$9,0)</f>
        <v>26583.333333333332</v>
      </c>
      <c r="AK28" s="39">
        <f t="shared" si="6"/>
        <v>6221.1112385520937</v>
      </c>
      <c r="AL28" s="39">
        <f t="shared" si="7"/>
        <v>-672829.28426935128</v>
      </c>
      <c r="AM28" s="40">
        <f t="shared" si="8"/>
        <v>664583.33333333337</v>
      </c>
    </row>
    <row r="29" spans="1:39" x14ac:dyDescent="0.2">
      <c r="A29" s="41">
        <v>26</v>
      </c>
      <c r="B29" s="41" t="str">
        <f>TEXT(DATE(VARIABLES!$B$59+INT((VARIABLES!$B$60+A29-2)/12),MOD(VARIABLES!$B$60+A29-2,12)+1,1),"mmm-yy")</f>
        <v>Jul-28</v>
      </c>
      <c r="C29" s="42">
        <f>IF($A29&lt;VARIABLES!$B$7,VARIABLES!$B$5/12,VARIABLES!$B$6/12)</f>
        <v>4.1666666666666664E-2</v>
      </c>
      <c r="D29" s="43">
        <f>IF($A29&lt;VARIABLES!$B$21,0,IF($A29=VARIABLES!$B$21,VARIABLES!$B$22+VARIABLES!$B$23,VARIABLES!$B$23))</f>
        <v>200000</v>
      </c>
      <c r="E29" s="43">
        <f>D29*VARIABLES!$B$24</f>
        <v>1500</v>
      </c>
      <c r="F29" s="43">
        <f>IF($A29&lt;VARIABLES!$B$21,0,(IF($A29=VARIABLES!$B$21,0,G28)+D29)*C29*VARIABLES!$B$25)</f>
        <v>10159.099201156236</v>
      </c>
      <c r="G29" s="43">
        <f>IF($A29&lt;VARIABLES!$B$21,0,(IF($A29=VARIABLES!$B$21,0,G28)+D29)*(1+C29)-F29)</f>
        <v>10148940.10195508</v>
      </c>
      <c r="H29" s="43">
        <f>IF($A29&lt;VARIABLES!$B$28,0,IF($A29=VARIABLES!$B$28,VARIABLES!$B$29+VARIABLES!$B$30,VARIABLES!$B$30))</f>
        <v>40000</v>
      </c>
      <c r="I29" s="43">
        <f>H29*VARIABLES!$B$31</f>
        <v>300</v>
      </c>
      <c r="J29" s="43">
        <f>IF($A29&lt;VARIABLES!$B$28,0,(IF($A29=VARIABLES!$B$28,0,K28)+H29)*C29*VARIABLES!$B$32)</f>
        <v>6711.8538160992994</v>
      </c>
      <c r="K29" s="43">
        <f>IF($A29&lt;VARIABLES!$B$28,0,(IF($A29=VARIABLES!$B$28,0,K28)+H29)*(1+C29)-J29)</f>
        <v>1671251.6002087255</v>
      </c>
      <c r="L29" s="43">
        <f>IF($A29&lt;VARIABLES!$B$35,0,IF($A29=VARIABLES!$B$35,VARIABLES!$B$36+VARIABLES!$B$37,VARIABLES!$B$37))</f>
        <v>0</v>
      </c>
      <c r="M29" s="43">
        <f>L29*VARIABLES!$B$38</f>
        <v>0</v>
      </c>
      <c r="N29" s="43">
        <f>IF($A29&lt;VARIABLES!$B$35,0,(IF($A29=VARIABLES!$B$35,0,O28)+L29)*C29*VARIABLES!$B$39)</f>
        <v>50404.962020529019</v>
      </c>
      <c r="O29" s="43">
        <f>IF($A29&lt;VARIABLES!$B$35,0,(IF($A29=VARIABLES!$B$35,0,O28)+L29)*(1+C29)-N29)</f>
        <v>12550835.543111725</v>
      </c>
      <c r="P29" s="43">
        <f>IF($A29&lt;VARIABLES!$B$42,0,IF($A29=VARIABLES!$B$42,VARIABLES!$B$43+VARIABLES!$B$44,VARIABLES!$B$44))</f>
        <v>20000</v>
      </c>
      <c r="Q29" s="43">
        <f>P29*VARIABLES!$B$45</f>
        <v>150</v>
      </c>
      <c r="R29" s="43">
        <f>IF($A29&lt;VARIABLES!$B$42,0,(IF($A29=VARIABLES!$B$42,0,S28)+P29)*C29*VARIABLES!$B$46)</f>
        <v>874.96314261087309</v>
      </c>
      <c r="S29" s="43">
        <f>IF($A29&lt;VARIABLES!$B$42,0,(IF($A29=VARIABLES!$B$42,0,S28)+P29)*(1+C29)-R29)</f>
        <v>874088.17946826224</v>
      </c>
      <c r="T29" s="44">
        <f>IF($A29&lt;VARIABLES!$B$50,0,MIN(VARIABLES!$B$49,INT(($A29-VARIABLES!$B$50)/VARIABLES!$B$51)+1))</f>
        <v>12</v>
      </c>
      <c r="U29" s="43">
        <f>T29*VARIABLES!$B$53+IF(AND($A29&gt;=VARIABLES!$B$50,MOD($A29-VARIABLES!$B$50,VARIABLES!$B$51)=0,($A29-VARIABLES!$B$50)/VARIABLES!$B$51&lt;VARIABLES!$B$49),VARIABLES!$B$52,0)</f>
        <v>60000</v>
      </c>
      <c r="V29" s="43">
        <f>U29*VARIABLES!$B$54</f>
        <v>450</v>
      </c>
      <c r="W29" s="43">
        <f>IF($A29&lt;VARIABLES!$B$50,0,(IF($A29&lt;VARIABLES!$B$50+1,0,X28)+U29)*C29*VARIABLES!$B$55)</f>
        <v>10759.513530434526</v>
      </c>
      <c r="X29" s="43">
        <f>IF($A29&lt;VARIABLES!$B$50,0,(IF($A29&lt;VARIABLES!$B$50+1,0,X28)+U29)*(1+C29)-W29)</f>
        <v>2679118.8690781971</v>
      </c>
      <c r="Y29" s="43">
        <f t="shared" si="0"/>
        <v>320000</v>
      </c>
      <c r="Z29" s="43">
        <f t="shared" si="1"/>
        <v>2400</v>
      </c>
      <c r="AA29" s="43">
        <f t="shared" si="2"/>
        <v>78910.39171082995</v>
      </c>
      <c r="AB29" s="35">
        <f t="shared" si="3"/>
        <v>81310.39171082995</v>
      </c>
      <c r="AC29" s="36">
        <f t="shared" si="4"/>
        <v>27924234.29382199</v>
      </c>
      <c r="AD29" s="43">
        <f>IF($A29=1,VARIABLES!$B$12,0)</f>
        <v>0</v>
      </c>
      <c r="AE29" s="43">
        <f>IF($A29&lt;=3,VARIABLES!$B$13,IF($A29&lt;=6,VARIABLES!$B$14,VARIABLES!$B$15))</f>
        <v>40000</v>
      </c>
      <c r="AF29" s="43">
        <f>IF(MOD($A29,12)=0,AC29*VARIABLES!$B$16,0)</f>
        <v>0</v>
      </c>
      <c r="AG29" s="43">
        <f>VARIABLES!$B$17</f>
        <v>5000</v>
      </c>
      <c r="AH29" s="43">
        <f>IF(MOD($A29,12)=0,VARIABLES!$B$18,0)</f>
        <v>0</v>
      </c>
      <c r="AI29" s="37">
        <f t="shared" si="5"/>
        <v>45000</v>
      </c>
      <c r="AJ29" s="38">
        <f>IF($A29&lt;VARIABLES!$B$7,VARIABLES!$B$9,0)</f>
        <v>26583.333333333332</v>
      </c>
      <c r="AK29" s="45">
        <f t="shared" si="6"/>
        <v>9727.058377496618</v>
      </c>
      <c r="AL29" s="45">
        <f t="shared" si="7"/>
        <v>-663102.22589185461</v>
      </c>
      <c r="AM29" s="40">
        <f t="shared" si="8"/>
        <v>691166.66666666674</v>
      </c>
    </row>
    <row r="30" spans="1:39" x14ac:dyDescent="0.2">
      <c r="A30" s="32">
        <v>27</v>
      </c>
      <c r="B30" s="32" t="str">
        <f>TEXT(DATE(VARIABLES!$B$59+INT((VARIABLES!$B$60+A30-2)/12),MOD(VARIABLES!$B$60+A30-2,12)+1,1),"mmm-yy")</f>
        <v>Aug-28</v>
      </c>
      <c r="C30" s="33">
        <f>IF($A30&lt;VARIABLES!$B$7,VARIABLES!$B$5/12,VARIABLES!$B$6/12)</f>
        <v>4.1666666666666664E-2</v>
      </c>
      <c r="D30" s="14">
        <f>IF($A30&lt;VARIABLES!$B$21,0,IF($A30=VARIABLES!$B$21,VARIABLES!$B$22+VARIABLES!$B$23,VARIABLES!$B$23))</f>
        <v>200000</v>
      </c>
      <c r="E30" s="14">
        <f>D30*VARIABLES!$B$24</f>
        <v>1500</v>
      </c>
      <c r="F30" s="14">
        <f>IF($A30&lt;VARIABLES!$B$21,0,(IF($A30=VARIABLES!$B$21,0,G29)+D30)*C30*VARIABLES!$B$25)</f>
        <v>10780.145939536542</v>
      </c>
      <c r="G30" s="14">
        <f>IF($A30&lt;VARIABLES!$B$21,0,(IF($A30=VARIABLES!$B$21,0,G29)+D30)*(1+C30)-F30)</f>
        <v>10769365.793597007</v>
      </c>
      <c r="H30" s="14">
        <f>IF($A30&lt;VARIABLES!$B$28,0,IF($A30=VARIABLES!$B$28,VARIABLES!$B$29+VARIABLES!$B$30,VARIABLES!$B$30))</f>
        <v>40000</v>
      </c>
      <c r="I30" s="14">
        <f>H30*VARIABLES!$B$31</f>
        <v>300</v>
      </c>
      <c r="J30" s="14">
        <f>IF($A30&lt;VARIABLES!$B$28,0,(IF($A30=VARIABLES!$B$28,0,K29)+H30)*C30*VARIABLES!$B$32)</f>
        <v>7130.215000869689</v>
      </c>
      <c r="K30" s="14">
        <f>IF($A30&lt;VARIABLES!$B$28,0,(IF($A30=VARIABLES!$B$28,0,K29)+H30)*(1+C30)-J30)</f>
        <v>1775423.5352165529</v>
      </c>
      <c r="L30" s="14">
        <f>IF($A30&lt;VARIABLES!$B$35,0,IF($A30=VARIABLES!$B$35,VARIABLES!$B$36+VARIABLES!$B$37,VARIABLES!$B$37))</f>
        <v>0</v>
      </c>
      <c r="M30" s="14">
        <f>L30*VARIABLES!$B$38</f>
        <v>0</v>
      </c>
      <c r="N30" s="14">
        <f>IF($A30&lt;VARIABLES!$B$35,0,(IF($A30=VARIABLES!$B$35,0,O29)+L30)*C30*VARIABLES!$B$39)</f>
        <v>52295.148096298857</v>
      </c>
      <c r="O30" s="14">
        <f>IF($A30&lt;VARIABLES!$B$35,0,(IF($A30=VARIABLES!$B$35,0,O29)+L30)*(1+C30)-N30)</f>
        <v>13021491.875978416</v>
      </c>
      <c r="P30" s="14">
        <f>IF($A30&lt;VARIABLES!$B$42,0,IF($A30=VARIABLES!$B$42,VARIABLES!$B$43+VARIABLES!$B$44,VARIABLES!$B$44))</f>
        <v>20000</v>
      </c>
      <c r="Q30" s="14">
        <f>P30*VARIABLES!$B$45</f>
        <v>150</v>
      </c>
      <c r="R30" s="14">
        <f>IF($A30&lt;VARIABLES!$B$42,0,(IF($A30=VARIABLES!$B$42,0,S29)+P30)*C30*VARIABLES!$B$46)</f>
        <v>931.34185361277309</v>
      </c>
      <c r="S30" s="14">
        <f>IF($A30&lt;VARIABLES!$B$42,0,(IF($A30=VARIABLES!$B$42,0,S29)+P30)*(1+C30)-R30)</f>
        <v>930410.51175916044</v>
      </c>
      <c r="T30" s="34">
        <f>IF($A30&lt;VARIABLES!$B$50,0,MIN(VARIABLES!$B$49,INT(($A30-VARIABLES!$B$50)/VARIABLES!$B$51)+1))</f>
        <v>12</v>
      </c>
      <c r="U30" s="14">
        <f>T30*VARIABLES!$B$53+IF(AND($A30&gt;=VARIABLES!$B$50,MOD($A30-VARIABLES!$B$50,VARIABLES!$B$51)=0,($A30-VARIABLES!$B$50)/VARIABLES!$B$51&lt;VARIABLES!$B$49),VARIABLES!$B$52,0)</f>
        <v>60000</v>
      </c>
      <c r="V30" s="14">
        <f>U30*VARIABLES!$B$54</f>
        <v>450</v>
      </c>
      <c r="W30" s="14">
        <f>IF($A30&lt;VARIABLES!$B$50,0,(IF($A30&lt;VARIABLES!$B$50+1,0,X29)+U30)*C30*VARIABLES!$B$55)</f>
        <v>11412.995287825821</v>
      </c>
      <c r="X30" s="14">
        <f>IF($A30&lt;VARIABLES!$B$50,0,(IF($A30&lt;VARIABLES!$B$50+1,0,X29)+U30)*(1+C30)-W30)</f>
        <v>2841835.8266686294</v>
      </c>
      <c r="Y30" s="14">
        <f t="shared" si="0"/>
        <v>320000</v>
      </c>
      <c r="Z30" s="14">
        <f t="shared" si="1"/>
        <v>2400</v>
      </c>
      <c r="AA30" s="14">
        <f t="shared" si="2"/>
        <v>82549.846178143678</v>
      </c>
      <c r="AB30" s="35">
        <f t="shared" si="3"/>
        <v>84949.846178143678</v>
      </c>
      <c r="AC30" s="36">
        <f t="shared" si="4"/>
        <v>29338527.543219768</v>
      </c>
      <c r="AD30" s="14">
        <f>IF($A30=1,VARIABLES!$B$12,0)</f>
        <v>0</v>
      </c>
      <c r="AE30" s="14">
        <f>IF($A30&lt;=3,VARIABLES!$B$13,IF($A30&lt;=6,VARIABLES!$B$14,VARIABLES!$B$15))</f>
        <v>40000</v>
      </c>
      <c r="AF30" s="14">
        <f>IF(MOD($A30,12)=0,AC30*VARIABLES!$B$16,0)</f>
        <v>0</v>
      </c>
      <c r="AG30" s="14">
        <f>VARIABLES!$B$17</f>
        <v>5000</v>
      </c>
      <c r="AH30" s="14">
        <f>IF(MOD($A30,12)=0,VARIABLES!$B$18,0)</f>
        <v>0</v>
      </c>
      <c r="AI30" s="37">
        <f t="shared" si="5"/>
        <v>45000</v>
      </c>
      <c r="AJ30" s="38">
        <f>IF($A30&lt;VARIABLES!$B$7,VARIABLES!$B$9,0)</f>
        <v>26583.333333333332</v>
      </c>
      <c r="AK30" s="39">
        <f t="shared" si="6"/>
        <v>13366.512844810346</v>
      </c>
      <c r="AL30" s="39">
        <f t="shared" si="7"/>
        <v>-649735.71304704424</v>
      </c>
      <c r="AM30" s="40">
        <f t="shared" si="8"/>
        <v>717750.00000000012</v>
      </c>
    </row>
    <row r="31" spans="1:39" x14ac:dyDescent="0.2">
      <c r="A31" s="41">
        <v>28</v>
      </c>
      <c r="B31" s="41" t="str">
        <f>TEXT(DATE(VARIABLES!$B$59+INT((VARIABLES!$B$60+A31-2)/12),MOD(VARIABLES!$B$60+A31-2,12)+1,1),"mmm-yy")</f>
        <v>Sept-28</v>
      </c>
      <c r="C31" s="42">
        <f>IF($A31&lt;VARIABLES!$B$7,VARIABLES!$B$5/12,VARIABLES!$B$6/12)</f>
        <v>4.1666666666666664E-2</v>
      </c>
      <c r="D31" s="43">
        <f>IF($A31&lt;VARIABLES!$B$21,0,IF($A31=VARIABLES!$B$21,VARIABLES!$B$22+VARIABLES!$B$23,VARIABLES!$B$23))</f>
        <v>200000</v>
      </c>
      <c r="E31" s="43">
        <f>D31*VARIABLES!$B$24</f>
        <v>1500</v>
      </c>
      <c r="F31" s="43">
        <f>IF($A31&lt;VARIABLES!$B$21,0,(IF($A31=VARIABLES!$B$21,0,G30)+D31)*C31*VARIABLES!$B$25)</f>
        <v>11426.422701663549</v>
      </c>
      <c r="G31" s="43">
        <f>IF($A31&lt;VARIABLES!$B$21,0,(IF($A31=VARIABLES!$B$21,0,G30)+D31)*(1+C31)-F31)</f>
        <v>11414996.278961886</v>
      </c>
      <c r="H31" s="43">
        <f>IF($A31&lt;VARIABLES!$B$28,0,IF($A31=VARIABLES!$B$28,VARIABLES!$B$29+VARIABLES!$B$30,VARIABLES!$B$30))</f>
        <v>40000</v>
      </c>
      <c r="I31" s="43">
        <f>H31*VARIABLES!$B$31</f>
        <v>300</v>
      </c>
      <c r="J31" s="43">
        <f>IF($A31&lt;VARIABLES!$B$28,0,(IF($A31=VARIABLES!$B$28,0,K30)+H31)*C31*VARIABLES!$B$32)</f>
        <v>7564.2647300689705</v>
      </c>
      <c r="K31" s="43">
        <f>IF($A31&lt;VARIABLES!$B$28,0,(IF($A31=VARIABLES!$B$28,0,K30)+H31)*(1+C31)-J31)</f>
        <v>1883501.917787174</v>
      </c>
      <c r="L31" s="43">
        <f>IF($A31&lt;VARIABLES!$B$35,0,IF($A31=VARIABLES!$B$35,VARIABLES!$B$36+VARIABLES!$B$37,VARIABLES!$B$37))</f>
        <v>0</v>
      </c>
      <c r="M31" s="43">
        <f>L31*VARIABLES!$B$38</f>
        <v>0</v>
      </c>
      <c r="N31" s="43">
        <f>IF($A31&lt;VARIABLES!$B$35,0,(IF($A31=VARIABLES!$B$35,0,O30)+L31)*C31*VARIABLES!$B$39)</f>
        <v>54256.216149910062</v>
      </c>
      <c r="O31" s="43">
        <f>IF($A31&lt;VARIABLES!$B$35,0,(IF($A31=VARIABLES!$B$35,0,O30)+L31)*(1+C31)-N31)</f>
        <v>13509797.821327608</v>
      </c>
      <c r="P31" s="43">
        <f>IF($A31&lt;VARIABLES!$B$42,0,IF($A31=VARIABLES!$B$42,VARIABLES!$B$43+VARIABLES!$B$44,VARIABLES!$B$44))</f>
        <v>20000</v>
      </c>
      <c r="Q31" s="43">
        <f>P31*VARIABLES!$B$45</f>
        <v>150</v>
      </c>
      <c r="R31" s="43">
        <f>IF($A31&lt;VARIABLES!$B$42,0,(IF($A31=VARIABLES!$B$42,0,S30)+P31)*C31*VARIABLES!$B$46)</f>
        <v>990.01094974912542</v>
      </c>
      <c r="S31" s="43">
        <f>IF($A31&lt;VARIABLES!$B$42,0,(IF($A31=VARIABLES!$B$42,0,S30)+P31)*(1+C31)-R31)</f>
        <v>989020.93879937637</v>
      </c>
      <c r="T31" s="44">
        <f>IF($A31&lt;VARIABLES!$B$50,0,MIN(VARIABLES!$B$49,INT(($A31-VARIABLES!$B$50)/VARIABLES!$B$51)+1))</f>
        <v>12</v>
      </c>
      <c r="U31" s="43">
        <f>T31*VARIABLES!$B$53+IF(AND($A31&gt;=VARIABLES!$B$50,MOD($A31-VARIABLES!$B$50,VARIABLES!$B$51)=0,($A31-VARIABLES!$B$50)/VARIABLES!$B$51&lt;VARIABLES!$B$49),VARIABLES!$B$52,0)</f>
        <v>60000</v>
      </c>
      <c r="V31" s="43">
        <f>U31*VARIABLES!$B$54</f>
        <v>450</v>
      </c>
      <c r="W31" s="43">
        <f>IF($A31&lt;VARIABLES!$B$50,0,(IF($A31&lt;VARIABLES!$B$50+1,0,X30)+U31)*C31*VARIABLES!$B$55)</f>
        <v>12090.982611119289</v>
      </c>
      <c r="X31" s="43">
        <f>IF($A31&lt;VARIABLES!$B$50,0,(IF($A31&lt;VARIABLES!$B$50+1,0,X30)+U31)*(1+C31)-W31)</f>
        <v>3010654.6701687034</v>
      </c>
      <c r="Y31" s="43">
        <f t="shared" si="0"/>
        <v>320000</v>
      </c>
      <c r="Z31" s="43">
        <f t="shared" si="1"/>
        <v>2400</v>
      </c>
      <c r="AA31" s="43">
        <f t="shared" si="2"/>
        <v>86327.897142510978</v>
      </c>
      <c r="AB31" s="35">
        <f t="shared" si="3"/>
        <v>88727.897142510978</v>
      </c>
      <c r="AC31" s="36">
        <f t="shared" si="4"/>
        <v>30807971.627044745</v>
      </c>
      <c r="AD31" s="43">
        <f>IF($A31=1,VARIABLES!$B$12,0)</f>
        <v>0</v>
      </c>
      <c r="AE31" s="43">
        <f>IF($A31&lt;=3,VARIABLES!$B$13,IF($A31&lt;=6,VARIABLES!$B$14,VARIABLES!$B$15))</f>
        <v>40000</v>
      </c>
      <c r="AF31" s="43">
        <f>IF(MOD($A31,12)=0,AC31*VARIABLES!$B$16,0)</f>
        <v>0</v>
      </c>
      <c r="AG31" s="43">
        <f>VARIABLES!$B$17</f>
        <v>5000</v>
      </c>
      <c r="AH31" s="43">
        <f>IF(MOD($A31,12)=0,VARIABLES!$B$18,0)</f>
        <v>0</v>
      </c>
      <c r="AI31" s="37">
        <f t="shared" si="5"/>
        <v>45000</v>
      </c>
      <c r="AJ31" s="38">
        <f>IF($A31&lt;VARIABLES!$B$7,VARIABLES!$B$9,0)</f>
        <v>26583.333333333332</v>
      </c>
      <c r="AK31" s="45">
        <f t="shared" si="6"/>
        <v>17144.563809177645</v>
      </c>
      <c r="AL31" s="45">
        <f t="shared" si="7"/>
        <v>-632591.14923786663</v>
      </c>
      <c r="AM31" s="40">
        <f t="shared" si="8"/>
        <v>744333.33333333349</v>
      </c>
    </row>
    <row r="32" spans="1:39" x14ac:dyDescent="0.2">
      <c r="A32" s="32">
        <v>29</v>
      </c>
      <c r="B32" s="32" t="str">
        <f>TEXT(DATE(VARIABLES!$B$59+INT((VARIABLES!$B$60+A32-2)/12),MOD(VARIABLES!$B$60+A32-2,12)+1,1),"mmm-yy")</f>
        <v>Oct-28</v>
      </c>
      <c r="C32" s="33">
        <f>IF($A32&lt;VARIABLES!$B$7,VARIABLES!$B$5/12,VARIABLES!$B$6/12)</f>
        <v>4.1666666666666664E-2</v>
      </c>
      <c r="D32" s="14">
        <f>IF($A32&lt;VARIABLES!$B$21,0,IF($A32=VARIABLES!$B$21,VARIABLES!$B$22+VARIABLES!$B$23,VARIABLES!$B$23))</f>
        <v>200000</v>
      </c>
      <c r="E32" s="14">
        <f>D32*VARIABLES!$B$24</f>
        <v>1500</v>
      </c>
      <c r="F32" s="14">
        <f>IF($A32&lt;VARIABLES!$B$21,0,(IF($A32=VARIABLES!$B$21,0,G31)+D32)*C32*VARIABLES!$B$25)</f>
        <v>12098.954457251964</v>
      </c>
      <c r="G32" s="14">
        <f>IF($A32&lt;VARIABLES!$B$21,0,(IF($A32=VARIABLES!$B$21,0,G31)+D32)*(1+C32)-F32)</f>
        <v>12086855.502794715</v>
      </c>
      <c r="H32" s="14">
        <f>IF($A32&lt;VARIABLES!$B$28,0,IF($A32=VARIABLES!$B$28,VARIABLES!$B$29+VARIABLES!$B$30,VARIABLES!$B$30))</f>
        <v>40000</v>
      </c>
      <c r="I32" s="14">
        <f>H32*VARIABLES!$B$31</f>
        <v>300</v>
      </c>
      <c r="J32" s="14">
        <f>IF($A32&lt;VARIABLES!$B$28,0,(IF($A32=VARIABLES!$B$28,0,K31)+H32)*C32*VARIABLES!$B$32)</f>
        <v>8014.5913241132257</v>
      </c>
      <c r="K32" s="14">
        <f>IF($A32&lt;VARIABLES!$B$28,0,(IF($A32=VARIABLES!$B$28,0,K31)+H32)*(1+C32)-J32)</f>
        <v>1995633.2397041931</v>
      </c>
      <c r="L32" s="14">
        <f>IF($A32&lt;VARIABLES!$B$35,0,IF($A32=VARIABLES!$B$35,VARIABLES!$B$36+VARIABLES!$B$37,VARIABLES!$B$37))</f>
        <v>0</v>
      </c>
      <c r="M32" s="14">
        <f>L32*VARIABLES!$B$38</f>
        <v>0</v>
      </c>
      <c r="N32" s="14">
        <f>IF($A32&lt;VARIABLES!$B$35,0,(IF($A32=VARIABLES!$B$35,0,O31)+L32)*C32*VARIABLES!$B$39)</f>
        <v>56290.824255531705</v>
      </c>
      <c r="O32" s="14">
        <f>IF($A32&lt;VARIABLES!$B$35,0,(IF($A32=VARIABLES!$B$35,0,O31)+L32)*(1+C32)-N32)</f>
        <v>14016415.239627395</v>
      </c>
      <c r="P32" s="14">
        <f>IF($A32&lt;VARIABLES!$B$42,0,IF($A32=VARIABLES!$B$42,VARIABLES!$B$43+VARIABLES!$B$44,VARIABLES!$B$44))</f>
        <v>20000</v>
      </c>
      <c r="Q32" s="14">
        <f>P32*VARIABLES!$B$45</f>
        <v>150</v>
      </c>
      <c r="R32" s="14">
        <f>IF($A32&lt;VARIABLES!$B$42,0,(IF($A32=VARIABLES!$B$42,0,S31)+P32)*C32*VARIABLES!$B$46)</f>
        <v>1051.0634779160171</v>
      </c>
      <c r="S32" s="14">
        <f>IF($A32&lt;VARIABLES!$B$42,0,(IF($A32=VARIABLES!$B$42,0,S31)+P32)*(1+C32)-R32)</f>
        <v>1050012.4144381012</v>
      </c>
      <c r="T32" s="34">
        <f>IF($A32&lt;VARIABLES!$B$50,0,MIN(VARIABLES!$B$49,INT(($A32-VARIABLES!$B$50)/VARIABLES!$B$51)+1))</f>
        <v>12</v>
      </c>
      <c r="U32" s="14">
        <f>T32*VARIABLES!$B$53+IF(AND($A32&gt;=VARIABLES!$B$50,MOD($A32-VARIABLES!$B$50,VARIABLES!$B$51)=0,($A32-VARIABLES!$B$50)/VARIABLES!$B$51&lt;VARIABLES!$B$49),VARIABLES!$B$52,0)</f>
        <v>60000</v>
      </c>
      <c r="V32" s="14">
        <f>U32*VARIABLES!$B$54</f>
        <v>450</v>
      </c>
      <c r="W32" s="14">
        <f>IF($A32&lt;VARIABLES!$B$50,0,(IF($A32&lt;VARIABLES!$B$50+1,0,X31)+U32)*C32*VARIABLES!$B$55)</f>
        <v>12794.394459036264</v>
      </c>
      <c r="X32" s="14">
        <f>IF($A32&lt;VARIABLES!$B$50,0,(IF($A32&lt;VARIABLES!$B$50+1,0,X31)+U32)*(1+C32)-W32)</f>
        <v>3185804.22030003</v>
      </c>
      <c r="Y32" s="14">
        <f t="shared" si="0"/>
        <v>320000</v>
      </c>
      <c r="Z32" s="14">
        <f t="shared" si="1"/>
        <v>2400</v>
      </c>
      <c r="AA32" s="14">
        <f t="shared" si="2"/>
        <v>90249.827973849184</v>
      </c>
      <c r="AB32" s="35">
        <f t="shared" si="3"/>
        <v>92649.827973849184</v>
      </c>
      <c r="AC32" s="36">
        <f t="shared" si="4"/>
        <v>32334720.616864435</v>
      </c>
      <c r="AD32" s="14">
        <f>IF($A32=1,VARIABLES!$B$12,0)</f>
        <v>0</v>
      </c>
      <c r="AE32" s="14">
        <f>IF($A32&lt;=3,VARIABLES!$B$13,IF($A32&lt;=6,VARIABLES!$B$14,VARIABLES!$B$15))</f>
        <v>40000</v>
      </c>
      <c r="AF32" s="14">
        <f>IF(MOD($A32,12)=0,AC32*VARIABLES!$B$16,0)</f>
        <v>0</v>
      </c>
      <c r="AG32" s="14">
        <f>VARIABLES!$B$17</f>
        <v>5000</v>
      </c>
      <c r="AH32" s="14">
        <f>IF(MOD($A32,12)=0,VARIABLES!$B$18,0)</f>
        <v>0</v>
      </c>
      <c r="AI32" s="37">
        <f t="shared" si="5"/>
        <v>45000</v>
      </c>
      <c r="AJ32" s="38">
        <f>IF($A32&lt;VARIABLES!$B$7,VARIABLES!$B$9,0)</f>
        <v>26583.333333333332</v>
      </c>
      <c r="AK32" s="39">
        <f t="shared" si="6"/>
        <v>21066.494640515852</v>
      </c>
      <c r="AL32" s="39">
        <f t="shared" si="7"/>
        <v>-611524.65459735075</v>
      </c>
      <c r="AM32" s="40">
        <f t="shared" si="8"/>
        <v>770916.66666666686</v>
      </c>
    </row>
    <row r="33" spans="1:39" x14ac:dyDescent="0.2">
      <c r="A33" s="41">
        <v>30</v>
      </c>
      <c r="B33" s="41" t="str">
        <f>TEXT(DATE(VARIABLES!$B$59+INT((VARIABLES!$B$60+A33-2)/12),MOD(VARIABLES!$B$60+A33-2,12)+1,1),"mmm-yy")</f>
        <v>Nov-28</v>
      </c>
      <c r="C33" s="42">
        <f>IF($A33&lt;VARIABLES!$B$7,VARIABLES!$B$5/12,VARIABLES!$B$6/12)</f>
        <v>4.1666666666666664E-2</v>
      </c>
      <c r="D33" s="43">
        <f>IF($A33&lt;VARIABLES!$B$21,0,IF($A33=VARIABLES!$B$21,VARIABLES!$B$22+VARIABLES!$B$23,VARIABLES!$B$23))</f>
        <v>200000</v>
      </c>
      <c r="E33" s="43">
        <f>D33*VARIABLES!$B$24</f>
        <v>1500</v>
      </c>
      <c r="F33" s="43">
        <f>IF($A33&lt;VARIABLES!$B$21,0,(IF($A33=VARIABLES!$B$21,0,G32)+D33)*C33*VARIABLES!$B$25)</f>
        <v>12798.807815411161</v>
      </c>
      <c r="G33" s="43">
        <f>IF($A33&lt;VARIABLES!$B$21,0,(IF($A33=VARIABLES!$B$21,0,G32)+D33)*(1+C33)-F33)</f>
        <v>12786009.00759575</v>
      </c>
      <c r="H33" s="43">
        <f>IF($A33&lt;VARIABLES!$B$28,0,IF($A33=VARIABLES!$B$28,VARIABLES!$B$29+VARIABLES!$B$30,VARIABLES!$B$30))</f>
        <v>40000</v>
      </c>
      <c r="I33" s="43">
        <f>H33*VARIABLES!$B$31</f>
        <v>300</v>
      </c>
      <c r="J33" s="43">
        <f>IF($A33&lt;VARIABLES!$B$28,0,(IF($A33=VARIABLES!$B$28,0,K32)+H33)*C33*VARIABLES!$B$32)</f>
        <v>8481.805165434138</v>
      </c>
      <c r="K33" s="43">
        <f>IF($A33&lt;VARIABLES!$B$28,0,(IF($A33=VARIABLES!$B$28,0,K32)+H33)*(1+C33)-J33)</f>
        <v>2111969.4861931005</v>
      </c>
      <c r="L33" s="43">
        <f>IF($A33&lt;VARIABLES!$B$35,0,IF($A33=VARIABLES!$B$35,VARIABLES!$B$36+VARIABLES!$B$37,VARIABLES!$B$37))</f>
        <v>0</v>
      </c>
      <c r="M33" s="43">
        <f>L33*VARIABLES!$B$38</f>
        <v>0</v>
      </c>
      <c r="N33" s="43">
        <f>IF($A33&lt;VARIABLES!$B$35,0,(IF($A33=VARIABLES!$B$35,0,O32)+L33)*C33*VARIABLES!$B$39)</f>
        <v>58401.730165114139</v>
      </c>
      <c r="O33" s="43">
        <f>IF($A33&lt;VARIABLES!$B$35,0,(IF($A33=VARIABLES!$B$35,0,O32)+L33)*(1+C33)-N33)</f>
        <v>14542030.811113423</v>
      </c>
      <c r="P33" s="43">
        <f>IF($A33&lt;VARIABLES!$B$42,0,IF($A33=VARIABLES!$B$42,VARIABLES!$B$43+VARIABLES!$B$44,VARIABLES!$B$44))</f>
        <v>20000</v>
      </c>
      <c r="Q33" s="43">
        <f>P33*VARIABLES!$B$45</f>
        <v>150</v>
      </c>
      <c r="R33" s="43">
        <f>IF($A33&lt;VARIABLES!$B$42,0,(IF($A33=VARIABLES!$B$42,0,S32)+P33)*C33*VARIABLES!$B$46)</f>
        <v>1114.5962650396887</v>
      </c>
      <c r="S33" s="43">
        <f>IF($A33&lt;VARIABLES!$B$42,0,(IF($A33=VARIABLES!$B$42,0,S32)+P33)*(1+C33)-R33)</f>
        <v>1113481.6687746493</v>
      </c>
      <c r="T33" s="44">
        <f>IF($A33&lt;VARIABLES!$B$50,0,MIN(VARIABLES!$B$49,INT(($A33-VARIABLES!$B$50)/VARIABLES!$B$51)+1))</f>
        <v>12</v>
      </c>
      <c r="U33" s="43">
        <f>T33*VARIABLES!$B$53+IF(AND($A33&gt;=VARIABLES!$B$50,MOD($A33-VARIABLES!$B$50,VARIABLES!$B$51)=0,($A33-VARIABLES!$B$50)/VARIABLES!$B$51&lt;VARIABLES!$B$49),VARIABLES!$B$52,0)</f>
        <v>60000</v>
      </c>
      <c r="V33" s="43">
        <f>U33*VARIABLES!$B$54</f>
        <v>450</v>
      </c>
      <c r="W33" s="43">
        <f>IF($A33&lt;VARIABLES!$B$50,0,(IF($A33&lt;VARIABLES!$B$50+1,0,X32)+U33)*C33*VARIABLES!$B$55)</f>
        <v>13524.184251250124</v>
      </c>
      <c r="X33" s="43">
        <f>IF($A33&lt;VARIABLES!$B$50,0,(IF($A33&lt;VARIABLES!$B$50+1,0,X32)+U33)*(1+C33)-W33)</f>
        <v>3367521.8785612811</v>
      </c>
      <c r="Y33" s="43">
        <f t="shared" si="0"/>
        <v>320000</v>
      </c>
      <c r="Z33" s="43">
        <f t="shared" si="1"/>
        <v>2400</v>
      </c>
      <c r="AA33" s="43">
        <f t="shared" si="2"/>
        <v>94321.123662249243</v>
      </c>
      <c r="AB33" s="35">
        <f t="shared" si="3"/>
        <v>96721.123662249243</v>
      </c>
      <c r="AC33" s="36">
        <f t="shared" si="4"/>
        <v>33921012.852238201</v>
      </c>
      <c r="AD33" s="43">
        <f>IF($A33=1,VARIABLES!$B$12,0)</f>
        <v>0</v>
      </c>
      <c r="AE33" s="43">
        <f>IF($A33&lt;=3,VARIABLES!$B$13,IF($A33&lt;=6,VARIABLES!$B$14,VARIABLES!$B$15))</f>
        <v>40000</v>
      </c>
      <c r="AF33" s="43">
        <f>IF(MOD($A33,12)=0,AC33*VARIABLES!$B$16,0)</f>
        <v>0</v>
      </c>
      <c r="AG33" s="43">
        <f>VARIABLES!$B$17</f>
        <v>5000</v>
      </c>
      <c r="AH33" s="43">
        <f>IF(MOD($A33,12)=0,VARIABLES!$B$18,0)</f>
        <v>0</v>
      </c>
      <c r="AI33" s="37">
        <f t="shared" si="5"/>
        <v>45000</v>
      </c>
      <c r="AJ33" s="38">
        <f>IF($A33&lt;VARIABLES!$B$7,VARIABLES!$B$9,0)</f>
        <v>26583.333333333332</v>
      </c>
      <c r="AK33" s="45">
        <f t="shared" si="6"/>
        <v>25137.790328915911</v>
      </c>
      <c r="AL33" s="45">
        <f t="shared" si="7"/>
        <v>-586386.86426843482</v>
      </c>
      <c r="AM33" s="40">
        <f t="shared" si="8"/>
        <v>797500.00000000023</v>
      </c>
    </row>
    <row r="34" spans="1:39" x14ac:dyDescent="0.2">
      <c r="A34" s="32">
        <v>31</v>
      </c>
      <c r="B34" s="32" t="str">
        <f>TEXT(DATE(VARIABLES!$B$59+INT((VARIABLES!$B$60+A34-2)/12),MOD(VARIABLES!$B$60+A34-2,12)+1,1),"mmm-yy")</f>
        <v>Dec-28</v>
      </c>
      <c r="C34" s="33">
        <f>IF($A34&lt;VARIABLES!$B$7,VARIABLES!$B$5/12,VARIABLES!$B$6/12)</f>
        <v>4.1666666666666664E-2</v>
      </c>
      <c r="D34" s="14">
        <f>IF($A34&lt;VARIABLES!$B$21,0,IF($A34=VARIABLES!$B$21,VARIABLES!$B$22+VARIABLES!$B$23,VARIABLES!$B$23))</f>
        <v>200000</v>
      </c>
      <c r="E34" s="14">
        <f>D34*VARIABLES!$B$24</f>
        <v>1500</v>
      </c>
      <c r="F34" s="14">
        <f>IF($A34&lt;VARIABLES!$B$21,0,(IF($A34=VARIABLES!$B$21,0,G33)+D34)*C34*VARIABLES!$B$25)</f>
        <v>13527.092716245572</v>
      </c>
      <c r="G34" s="14">
        <f>IF($A34&lt;VARIABLES!$B$21,0,(IF($A34=VARIABLES!$B$21,0,G33)+D34)*(1+C34)-F34)</f>
        <v>13513565.623529328</v>
      </c>
      <c r="H34" s="14">
        <f>IF($A34&lt;VARIABLES!$B$28,0,IF($A34=VARIABLES!$B$28,VARIABLES!$B$29+VARIABLES!$B$30,VARIABLES!$B$30))</f>
        <v>40000</v>
      </c>
      <c r="I34" s="14">
        <f>H34*VARIABLES!$B$31</f>
        <v>300</v>
      </c>
      <c r="J34" s="14">
        <f>IF($A34&lt;VARIABLES!$B$28,0,(IF($A34=VARIABLES!$B$28,0,K33)+H34)*C34*VARIABLES!$B$32)</f>
        <v>8966.5395258045846</v>
      </c>
      <c r="K34" s="14">
        <f>IF($A34&lt;VARIABLES!$B$28,0,(IF($A34=VARIABLES!$B$28,0,K33)+H34)*(1+C34)-J34)</f>
        <v>2232668.3419253421</v>
      </c>
      <c r="L34" s="14">
        <f>IF($A34&lt;VARIABLES!$B$35,0,IF($A34=VARIABLES!$B$35,VARIABLES!$B$36+VARIABLES!$B$37,VARIABLES!$B$37))</f>
        <v>0</v>
      </c>
      <c r="M34" s="14">
        <f>L34*VARIABLES!$B$38</f>
        <v>0</v>
      </c>
      <c r="N34" s="14">
        <f>IF($A34&lt;VARIABLES!$B$35,0,(IF($A34=VARIABLES!$B$35,0,O33)+L34)*C34*VARIABLES!$B$39)</f>
        <v>60591.795046305924</v>
      </c>
      <c r="O34" s="14">
        <f>IF($A34&lt;VARIABLES!$B$35,0,(IF($A34=VARIABLES!$B$35,0,O33)+L34)*(1+C34)-N34)</f>
        <v>15087356.966530178</v>
      </c>
      <c r="P34" s="14">
        <f>IF($A34&lt;VARIABLES!$B$42,0,IF($A34=VARIABLES!$B$42,VARIABLES!$B$43+VARIABLES!$B$44,VARIABLES!$B$44))</f>
        <v>20000</v>
      </c>
      <c r="Q34" s="14">
        <f>P34*VARIABLES!$B$45</f>
        <v>150</v>
      </c>
      <c r="R34" s="14">
        <f>IF($A34&lt;VARIABLES!$B$42,0,(IF($A34=VARIABLES!$B$42,0,S33)+P34)*C34*VARIABLES!$B$46)</f>
        <v>1180.7100716402597</v>
      </c>
      <c r="S34" s="14">
        <f>IF($A34&lt;VARIABLES!$B$42,0,(IF($A34=VARIABLES!$B$42,0,S33)+P34)*(1+C34)-R34)</f>
        <v>1179529.3615686195</v>
      </c>
      <c r="T34" s="34">
        <f>IF($A34&lt;VARIABLES!$B$50,0,MIN(VARIABLES!$B$49,INT(($A34-VARIABLES!$B$50)/VARIABLES!$B$51)+1))</f>
        <v>12</v>
      </c>
      <c r="U34" s="14">
        <f>T34*VARIABLES!$B$53+IF(AND($A34&gt;=VARIABLES!$B$50,MOD($A34-VARIABLES!$B$50,VARIABLES!$B$51)=0,($A34-VARIABLES!$B$50)/VARIABLES!$B$51&lt;VARIABLES!$B$49),VARIABLES!$B$52,0)</f>
        <v>60000</v>
      </c>
      <c r="V34" s="14">
        <f>U34*VARIABLES!$B$54</f>
        <v>450</v>
      </c>
      <c r="W34" s="14">
        <f>IF($A34&lt;VARIABLES!$B$50,0,(IF($A34&lt;VARIABLES!$B$50+1,0,X33)+U34)*C34*VARIABLES!$B$55)</f>
        <v>14281.341160672004</v>
      </c>
      <c r="X34" s="14">
        <f>IF($A34&lt;VARIABLES!$B$50,0,(IF($A34&lt;VARIABLES!$B$50+1,0,X33)+U34)*(1+C34)-W34)</f>
        <v>3556053.9490073295</v>
      </c>
      <c r="Y34" s="14">
        <f t="shared" si="0"/>
        <v>320000</v>
      </c>
      <c r="Z34" s="14">
        <f t="shared" si="1"/>
        <v>2400</v>
      </c>
      <c r="AA34" s="14">
        <f t="shared" si="2"/>
        <v>98547.478520668345</v>
      </c>
      <c r="AB34" s="35">
        <f t="shared" si="3"/>
        <v>100947.47852066834</v>
      </c>
      <c r="AC34" s="36">
        <f t="shared" si="4"/>
        <v>35569174.242560796</v>
      </c>
      <c r="AD34" s="14">
        <f>IF($A34=1,VARIABLES!$B$12,0)</f>
        <v>0</v>
      </c>
      <c r="AE34" s="14">
        <f>IF($A34&lt;=3,VARIABLES!$B$13,IF($A34&lt;=6,VARIABLES!$B$14,VARIABLES!$B$15))</f>
        <v>40000</v>
      </c>
      <c r="AF34" s="14">
        <f>IF(MOD($A34,12)=0,AC34*VARIABLES!$B$16,0)</f>
        <v>0</v>
      </c>
      <c r="AG34" s="14">
        <f>VARIABLES!$B$17</f>
        <v>5000</v>
      </c>
      <c r="AH34" s="14">
        <f>IF(MOD($A34,12)=0,VARIABLES!$B$18,0)</f>
        <v>0</v>
      </c>
      <c r="AI34" s="37">
        <f t="shared" si="5"/>
        <v>45000</v>
      </c>
      <c r="AJ34" s="38">
        <f>IF($A34&lt;VARIABLES!$B$7,VARIABLES!$B$9,0)</f>
        <v>26583.333333333332</v>
      </c>
      <c r="AK34" s="39">
        <f t="shared" si="6"/>
        <v>29364.145187335012</v>
      </c>
      <c r="AL34" s="39">
        <f t="shared" si="7"/>
        <v>-557022.71908109984</v>
      </c>
      <c r="AM34" s="40">
        <f t="shared" si="8"/>
        <v>824083.3333333336</v>
      </c>
    </row>
    <row r="35" spans="1:39" x14ac:dyDescent="0.2">
      <c r="A35" s="41">
        <v>32</v>
      </c>
      <c r="B35" s="41" t="str">
        <f>TEXT(DATE(VARIABLES!$B$59+INT((VARIABLES!$B$60+A35-2)/12),MOD(VARIABLES!$B$60+A35-2,12)+1,1),"mmm-yy")</f>
        <v>Jan-29</v>
      </c>
      <c r="C35" s="42">
        <f>IF($A35&lt;VARIABLES!$B$7,VARIABLES!$B$5/12,VARIABLES!$B$6/12)</f>
        <v>4.1666666666666664E-2</v>
      </c>
      <c r="D35" s="43">
        <f>IF($A35&lt;VARIABLES!$B$21,0,IF($A35=VARIABLES!$B$21,VARIABLES!$B$22+VARIABLES!$B$23,VARIABLES!$B$23))</f>
        <v>200000</v>
      </c>
      <c r="E35" s="43">
        <f>D35*VARIABLES!$B$24</f>
        <v>1500</v>
      </c>
      <c r="F35" s="43">
        <f>IF($A35&lt;VARIABLES!$B$21,0,(IF($A35=VARIABLES!$B$21,0,G34)+D35)*C35*VARIABLES!$B$25)</f>
        <v>14284.964191176383</v>
      </c>
      <c r="G35" s="43">
        <f>IF($A35&lt;VARIABLES!$B$21,0,(IF($A35=VARIABLES!$B$21,0,G34)+D35)*(1+C35)-F35)</f>
        <v>14270679.226985209</v>
      </c>
      <c r="H35" s="43">
        <f>IF($A35&lt;VARIABLES!$B$28,0,IF($A35=VARIABLES!$B$28,VARIABLES!$B$29+VARIABLES!$B$30,VARIABLES!$B$30))</f>
        <v>40000</v>
      </c>
      <c r="I35" s="43">
        <f>H35*VARIABLES!$B$31</f>
        <v>300</v>
      </c>
      <c r="J35" s="43">
        <f>IF($A35&lt;VARIABLES!$B$28,0,(IF($A35=VARIABLES!$B$28,0,K34)+H35)*C35*VARIABLES!$B$32)</f>
        <v>9469.4514246889248</v>
      </c>
      <c r="K35" s="43">
        <f>IF($A35&lt;VARIABLES!$B$28,0,(IF($A35=VARIABLES!$B$28,0,K34)+H35)*(1+C35)-J35)</f>
        <v>2357893.4047475425</v>
      </c>
      <c r="L35" s="43">
        <f>IF($A35&lt;VARIABLES!$B$35,0,IF($A35=VARIABLES!$B$35,VARIABLES!$B$36+VARIABLES!$B$37,VARIABLES!$B$37))</f>
        <v>0</v>
      </c>
      <c r="M35" s="43">
        <f>L35*VARIABLES!$B$38</f>
        <v>0</v>
      </c>
      <c r="N35" s="43">
        <f>IF($A35&lt;VARIABLES!$B$35,0,(IF($A35=VARIABLES!$B$35,0,O34)+L35)*C35*VARIABLES!$B$39)</f>
        <v>62863.987360542407</v>
      </c>
      <c r="O35" s="43">
        <f>IF($A35&lt;VARIABLES!$B$35,0,(IF($A35=VARIABLES!$B$35,0,O34)+L35)*(1+C35)-N35)</f>
        <v>15653132.85277506</v>
      </c>
      <c r="P35" s="43">
        <f>IF($A35&lt;VARIABLES!$B$42,0,IF($A35=VARIABLES!$B$42,VARIABLES!$B$43+VARIABLES!$B$44,VARIABLES!$B$44))</f>
        <v>20000</v>
      </c>
      <c r="Q35" s="43">
        <f>P35*VARIABLES!$B$45</f>
        <v>150</v>
      </c>
      <c r="R35" s="43">
        <f>IF($A35&lt;VARIABLES!$B$42,0,(IF($A35=VARIABLES!$B$42,0,S34)+P35)*C35*VARIABLES!$B$46)</f>
        <v>1249.5097516339786</v>
      </c>
      <c r="S35" s="43">
        <f>IF($A35&lt;VARIABLES!$B$42,0,(IF($A35=VARIABLES!$B$42,0,S34)+P35)*(1+C35)-R35)</f>
        <v>1248260.2418823447</v>
      </c>
      <c r="T35" s="44">
        <f>IF($A35&lt;VARIABLES!$B$50,0,MIN(VARIABLES!$B$49,INT(($A35-VARIABLES!$B$50)/VARIABLES!$B$51)+1))</f>
        <v>12</v>
      </c>
      <c r="U35" s="43">
        <f>T35*VARIABLES!$B$53+IF(AND($A35&gt;=VARIABLES!$B$50,MOD($A35-VARIABLES!$B$50,VARIABLES!$B$51)=0,($A35-VARIABLES!$B$50)/VARIABLES!$B$51&lt;VARIABLES!$B$49),VARIABLES!$B$52,0)</f>
        <v>60000</v>
      </c>
      <c r="V35" s="43">
        <f>U35*VARIABLES!$B$54</f>
        <v>450</v>
      </c>
      <c r="W35" s="43">
        <f>IF($A35&lt;VARIABLES!$B$50,0,(IF($A35&lt;VARIABLES!$B$50+1,0,X34)+U35)*C35*VARIABLES!$B$55)</f>
        <v>15066.891454197204</v>
      </c>
      <c r="X35" s="43">
        <f>IF($A35&lt;VARIABLES!$B$50,0,(IF($A35&lt;VARIABLES!$B$50+1,0,X34)+U35)*(1+C35)-W35)</f>
        <v>3751655.9720951049</v>
      </c>
      <c r="Y35" s="43">
        <f t="shared" si="0"/>
        <v>320000</v>
      </c>
      <c r="Z35" s="43">
        <f t="shared" si="1"/>
        <v>2400</v>
      </c>
      <c r="AA35" s="43">
        <f t="shared" si="2"/>
        <v>102934.80418223889</v>
      </c>
      <c r="AB35" s="35">
        <f t="shared" si="3"/>
        <v>105334.80418223889</v>
      </c>
      <c r="AC35" s="36">
        <f t="shared" si="4"/>
        <v>37281621.698485255</v>
      </c>
      <c r="AD35" s="43">
        <f>IF($A35=1,VARIABLES!$B$12,0)</f>
        <v>0</v>
      </c>
      <c r="AE35" s="43">
        <f>IF($A35&lt;=3,VARIABLES!$B$13,IF($A35&lt;=6,VARIABLES!$B$14,VARIABLES!$B$15))</f>
        <v>40000</v>
      </c>
      <c r="AF35" s="43">
        <f>IF(MOD($A35,12)=0,AC35*VARIABLES!$B$16,0)</f>
        <v>0</v>
      </c>
      <c r="AG35" s="43">
        <f>VARIABLES!$B$17</f>
        <v>5000</v>
      </c>
      <c r="AH35" s="43">
        <f>IF(MOD($A35,12)=0,VARIABLES!$B$18,0)</f>
        <v>0</v>
      </c>
      <c r="AI35" s="37">
        <f t="shared" si="5"/>
        <v>45000</v>
      </c>
      <c r="AJ35" s="38">
        <f>IF($A35&lt;VARIABLES!$B$7,VARIABLES!$B$9,0)</f>
        <v>26583.333333333332</v>
      </c>
      <c r="AK35" s="45">
        <f t="shared" si="6"/>
        <v>33751.470848905563</v>
      </c>
      <c r="AL35" s="45">
        <f t="shared" si="7"/>
        <v>-523271.24823219428</v>
      </c>
      <c r="AM35" s="40">
        <f t="shared" si="8"/>
        <v>850666.66666666698</v>
      </c>
    </row>
    <row r="36" spans="1:39" x14ac:dyDescent="0.2">
      <c r="A36" s="32">
        <v>33</v>
      </c>
      <c r="B36" s="32" t="str">
        <f>TEXT(DATE(VARIABLES!$B$59+INT((VARIABLES!$B$60+A36-2)/12),MOD(VARIABLES!$B$60+A36-2,12)+1,1),"mmm-yy")</f>
        <v>Feb-29</v>
      </c>
      <c r="C36" s="33">
        <f>IF($A36&lt;VARIABLES!$B$7,VARIABLES!$B$5/12,VARIABLES!$B$6/12)</f>
        <v>4.1666666666666664E-2</v>
      </c>
      <c r="D36" s="14">
        <f>IF($A36&lt;VARIABLES!$B$21,0,IF($A36=VARIABLES!$B$21,VARIABLES!$B$22+VARIABLES!$B$23,VARIABLES!$B$23))</f>
        <v>200000</v>
      </c>
      <c r="E36" s="14">
        <f>D36*VARIABLES!$B$24</f>
        <v>1500</v>
      </c>
      <c r="F36" s="14">
        <f>IF($A36&lt;VARIABLES!$B$21,0,(IF($A36=VARIABLES!$B$21,0,G35)+D36)*C36*VARIABLES!$B$25)</f>
        <v>15073.624194776259</v>
      </c>
      <c r="G36" s="14">
        <f>IF($A36&lt;VARIABLES!$B$21,0,(IF($A36=VARIABLES!$B$21,0,G35)+D36)*(1+C36)-F36)</f>
        <v>15058550.570581483</v>
      </c>
      <c r="H36" s="14">
        <f>IF($A36&lt;VARIABLES!$B$28,0,IF($A36=VARIABLES!$B$28,VARIABLES!$B$29+VARIABLES!$B$30,VARIABLES!$B$30))</f>
        <v>40000</v>
      </c>
      <c r="I36" s="14">
        <f>H36*VARIABLES!$B$31</f>
        <v>300</v>
      </c>
      <c r="J36" s="14">
        <f>IF($A36&lt;VARIABLES!$B$28,0,(IF($A36=VARIABLES!$B$28,0,K35)+H36)*C36*VARIABLES!$B$32)</f>
        <v>9991.2225197814259</v>
      </c>
      <c r="K36" s="14">
        <f>IF($A36&lt;VARIABLES!$B$28,0,(IF($A36=VARIABLES!$B$28,0,K35)+H36)*(1+C36)-J36)</f>
        <v>2487814.4074255754</v>
      </c>
      <c r="L36" s="14">
        <f>IF($A36&lt;VARIABLES!$B$35,0,IF($A36=VARIABLES!$B$35,VARIABLES!$B$36+VARIABLES!$B$37,VARIABLES!$B$37))</f>
        <v>0</v>
      </c>
      <c r="M36" s="14">
        <f>L36*VARIABLES!$B$38</f>
        <v>0</v>
      </c>
      <c r="N36" s="14">
        <f>IF($A36&lt;VARIABLES!$B$35,0,(IF($A36=VARIABLES!$B$35,0,O35)+L36)*C36*VARIABLES!$B$39)</f>
        <v>65221.386886562745</v>
      </c>
      <c r="O36" s="14">
        <f>IF($A36&lt;VARIABLES!$B$35,0,(IF($A36=VARIABLES!$B$35,0,O35)+L36)*(1+C36)-N36)</f>
        <v>16240125.334754124</v>
      </c>
      <c r="P36" s="14">
        <f>IF($A36&lt;VARIABLES!$B$42,0,IF($A36=VARIABLES!$B$42,VARIABLES!$B$43+VARIABLES!$B$44,VARIABLES!$B$44))</f>
        <v>20000</v>
      </c>
      <c r="Q36" s="14">
        <f>P36*VARIABLES!$B$45</f>
        <v>150</v>
      </c>
      <c r="R36" s="14">
        <f>IF($A36&lt;VARIABLES!$B$42,0,(IF($A36=VARIABLES!$B$42,0,S35)+P36)*C36*VARIABLES!$B$46)</f>
        <v>1321.1044186274423</v>
      </c>
      <c r="S36" s="14">
        <f>IF($A36&lt;VARIABLES!$B$42,0,(IF($A36=VARIABLES!$B$42,0,S35)+P36)*(1+C36)-R36)</f>
        <v>1319783.3142088151</v>
      </c>
      <c r="T36" s="34">
        <f>IF($A36&lt;VARIABLES!$B$50,0,MIN(VARIABLES!$B$49,INT(($A36-VARIABLES!$B$50)/VARIABLES!$B$51)+1))</f>
        <v>12</v>
      </c>
      <c r="U36" s="14">
        <f>T36*VARIABLES!$B$53+IF(AND($A36&gt;=VARIABLES!$B$50,MOD($A36-VARIABLES!$B$50,VARIABLES!$B$51)=0,($A36-VARIABLES!$B$50)/VARIABLES!$B$51&lt;VARIABLES!$B$49),VARIABLES!$B$52,0)</f>
        <v>60000</v>
      </c>
      <c r="V36" s="14">
        <f>U36*VARIABLES!$B$54</f>
        <v>450</v>
      </c>
      <c r="W36" s="14">
        <f>IF($A36&lt;VARIABLES!$B$50,0,(IF($A36&lt;VARIABLES!$B$50+1,0,X35)+U36)*C36*VARIABLES!$B$55)</f>
        <v>15881.899883729604</v>
      </c>
      <c r="X36" s="14">
        <f>IF($A36&lt;VARIABLES!$B$50,0,(IF($A36&lt;VARIABLES!$B$50+1,0,X35)+U36)*(1+C36)-W36)</f>
        <v>3954593.0710486718</v>
      </c>
      <c r="Y36" s="14">
        <f t="shared" si="0"/>
        <v>320000</v>
      </c>
      <c r="Z36" s="14">
        <f t="shared" si="1"/>
        <v>2400</v>
      </c>
      <c r="AA36" s="14">
        <f t="shared" si="2"/>
        <v>107489.23790347748</v>
      </c>
      <c r="AB36" s="35">
        <f t="shared" si="3"/>
        <v>109889.23790347748</v>
      </c>
      <c r="AC36" s="36">
        <f t="shared" si="4"/>
        <v>39060866.69801867</v>
      </c>
      <c r="AD36" s="14">
        <f>IF($A36=1,VARIABLES!$B$12,0)</f>
        <v>0</v>
      </c>
      <c r="AE36" s="14">
        <f>IF($A36&lt;=3,VARIABLES!$B$13,IF($A36&lt;=6,VARIABLES!$B$14,VARIABLES!$B$15))</f>
        <v>40000</v>
      </c>
      <c r="AF36" s="14">
        <f>IF(MOD($A36,12)=0,AC36*VARIABLES!$B$16,0)</f>
        <v>0</v>
      </c>
      <c r="AG36" s="14">
        <f>VARIABLES!$B$17</f>
        <v>5000</v>
      </c>
      <c r="AH36" s="14">
        <f>IF(MOD($A36,12)=0,VARIABLES!$B$18,0)</f>
        <v>0</v>
      </c>
      <c r="AI36" s="37">
        <f t="shared" si="5"/>
        <v>45000</v>
      </c>
      <c r="AJ36" s="38">
        <f>IF($A36&lt;VARIABLES!$B$7,VARIABLES!$B$9,0)</f>
        <v>26583.333333333332</v>
      </c>
      <c r="AK36" s="39">
        <f t="shared" si="6"/>
        <v>38305.90457014415</v>
      </c>
      <c r="AL36" s="39">
        <f t="shared" si="7"/>
        <v>-484965.34366205015</v>
      </c>
      <c r="AM36" s="40">
        <f t="shared" si="8"/>
        <v>877250.00000000035</v>
      </c>
    </row>
    <row r="37" spans="1:39" x14ac:dyDescent="0.2">
      <c r="A37" s="41">
        <v>34</v>
      </c>
      <c r="B37" s="41" t="str">
        <f>TEXT(DATE(VARIABLES!$B$59+INT((VARIABLES!$B$60+A37-2)/12),MOD(VARIABLES!$B$60+A37-2,12)+1,1),"mmm-yy")</f>
        <v>Mar-29</v>
      </c>
      <c r="C37" s="42">
        <f>IF($A37&lt;VARIABLES!$B$7,VARIABLES!$B$5/12,VARIABLES!$B$6/12)</f>
        <v>4.1666666666666664E-2</v>
      </c>
      <c r="D37" s="43">
        <f>IF($A37&lt;VARIABLES!$B$21,0,IF($A37=VARIABLES!$B$21,VARIABLES!$B$22+VARIABLES!$B$23,VARIABLES!$B$23))</f>
        <v>200000</v>
      </c>
      <c r="E37" s="43">
        <f>D37*VARIABLES!$B$24</f>
        <v>1500</v>
      </c>
      <c r="F37" s="43">
        <f>IF($A37&lt;VARIABLES!$B$21,0,(IF($A37=VARIABLES!$B$21,0,G36)+D37)*C37*VARIABLES!$B$25)</f>
        <v>15894.323511022376</v>
      </c>
      <c r="G37" s="43">
        <f>IF($A37&lt;VARIABLES!$B$21,0,(IF($A37=VARIABLES!$B$21,0,G36)+D37)*(1+C37)-F37)</f>
        <v>15878429.187511357</v>
      </c>
      <c r="H37" s="43">
        <f>IF($A37&lt;VARIABLES!$B$28,0,IF($A37=VARIABLES!$B$28,VARIABLES!$B$29+VARIABLES!$B$30,VARIABLES!$B$30))</f>
        <v>40000</v>
      </c>
      <c r="I37" s="43">
        <f>H37*VARIABLES!$B$31</f>
        <v>300</v>
      </c>
      <c r="J37" s="43">
        <f>IF($A37&lt;VARIABLES!$B$28,0,(IF($A37=VARIABLES!$B$28,0,K36)+H37)*C37*VARIABLES!$B$32)</f>
        <v>10532.560030939898</v>
      </c>
      <c r="K37" s="43">
        <f>IF($A37&lt;VARIABLES!$B$28,0,(IF($A37=VARIABLES!$B$28,0,K36)+H37)*(1+C37)-J37)</f>
        <v>2622607.4477040344</v>
      </c>
      <c r="L37" s="43">
        <f>IF($A37&lt;VARIABLES!$B$35,0,IF($A37=VARIABLES!$B$35,VARIABLES!$B$36+VARIABLES!$B$37,VARIABLES!$B$37))</f>
        <v>0</v>
      </c>
      <c r="M37" s="43">
        <f>L37*VARIABLES!$B$38</f>
        <v>0</v>
      </c>
      <c r="N37" s="43">
        <f>IF($A37&lt;VARIABLES!$B$35,0,(IF($A37=VARIABLES!$B$35,0,O36)+L37)*C37*VARIABLES!$B$39)</f>
        <v>67667.18889480886</v>
      </c>
      <c r="O37" s="43">
        <f>IF($A37&lt;VARIABLES!$B$35,0,(IF($A37=VARIABLES!$B$35,0,O36)+L37)*(1+C37)-N37)</f>
        <v>16849130.034807406</v>
      </c>
      <c r="P37" s="43">
        <f>IF($A37&lt;VARIABLES!$B$42,0,IF($A37=VARIABLES!$B$42,VARIABLES!$B$43+VARIABLES!$B$44,VARIABLES!$B$44))</f>
        <v>20000</v>
      </c>
      <c r="Q37" s="43">
        <f>P37*VARIABLES!$B$45</f>
        <v>150</v>
      </c>
      <c r="R37" s="43">
        <f>IF($A37&lt;VARIABLES!$B$42,0,(IF($A37=VARIABLES!$B$42,0,S36)+P37)*C37*VARIABLES!$B$46)</f>
        <v>1395.6076189675159</v>
      </c>
      <c r="S37" s="43">
        <f>IF($A37&lt;VARIABLES!$B$42,0,(IF($A37=VARIABLES!$B$42,0,S36)+P37)*(1+C37)-R37)</f>
        <v>1394212.0113485483</v>
      </c>
      <c r="T37" s="44">
        <f>IF($A37&lt;VARIABLES!$B$50,0,MIN(VARIABLES!$B$49,INT(($A37-VARIABLES!$B$50)/VARIABLES!$B$51)+1))</f>
        <v>12</v>
      </c>
      <c r="U37" s="43">
        <f>T37*VARIABLES!$B$53+IF(AND($A37&gt;=VARIABLES!$B$50,MOD($A37-VARIABLES!$B$50,VARIABLES!$B$51)=0,($A37-VARIABLES!$B$50)/VARIABLES!$B$51&lt;VARIABLES!$B$49),VARIABLES!$B$52,0)</f>
        <v>60000</v>
      </c>
      <c r="V37" s="43">
        <f>U37*VARIABLES!$B$54</f>
        <v>450</v>
      </c>
      <c r="W37" s="43">
        <f>IF($A37&lt;VARIABLES!$B$50,0,(IF($A37&lt;VARIABLES!$B$50+1,0,X36)+U37)*C37*VARIABLES!$B$55)</f>
        <v>16727.471129369467</v>
      </c>
      <c r="X37" s="43">
        <f>IF($A37&lt;VARIABLES!$B$50,0,(IF($A37&lt;VARIABLES!$B$50+1,0,X36)+U37)*(1+C37)-W37)</f>
        <v>4165140.3112129974</v>
      </c>
      <c r="Y37" s="43">
        <f t="shared" si="0"/>
        <v>320000</v>
      </c>
      <c r="Z37" s="43">
        <f t="shared" si="1"/>
        <v>2400</v>
      </c>
      <c r="AA37" s="43">
        <f t="shared" si="2"/>
        <v>112217.15118510813</v>
      </c>
      <c r="AB37" s="35">
        <f t="shared" si="3"/>
        <v>114617.15118510813</v>
      </c>
      <c r="AC37" s="36">
        <f t="shared" si="4"/>
        <v>40909518.99258434</v>
      </c>
      <c r="AD37" s="43">
        <f>IF($A37=1,VARIABLES!$B$12,0)</f>
        <v>0</v>
      </c>
      <c r="AE37" s="43">
        <f>IF($A37&lt;=3,VARIABLES!$B$13,IF($A37&lt;=6,VARIABLES!$B$14,VARIABLES!$B$15))</f>
        <v>40000</v>
      </c>
      <c r="AF37" s="43">
        <f>IF(MOD($A37,12)=0,AC37*VARIABLES!$B$16,0)</f>
        <v>0</v>
      </c>
      <c r="AG37" s="43">
        <f>VARIABLES!$B$17</f>
        <v>5000</v>
      </c>
      <c r="AH37" s="43">
        <f>IF(MOD($A37,12)=0,VARIABLES!$B$18,0)</f>
        <v>0</v>
      </c>
      <c r="AI37" s="37">
        <f t="shared" si="5"/>
        <v>45000</v>
      </c>
      <c r="AJ37" s="38">
        <f>IF($A37&lt;VARIABLES!$B$7,VARIABLES!$B$9,0)</f>
        <v>26583.333333333332</v>
      </c>
      <c r="AK37" s="45">
        <f t="shared" si="6"/>
        <v>43033.817851774802</v>
      </c>
      <c r="AL37" s="45">
        <f t="shared" si="7"/>
        <v>-441931.52581027534</v>
      </c>
      <c r="AM37" s="40">
        <f t="shared" si="8"/>
        <v>903833.33333333372</v>
      </c>
    </row>
    <row r="38" spans="1:39" x14ac:dyDescent="0.2">
      <c r="A38" s="32">
        <v>35</v>
      </c>
      <c r="B38" s="32" t="str">
        <f>TEXT(DATE(VARIABLES!$B$59+INT((VARIABLES!$B$60+A38-2)/12),MOD(VARIABLES!$B$60+A38-2,12)+1,1),"mmm-yy")</f>
        <v>Apr-29</v>
      </c>
      <c r="C38" s="33">
        <f>IF($A38&lt;VARIABLES!$B$7,VARIABLES!$B$5/12,VARIABLES!$B$6/12)</f>
        <v>4.1666666666666664E-2</v>
      </c>
      <c r="D38" s="14">
        <f>IF($A38&lt;VARIABLES!$B$21,0,IF($A38=VARIABLES!$B$21,VARIABLES!$B$22+VARIABLES!$B$23,VARIABLES!$B$23))</f>
        <v>200000</v>
      </c>
      <c r="E38" s="14">
        <f>D38*VARIABLES!$B$24</f>
        <v>1500</v>
      </c>
      <c r="F38" s="14">
        <f>IF($A38&lt;VARIABLES!$B$21,0,(IF($A38=VARIABLES!$B$21,0,G37)+D38)*C38*VARIABLES!$B$25)</f>
        <v>16748.363736990996</v>
      </c>
      <c r="G38" s="14">
        <f>IF($A38&lt;VARIABLES!$B$21,0,(IF($A38=VARIABLES!$B$21,0,G37)+D38)*(1+C38)-F38)</f>
        <v>16731615.373254007</v>
      </c>
      <c r="H38" s="14">
        <f>IF($A38&lt;VARIABLES!$B$28,0,IF($A38=VARIABLES!$B$28,VARIABLES!$B$29+VARIABLES!$B$30,VARIABLES!$B$30))</f>
        <v>40000</v>
      </c>
      <c r="I38" s="14">
        <f>H38*VARIABLES!$B$31</f>
        <v>300</v>
      </c>
      <c r="J38" s="14">
        <f>IF($A38&lt;VARIABLES!$B$28,0,(IF($A38=VARIABLES!$B$28,0,K37)+H38)*C38*VARIABLES!$B$32)</f>
        <v>11094.197698766809</v>
      </c>
      <c r="K38" s="14">
        <f>IF($A38&lt;VARIABLES!$B$28,0,(IF($A38=VARIABLES!$B$28,0,K37)+H38)*(1+C38)-J38)</f>
        <v>2762455.2269929359</v>
      </c>
      <c r="L38" s="14">
        <f>IF($A38&lt;VARIABLES!$B$35,0,IF($A38=VARIABLES!$B$35,VARIABLES!$B$36+VARIABLES!$B$37,VARIABLES!$B$37))</f>
        <v>0</v>
      </c>
      <c r="M38" s="14">
        <f>L38*VARIABLES!$B$38</f>
        <v>0</v>
      </c>
      <c r="N38" s="14">
        <f>IF($A38&lt;VARIABLES!$B$35,0,(IF($A38=VARIABLES!$B$35,0,O37)+L38)*C38*VARIABLES!$B$39)</f>
        <v>70204.708478364191</v>
      </c>
      <c r="O38" s="14">
        <f>IF($A38&lt;VARIABLES!$B$35,0,(IF($A38=VARIABLES!$B$35,0,O37)+L38)*(1+C38)-N38)</f>
        <v>17480972.411112685</v>
      </c>
      <c r="P38" s="14">
        <f>IF($A38&lt;VARIABLES!$B$42,0,IF($A38=VARIABLES!$B$42,VARIABLES!$B$43+VARIABLES!$B$44,VARIABLES!$B$44))</f>
        <v>20000</v>
      </c>
      <c r="Q38" s="14">
        <f>P38*VARIABLES!$B$45</f>
        <v>150</v>
      </c>
      <c r="R38" s="14">
        <f>IF($A38&lt;VARIABLES!$B$42,0,(IF($A38=VARIABLES!$B$42,0,S37)+P38)*C38*VARIABLES!$B$46)</f>
        <v>1473.1375118214046</v>
      </c>
      <c r="S38" s="14">
        <f>IF($A38&lt;VARIABLES!$B$42,0,(IF($A38=VARIABLES!$B$42,0,S37)+P38)*(1+C38)-R38)</f>
        <v>1471664.3743095831</v>
      </c>
      <c r="T38" s="34">
        <f>IF($A38&lt;VARIABLES!$B$50,0,MIN(VARIABLES!$B$49,INT(($A38-VARIABLES!$B$50)/VARIABLES!$B$51)+1))</f>
        <v>12</v>
      </c>
      <c r="U38" s="14">
        <f>T38*VARIABLES!$B$53+IF(AND($A38&gt;=VARIABLES!$B$50,MOD($A38-VARIABLES!$B$50,VARIABLES!$B$51)=0,($A38-VARIABLES!$B$50)/VARIABLES!$B$51&lt;VARIABLES!$B$49),VARIABLES!$B$52,0)</f>
        <v>60000</v>
      </c>
      <c r="V38" s="14">
        <f>U38*VARIABLES!$B$54</f>
        <v>450</v>
      </c>
      <c r="W38" s="14">
        <f>IF($A38&lt;VARIABLES!$B$50,0,(IF($A38&lt;VARIABLES!$B$50+1,0,X37)+U38)*C38*VARIABLES!$B$55)</f>
        <v>17604.751296720824</v>
      </c>
      <c r="X38" s="14">
        <f>IF($A38&lt;VARIABLES!$B$50,0,(IF($A38&lt;VARIABLES!$B$50+1,0,X37)+U38)*(1+C38)-W38)</f>
        <v>4383583.0728834858</v>
      </c>
      <c r="Y38" s="14">
        <f t="shared" si="0"/>
        <v>320000</v>
      </c>
      <c r="Z38" s="14">
        <f t="shared" si="1"/>
        <v>2400</v>
      </c>
      <c r="AA38" s="14">
        <f t="shared" si="2"/>
        <v>117125.15872266423</v>
      </c>
      <c r="AB38" s="35">
        <f t="shared" si="3"/>
        <v>119525.15872266423</v>
      </c>
      <c r="AC38" s="36">
        <f t="shared" si="4"/>
        <v>42830290.458552703</v>
      </c>
      <c r="AD38" s="14">
        <f>IF($A38=1,VARIABLES!$B$12,0)</f>
        <v>0</v>
      </c>
      <c r="AE38" s="14">
        <f>IF($A38&lt;=3,VARIABLES!$B$13,IF($A38&lt;=6,VARIABLES!$B$14,VARIABLES!$B$15))</f>
        <v>40000</v>
      </c>
      <c r="AF38" s="14">
        <f>IF(MOD($A38,12)=0,AC38*VARIABLES!$B$16,0)</f>
        <v>0</v>
      </c>
      <c r="AG38" s="14">
        <f>VARIABLES!$B$17</f>
        <v>5000</v>
      </c>
      <c r="AH38" s="14">
        <f>IF(MOD($A38,12)=0,VARIABLES!$B$18,0)</f>
        <v>0</v>
      </c>
      <c r="AI38" s="37">
        <f t="shared" si="5"/>
        <v>45000</v>
      </c>
      <c r="AJ38" s="38">
        <f>IF($A38&lt;VARIABLES!$B$7,VARIABLES!$B$9,0)</f>
        <v>26583.333333333332</v>
      </c>
      <c r="AK38" s="39">
        <f t="shared" si="6"/>
        <v>47941.825389330901</v>
      </c>
      <c r="AL38" s="39">
        <f t="shared" si="7"/>
        <v>-393989.70042094443</v>
      </c>
      <c r="AM38" s="40">
        <f t="shared" si="8"/>
        <v>930416.66666666709</v>
      </c>
    </row>
    <row r="39" spans="1:39" x14ac:dyDescent="0.2">
      <c r="A39" s="41">
        <v>36</v>
      </c>
      <c r="B39" s="41" t="str">
        <f>TEXT(DATE(VARIABLES!$B$59+INT((VARIABLES!$B$60+A39-2)/12),MOD(VARIABLES!$B$60+A39-2,12)+1,1),"mmm-yy")</f>
        <v>May-29</v>
      </c>
      <c r="C39" s="42">
        <f>IF($A39&lt;VARIABLES!$B$7,VARIABLES!$B$5/12,VARIABLES!$B$6/12)</f>
        <v>4.1666666666666664E-2</v>
      </c>
      <c r="D39" s="43">
        <f>IF($A39&lt;VARIABLES!$B$21,0,IF($A39=VARIABLES!$B$21,VARIABLES!$B$22+VARIABLES!$B$23,VARIABLES!$B$23))</f>
        <v>200000</v>
      </c>
      <c r="E39" s="43">
        <f>D39*VARIABLES!$B$24</f>
        <v>1500</v>
      </c>
      <c r="F39" s="43">
        <f>IF($A39&lt;VARIABLES!$B$21,0,(IF($A39=VARIABLES!$B$21,0,G38)+D39)*C39*VARIABLES!$B$25)</f>
        <v>17637.099347139592</v>
      </c>
      <c r="G39" s="43">
        <f>IF($A39&lt;VARIABLES!$B$21,0,(IF($A39=VARIABLES!$B$21,0,G38)+D39)*(1+C39)-F39)</f>
        <v>17619462.247792453</v>
      </c>
      <c r="H39" s="43">
        <f>IF($A39&lt;VARIABLES!$B$28,0,IF($A39=VARIABLES!$B$28,VARIABLES!$B$29+VARIABLES!$B$30,VARIABLES!$B$30))</f>
        <v>40000</v>
      </c>
      <c r="I39" s="43">
        <f>H39*VARIABLES!$B$31</f>
        <v>300</v>
      </c>
      <c r="J39" s="43">
        <f>IF($A39&lt;VARIABLES!$B$28,0,(IF($A39=VARIABLES!$B$28,0,K38)+H39)*C39*VARIABLES!$B$32)</f>
        <v>11676.896779137234</v>
      </c>
      <c r="K39" s="43">
        <f>IF($A39&lt;VARIABLES!$B$28,0,(IF($A39=VARIABLES!$B$28,0,K38)+H39)*(1+C39)-J39)</f>
        <v>2907547.2980051711</v>
      </c>
      <c r="L39" s="43">
        <f>IF($A39&lt;VARIABLES!$B$35,0,IF($A39=VARIABLES!$B$35,VARIABLES!$B$36+VARIABLES!$B$37,VARIABLES!$B$37))</f>
        <v>0</v>
      </c>
      <c r="M39" s="43">
        <f>L39*VARIABLES!$B$38</f>
        <v>0</v>
      </c>
      <c r="N39" s="43">
        <f>IF($A39&lt;VARIABLES!$B$35,0,(IF($A39=VARIABLES!$B$35,0,O38)+L39)*C39*VARIABLES!$B$39)</f>
        <v>72837.38504630285</v>
      </c>
      <c r="O39" s="43">
        <f>IF($A39&lt;VARIABLES!$B$35,0,(IF($A39=VARIABLES!$B$35,0,O38)+L39)*(1+C39)-N39)</f>
        <v>18136508.87652941</v>
      </c>
      <c r="P39" s="43">
        <f>IF($A39&lt;VARIABLES!$B$42,0,IF($A39=VARIABLES!$B$42,VARIABLES!$B$43+VARIABLES!$B$44,VARIABLES!$B$44))</f>
        <v>20000</v>
      </c>
      <c r="Q39" s="43">
        <f>P39*VARIABLES!$B$45</f>
        <v>150</v>
      </c>
      <c r="R39" s="43">
        <f>IF($A39&lt;VARIABLES!$B$42,0,(IF($A39=VARIABLES!$B$42,0,S38)+P39)*C39*VARIABLES!$B$46)</f>
        <v>1553.8170565724824</v>
      </c>
      <c r="S39" s="43">
        <f>IF($A39&lt;VARIABLES!$B$42,0,(IF($A39=VARIABLES!$B$42,0,S38)+P39)*(1+C39)-R39)</f>
        <v>1552263.2395159099</v>
      </c>
      <c r="T39" s="44">
        <f>IF($A39&lt;VARIABLES!$B$50,0,MIN(VARIABLES!$B$49,INT(($A39-VARIABLES!$B$50)/VARIABLES!$B$51)+1))</f>
        <v>12</v>
      </c>
      <c r="U39" s="43">
        <f>T39*VARIABLES!$B$53+IF(AND($A39&gt;=VARIABLES!$B$50,MOD($A39-VARIABLES!$B$50,VARIABLES!$B$51)=0,($A39-VARIABLES!$B$50)/VARIABLES!$B$51&lt;VARIABLES!$B$49),VARIABLES!$B$52,0)</f>
        <v>60000</v>
      </c>
      <c r="V39" s="43">
        <f>U39*VARIABLES!$B$54</f>
        <v>450</v>
      </c>
      <c r="W39" s="43">
        <f>IF($A39&lt;VARIABLES!$B$50,0,(IF($A39&lt;VARIABLES!$B$50+1,0,X38)+U39)*C39*VARIABLES!$B$55)</f>
        <v>18514.929470347859</v>
      </c>
      <c r="X39" s="43">
        <f>IF($A39&lt;VARIABLES!$B$50,0,(IF($A39&lt;VARIABLES!$B$50+1,0,X38)+U39)*(1+C39)-W39)</f>
        <v>4610217.4381166166</v>
      </c>
      <c r="Y39" s="43">
        <f t="shared" si="0"/>
        <v>320000</v>
      </c>
      <c r="Z39" s="43">
        <f t="shared" si="1"/>
        <v>2400</v>
      </c>
      <c r="AA39" s="43">
        <f t="shared" si="2"/>
        <v>122220.12769950004</v>
      </c>
      <c r="AB39" s="35">
        <f t="shared" si="3"/>
        <v>124620.12769950004</v>
      </c>
      <c r="AC39" s="36">
        <f t="shared" si="4"/>
        <v>44825999.09995956</v>
      </c>
      <c r="AD39" s="43">
        <f>IF($A39=1,VARIABLES!$B$12,0)</f>
        <v>0</v>
      </c>
      <c r="AE39" s="43">
        <f>IF($A39&lt;=3,VARIABLES!$B$13,IF($A39&lt;=6,VARIABLES!$B$14,VARIABLES!$B$15))</f>
        <v>40000</v>
      </c>
      <c r="AF39" s="43">
        <f>IF(MOD($A39,12)=0,AC39*VARIABLES!$B$16,0)</f>
        <v>112064.9977498989</v>
      </c>
      <c r="AG39" s="43">
        <f>VARIABLES!$B$17</f>
        <v>5000</v>
      </c>
      <c r="AH39" s="43">
        <f>IF(MOD($A39,12)=0,VARIABLES!$B$18,0)</f>
        <v>3000</v>
      </c>
      <c r="AI39" s="37">
        <f t="shared" si="5"/>
        <v>160064.9977498989</v>
      </c>
      <c r="AJ39" s="38">
        <f>IF($A39&lt;VARIABLES!$B$7,VARIABLES!$B$9,0)</f>
        <v>26583.333333333332</v>
      </c>
      <c r="AK39" s="45">
        <f t="shared" si="6"/>
        <v>-62028.203383732194</v>
      </c>
      <c r="AL39" s="45">
        <f t="shared" si="7"/>
        <v>-456017.90380467661</v>
      </c>
      <c r="AM39" s="40">
        <f t="shared" si="8"/>
        <v>957000.00000000047</v>
      </c>
    </row>
    <row r="40" spans="1:39" x14ac:dyDescent="0.2">
      <c r="A40" s="32">
        <v>37</v>
      </c>
      <c r="B40" s="32" t="str">
        <f>TEXT(DATE(VARIABLES!$B$59+INT((VARIABLES!$B$60+A40-2)/12),MOD(VARIABLES!$B$60+A40-2,12)+1,1),"mmm-yy")</f>
        <v>Jun-29</v>
      </c>
      <c r="C40" s="33">
        <f>IF($A40&lt;VARIABLES!$B$7,VARIABLES!$B$5/12,VARIABLES!$B$6/12)</f>
        <v>8.3333333333333332E-3</v>
      </c>
      <c r="D40" s="14">
        <f>IF($A40&lt;VARIABLES!$B$21,0,IF($A40=VARIABLES!$B$21,VARIABLES!$B$22+VARIABLES!$B$23,VARIABLES!$B$23))</f>
        <v>200000</v>
      </c>
      <c r="E40" s="14">
        <f>D40*VARIABLES!$B$24</f>
        <v>1500</v>
      </c>
      <c r="F40" s="14">
        <f>IF($A40&lt;VARIABLES!$B$21,0,(IF($A40=VARIABLES!$B$21,0,G39)+D40)*C40*VARIABLES!$B$25)</f>
        <v>3712.3879682900947</v>
      </c>
      <c r="G40" s="14">
        <f>IF($A40&lt;VARIABLES!$B$21,0,(IF($A40=VARIABLES!$B$21,0,G39)+D40)*(1+C40)-F40)</f>
        <v>17964245.378555764</v>
      </c>
      <c r="H40" s="14">
        <f>IF($A40&lt;VARIABLES!$B$28,0,IF($A40=VARIABLES!$B$28,VARIABLES!$B$29+VARIABLES!$B$30,VARIABLES!$B$30))</f>
        <v>40000</v>
      </c>
      <c r="I40" s="14">
        <f>H40*VARIABLES!$B$31</f>
        <v>300</v>
      </c>
      <c r="J40" s="14">
        <f>IF($A40&lt;VARIABLES!$B$28,0,(IF($A40=VARIABLES!$B$28,0,K39)+H40)*C40*VARIABLES!$B$32)</f>
        <v>2456.2894150043094</v>
      </c>
      <c r="K40" s="14">
        <f>IF($A40&lt;VARIABLES!$B$28,0,(IF($A40=VARIABLES!$B$28,0,K39)+H40)*(1+C40)-J40)</f>
        <v>2969653.9027402098</v>
      </c>
      <c r="L40" s="14">
        <f>IF($A40&lt;VARIABLES!$B$35,0,IF($A40=VARIABLES!$B$35,VARIABLES!$B$36+VARIABLES!$B$37,VARIABLES!$B$37))</f>
        <v>0</v>
      </c>
      <c r="M40" s="14">
        <f>L40*VARIABLES!$B$38</f>
        <v>0</v>
      </c>
      <c r="N40" s="14">
        <f>IF($A40&lt;VARIABLES!$B$35,0,(IF($A40=VARIABLES!$B$35,0,O39)+L40)*C40*VARIABLES!$B$39)</f>
        <v>15113.757397107842</v>
      </c>
      <c r="O40" s="14">
        <f>IF($A40&lt;VARIABLES!$B$35,0,(IF($A40=VARIABLES!$B$35,0,O39)+L40)*(1+C40)-N40)</f>
        <v>18272532.693103381</v>
      </c>
      <c r="P40" s="14">
        <f>IF($A40&lt;VARIABLES!$B$42,0,IF($A40=VARIABLES!$B$42,VARIABLES!$B$43+VARIABLES!$B$44,VARIABLES!$B$44))</f>
        <v>20000</v>
      </c>
      <c r="Q40" s="14">
        <f>P40*VARIABLES!$B$45</f>
        <v>150</v>
      </c>
      <c r="R40" s="14">
        <f>IF($A40&lt;VARIABLES!$B$42,0,(IF($A40=VARIABLES!$B$42,0,S39)+P40)*C40*VARIABLES!$B$46)</f>
        <v>327.55484156581457</v>
      </c>
      <c r="S40" s="14">
        <f>IF($A40&lt;VARIABLES!$B$42,0,(IF($A40=VARIABLES!$B$42,0,S39)+P40)*(1+C40)-R40)</f>
        <v>1585037.8783369765</v>
      </c>
      <c r="T40" s="34">
        <f>IF($A40&lt;VARIABLES!$B$50,0,MIN(VARIABLES!$B$49,INT(($A40-VARIABLES!$B$50)/VARIABLES!$B$51)+1))</f>
        <v>12</v>
      </c>
      <c r="U40" s="14">
        <f>T40*VARIABLES!$B$53+IF(AND($A40&gt;=VARIABLES!$B$50,MOD($A40-VARIABLES!$B$50,VARIABLES!$B$51)=0,($A40-VARIABLES!$B$50)/VARIABLES!$B$51&lt;VARIABLES!$B$49),VARIABLES!$B$52,0)</f>
        <v>60000</v>
      </c>
      <c r="V40" s="14">
        <f>U40*VARIABLES!$B$54</f>
        <v>450</v>
      </c>
      <c r="W40" s="14">
        <f>IF($A40&lt;VARIABLES!$B$50,0,(IF($A40&lt;VARIABLES!$B$50+1,0,X39)+U40)*C40*VARIABLES!$B$55)</f>
        <v>3891.8478650971806</v>
      </c>
      <c r="X40" s="14">
        <f>IF($A40&lt;VARIABLES!$B$50,0,(IF($A40&lt;VARIABLES!$B$50+1,0,X39)+U40)*(1+C40)-W40)</f>
        <v>4705244.0689024907</v>
      </c>
      <c r="Y40" s="14">
        <f t="shared" si="0"/>
        <v>320000</v>
      </c>
      <c r="Z40" s="14">
        <f t="shared" si="1"/>
        <v>2400</v>
      </c>
      <c r="AA40" s="14">
        <f t="shared" si="2"/>
        <v>25501.837487065244</v>
      </c>
      <c r="AB40" s="35">
        <f t="shared" si="3"/>
        <v>27901.837487065244</v>
      </c>
      <c r="AC40" s="36">
        <f t="shared" si="4"/>
        <v>45496713.921638824</v>
      </c>
      <c r="AD40" s="14">
        <f>IF($A40=1,VARIABLES!$B$12,0)</f>
        <v>0</v>
      </c>
      <c r="AE40" s="14">
        <f>IF($A40&lt;=3,VARIABLES!$B$13,IF($A40&lt;=6,VARIABLES!$B$14,VARIABLES!$B$15))</f>
        <v>40000</v>
      </c>
      <c r="AF40" s="14">
        <f>IF(MOD($A40,12)=0,AC40*VARIABLES!$B$16,0)</f>
        <v>0</v>
      </c>
      <c r="AG40" s="14">
        <f>VARIABLES!$B$17</f>
        <v>5000</v>
      </c>
      <c r="AH40" s="14">
        <f>IF(MOD($A40,12)=0,VARIABLES!$B$18,0)</f>
        <v>0</v>
      </c>
      <c r="AI40" s="37">
        <f t="shared" si="5"/>
        <v>45000</v>
      </c>
      <c r="AJ40" s="38">
        <f>IF($A40&lt;VARIABLES!$B$7,VARIABLES!$B$9,0)</f>
        <v>0</v>
      </c>
      <c r="AK40" s="39">
        <f t="shared" si="6"/>
        <v>-17098.162512934756</v>
      </c>
      <c r="AL40" s="39">
        <f t="shared" si="7"/>
        <v>-473116.06631761137</v>
      </c>
      <c r="AM40" s="40">
        <f t="shared" si="8"/>
        <v>957000.00000000047</v>
      </c>
    </row>
    <row r="41" spans="1:39" x14ac:dyDescent="0.2">
      <c r="A41" s="41">
        <v>38</v>
      </c>
      <c r="B41" s="41" t="str">
        <f>TEXT(DATE(VARIABLES!$B$59+INT((VARIABLES!$B$60+A41-2)/12),MOD(VARIABLES!$B$60+A41-2,12)+1,1),"mmm-yy")</f>
        <v>Jul-29</v>
      </c>
      <c r="C41" s="42">
        <f>IF($A41&lt;VARIABLES!$B$7,VARIABLES!$B$5/12,VARIABLES!$B$6/12)</f>
        <v>8.3333333333333332E-3</v>
      </c>
      <c r="D41" s="43">
        <f>IF($A41&lt;VARIABLES!$B$21,0,IF($A41=VARIABLES!$B$21,VARIABLES!$B$22+VARIABLES!$B$23,VARIABLES!$B$23))</f>
        <v>200000</v>
      </c>
      <c r="E41" s="43">
        <f>D41*VARIABLES!$B$24</f>
        <v>1500</v>
      </c>
      <c r="F41" s="43">
        <f>IF($A41&lt;VARIABLES!$B$21,0,(IF($A41=VARIABLES!$B$21,0,G40)+D41)*C41*VARIABLES!$B$25)</f>
        <v>3784.2177871991175</v>
      </c>
      <c r="G41" s="43">
        <f>IF($A41&lt;VARIABLES!$B$21,0,(IF($A41=VARIABLES!$B$21,0,G40)+D41)*(1+C41)-F41)</f>
        <v>18311829.872256529</v>
      </c>
      <c r="H41" s="43">
        <f>IF($A41&lt;VARIABLES!$B$28,0,IF($A41=VARIABLES!$B$28,VARIABLES!$B$29+VARIABLES!$B$30,VARIABLES!$B$30))</f>
        <v>40000</v>
      </c>
      <c r="I41" s="43">
        <f>H41*VARIABLES!$B$31</f>
        <v>300</v>
      </c>
      <c r="J41" s="43">
        <f>IF($A41&lt;VARIABLES!$B$28,0,(IF($A41=VARIABLES!$B$28,0,K40)+H41)*C41*VARIABLES!$B$32)</f>
        <v>2508.0449189501751</v>
      </c>
      <c r="K41" s="43">
        <f>IF($A41&lt;VARIABLES!$B$28,0,(IF($A41=VARIABLES!$B$28,0,K40)+H41)*(1+C41)-J41)</f>
        <v>3032226.3070107615</v>
      </c>
      <c r="L41" s="43">
        <f>IF($A41&lt;VARIABLES!$B$35,0,IF($A41=VARIABLES!$B$35,VARIABLES!$B$36+VARIABLES!$B$37,VARIABLES!$B$37))</f>
        <v>0</v>
      </c>
      <c r="M41" s="43">
        <f>L41*VARIABLES!$B$38</f>
        <v>0</v>
      </c>
      <c r="N41" s="43">
        <f>IF($A41&lt;VARIABLES!$B$35,0,(IF($A41=VARIABLES!$B$35,0,O40)+L41)*C41*VARIABLES!$B$39)</f>
        <v>15227.110577586151</v>
      </c>
      <c r="O41" s="43">
        <f>IF($A41&lt;VARIABLES!$B$35,0,(IF($A41=VARIABLES!$B$35,0,O40)+L41)*(1+C41)-N41)</f>
        <v>18409576.688301653</v>
      </c>
      <c r="P41" s="43">
        <f>IF($A41&lt;VARIABLES!$B$42,0,IF($A41=VARIABLES!$B$42,VARIABLES!$B$43+VARIABLES!$B$44,VARIABLES!$B$44))</f>
        <v>20000</v>
      </c>
      <c r="Q41" s="43">
        <f>P41*VARIABLES!$B$45</f>
        <v>150</v>
      </c>
      <c r="R41" s="43">
        <f>IF($A41&lt;VARIABLES!$B$42,0,(IF($A41=VARIABLES!$B$42,0,S40)+P41)*C41*VARIABLES!$B$46)</f>
        <v>334.3828913202035</v>
      </c>
      <c r="S41" s="43">
        <f>IF($A41&lt;VARIABLES!$B$42,0,(IF($A41=VARIABLES!$B$42,0,S40)+P41)*(1+C41)-R41)</f>
        <v>1618078.8110984645</v>
      </c>
      <c r="T41" s="44">
        <f>IF($A41&lt;VARIABLES!$B$50,0,MIN(VARIABLES!$B$49,INT(($A41-VARIABLES!$B$50)/VARIABLES!$B$51)+1))</f>
        <v>12</v>
      </c>
      <c r="U41" s="43">
        <f>T41*VARIABLES!$B$53+IF(AND($A41&gt;=VARIABLES!$B$50,MOD($A41-VARIABLES!$B$50,VARIABLES!$B$51)=0,($A41-VARIABLES!$B$50)/VARIABLES!$B$51&lt;VARIABLES!$B$49),VARIABLES!$B$52,0)</f>
        <v>60000</v>
      </c>
      <c r="V41" s="43">
        <f>U41*VARIABLES!$B$54</f>
        <v>450</v>
      </c>
      <c r="W41" s="43">
        <f>IF($A41&lt;VARIABLES!$B$50,0,(IF($A41&lt;VARIABLES!$B$50+1,0,X40)+U41)*C41*VARIABLES!$B$55)</f>
        <v>3971.0367240854089</v>
      </c>
      <c r="X41" s="43">
        <f>IF($A41&lt;VARIABLES!$B$50,0,(IF($A41&lt;VARIABLES!$B$50+1,0,X40)+U41)*(1+C41)-W41)</f>
        <v>4800983.3994192593</v>
      </c>
      <c r="Y41" s="43">
        <f t="shared" si="0"/>
        <v>320000</v>
      </c>
      <c r="Z41" s="43">
        <f t="shared" si="1"/>
        <v>2400</v>
      </c>
      <c r="AA41" s="43">
        <f t="shared" si="2"/>
        <v>25824.792899141059</v>
      </c>
      <c r="AB41" s="35">
        <f t="shared" si="3"/>
        <v>28224.792899141059</v>
      </c>
      <c r="AC41" s="36">
        <f t="shared" si="4"/>
        <v>46172695.078086659</v>
      </c>
      <c r="AD41" s="43">
        <f>IF($A41=1,VARIABLES!$B$12,0)</f>
        <v>0</v>
      </c>
      <c r="AE41" s="43">
        <f>IF($A41&lt;=3,VARIABLES!$B$13,IF($A41&lt;=6,VARIABLES!$B$14,VARIABLES!$B$15))</f>
        <v>40000</v>
      </c>
      <c r="AF41" s="43">
        <f>IF(MOD($A41,12)=0,AC41*VARIABLES!$B$16,0)</f>
        <v>0</v>
      </c>
      <c r="AG41" s="43">
        <f>VARIABLES!$B$17</f>
        <v>5000</v>
      </c>
      <c r="AH41" s="43">
        <f>IF(MOD($A41,12)=0,VARIABLES!$B$18,0)</f>
        <v>0</v>
      </c>
      <c r="AI41" s="37">
        <f t="shared" si="5"/>
        <v>45000</v>
      </c>
      <c r="AJ41" s="38">
        <f>IF($A41&lt;VARIABLES!$B$7,VARIABLES!$B$9,0)</f>
        <v>0</v>
      </c>
      <c r="AK41" s="45">
        <f t="shared" si="6"/>
        <v>-16775.207100858941</v>
      </c>
      <c r="AL41" s="45">
        <f t="shared" si="7"/>
        <v>-489891.27341847029</v>
      </c>
      <c r="AM41" s="40">
        <f t="shared" si="8"/>
        <v>957000.00000000047</v>
      </c>
    </row>
    <row r="42" spans="1:39" x14ac:dyDescent="0.2">
      <c r="A42" s="32">
        <v>39</v>
      </c>
      <c r="B42" s="32" t="str">
        <f>TEXT(DATE(VARIABLES!$B$59+INT((VARIABLES!$B$60+A42-2)/12),MOD(VARIABLES!$B$60+A42-2,12)+1,1),"mmm-yy")</f>
        <v>Aug-29</v>
      </c>
      <c r="C42" s="33">
        <f>IF($A42&lt;VARIABLES!$B$7,VARIABLES!$B$5/12,VARIABLES!$B$6/12)</f>
        <v>8.3333333333333332E-3</v>
      </c>
      <c r="D42" s="14">
        <f>IF($A42&lt;VARIABLES!$B$21,0,IF($A42=VARIABLES!$B$21,VARIABLES!$B$22+VARIABLES!$B$23,VARIABLES!$B$23))</f>
        <v>200000</v>
      </c>
      <c r="E42" s="14">
        <f>D42*VARIABLES!$B$24</f>
        <v>1500</v>
      </c>
      <c r="F42" s="14">
        <f>IF($A42&lt;VARIABLES!$B$21,0,(IF($A42=VARIABLES!$B$21,0,G41)+D42)*C42*VARIABLES!$B$25)</f>
        <v>3856.6312233867766</v>
      </c>
      <c r="G42" s="14">
        <f>IF($A42&lt;VARIABLES!$B$21,0,(IF($A42=VARIABLES!$B$21,0,G41)+D42)*(1+C42)-F42)</f>
        <v>18662238.489968613</v>
      </c>
      <c r="H42" s="14">
        <f>IF($A42&lt;VARIABLES!$B$28,0,IF($A42=VARIABLES!$B$28,VARIABLES!$B$29+VARIABLES!$B$30,VARIABLES!$B$30))</f>
        <v>40000</v>
      </c>
      <c r="I42" s="14">
        <f>H42*VARIABLES!$B$31</f>
        <v>300</v>
      </c>
      <c r="J42" s="14">
        <f>IF($A42&lt;VARIABLES!$B$28,0,(IF($A42=VARIABLES!$B$28,0,K41)+H42)*C42*VARIABLES!$B$32)</f>
        <v>2560.1885891756347</v>
      </c>
      <c r="K42" s="14">
        <f>IF($A42&lt;VARIABLES!$B$28,0,(IF($A42=VARIABLES!$B$28,0,K41)+H42)*(1+C42)-J42)</f>
        <v>3095268.0043133418</v>
      </c>
      <c r="L42" s="14">
        <f>IF($A42&lt;VARIABLES!$B$35,0,IF($A42=VARIABLES!$B$35,VARIABLES!$B$36+VARIABLES!$B$37,VARIABLES!$B$37))</f>
        <v>0</v>
      </c>
      <c r="M42" s="14">
        <f>L42*VARIABLES!$B$38</f>
        <v>0</v>
      </c>
      <c r="N42" s="14">
        <f>IF($A42&lt;VARIABLES!$B$35,0,(IF($A42=VARIABLES!$B$35,0,O41)+L42)*C42*VARIABLES!$B$39)</f>
        <v>15341.313906918045</v>
      </c>
      <c r="O42" s="14">
        <f>IF($A42&lt;VARIABLES!$B$35,0,(IF($A42=VARIABLES!$B$35,0,O41)+L42)*(1+C42)-N42)</f>
        <v>18547648.513463914</v>
      </c>
      <c r="P42" s="14">
        <f>IF($A42&lt;VARIABLES!$B$42,0,IF($A42=VARIABLES!$B$42,VARIABLES!$B$43+VARIABLES!$B$44,VARIABLES!$B$44))</f>
        <v>20000</v>
      </c>
      <c r="Q42" s="14">
        <f>P42*VARIABLES!$B$45</f>
        <v>150</v>
      </c>
      <c r="R42" s="14">
        <f>IF($A42&lt;VARIABLES!$B$42,0,(IF($A42=VARIABLES!$B$42,0,S41)+P42)*C42*VARIABLES!$B$46)</f>
        <v>341.26641897884679</v>
      </c>
      <c r="S42" s="14">
        <f>IF($A42&lt;VARIABLES!$B$42,0,(IF($A42=VARIABLES!$B$42,0,S41)+P42)*(1+C42)-R42)</f>
        <v>1651388.2014386395</v>
      </c>
      <c r="T42" s="34">
        <f>IF($A42&lt;VARIABLES!$B$50,0,MIN(VARIABLES!$B$49,INT(($A42-VARIABLES!$B$50)/VARIABLES!$B$51)+1))</f>
        <v>12</v>
      </c>
      <c r="U42" s="14">
        <f>T42*VARIABLES!$B$53+IF(AND($A42&gt;=VARIABLES!$B$50,MOD($A42-VARIABLES!$B$50,VARIABLES!$B$51)=0,($A42-VARIABLES!$B$50)/VARIABLES!$B$51&lt;VARIABLES!$B$49),VARIABLES!$B$52,0)</f>
        <v>60000</v>
      </c>
      <c r="V42" s="14">
        <f>U42*VARIABLES!$B$54</f>
        <v>450</v>
      </c>
      <c r="W42" s="14">
        <f>IF($A42&lt;VARIABLES!$B$50,0,(IF($A42&lt;VARIABLES!$B$50+1,0,X41)+U42)*C42*VARIABLES!$B$55)</f>
        <v>4050.8194995160493</v>
      </c>
      <c r="X42" s="14">
        <f>IF($A42&lt;VARIABLES!$B$50,0,(IF($A42&lt;VARIABLES!$B$50+1,0,X41)+U42)*(1+C42)-W42)</f>
        <v>4897440.7749149036</v>
      </c>
      <c r="Y42" s="14">
        <f t="shared" si="0"/>
        <v>320000</v>
      </c>
      <c r="Z42" s="14">
        <f t="shared" si="1"/>
        <v>2400</v>
      </c>
      <c r="AA42" s="14">
        <f t="shared" si="2"/>
        <v>26150.219637975355</v>
      </c>
      <c r="AB42" s="35">
        <f t="shared" si="3"/>
        <v>28550.219637975355</v>
      </c>
      <c r="AC42" s="36">
        <f t="shared" si="4"/>
        <v>46853983.984099418</v>
      </c>
      <c r="AD42" s="14">
        <f>IF($A42=1,VARIABLES!$B$12,0)</f>
        <v>0</v>
      </c>
      <c r="AE42" s="14">
        <f>IF($A42&lt;=3,VARIABLES!$B$13,IF($A42&lt;=6,VARIABLES!$B$14,VARIABLES!$B$15))</f>
        <v>40000</v>
      </c>
      <c r="AF42" s="14">
        <f>IF(MOD($A42,12)=0,AC42*VARIABLES!$B$16,0)</f>
        <v>0</v>
      </c>
      <c r="AG42" s="14">
        <f>VARIABLES!$B$17</f>
        <v>5000</v>
      </c>
      <c r="AH42" s="14">
        <f>IF(MOD($A42,12)=0,VARIABLES!$B$18,0)</f>
        <v>0</v>
      </c>
      <c r="AI42" s="37">
        <f t="shared" si="5"/>
        <v>45000</v>
      </c>
      <c r="AJ42" s="38">
        <f>IF($A42&lt;VARIABLES!$B$7,VARIABLES!$B$9,0)</f>
        <v>0</v>
      </c>
      <c r="AK42" s="39">
        <f t="shared" si="6"/>
        <v>-16449.780362024645</v>
      </c>
      <c r="AL42" s="39">
        <f t="shared" si="7"/>
        <v>-506341.05378049496</v>
      </c>
      <c r="AM42" s="40">
        <f t="shared" si="8"/>
        <v>957000.00000000047</v>
      </c>
    </row>
    <row r="43" spans="1:39" x14ac:dyDescent="0.2">
      <c r="A43" s="41">
        <v>40</v>
      </c>
      <c r="B43" s="41" t="str">
        <f>TEXT(DATE(VARIABLES!$B$59+INT((VARIABLES!$B$60+A43-2)/12),MOD(VARIABLES!$B$60+A43-2,12)+1,1),"mmm-yy")</f>
        <v>Sept-29</v>
      </c>
      <c r="C43" s="42">
        <f>IF($A43&lt;VARIABLES!$B$7,VARIABLES!$B$5/12,VARIABLES!$B$6/12)</f>
        <v>8.3333333333333332E-3</v>
      </c>
      <c r="D43" s="43">
        <f>IF($A43&lt;VARIABLES!$B$21,0,IF($A43=VARIABLES!$B$21,VARIABLES!$B$22+VARIABLES!$B$23,VARIABLES!$B$23))</f>
        <v>200000</v>
      </c>
      <c r="E43" s="43">
        <f>D43*VARIABLES!$B$24</f>
        <v>1500</v>
      </c>
      <c r="F43" s="43">
        <f>IF($A43&lt;VARIABLES!$B$21,0,(IF($A43=VARIABLES!$B$21,0,G42)+D43)*C43*VARIABLES!$B$25)</f>
        <v>3929.633018743461</v>
      </c>
      <c r="G43" s="43">
        <f>IF($A43&lt;VARIABLES!$B$21,0,(IF($A43=VARIABLES!$B$21,0,G42)+D43)*(1+C43)-F43)</f>
        <v>19015494.177699607</v>
      </c>
      <c r="H43" s="43">
        <f>IF($A43&lt;VARIABLES!$B$28,0,IF($A43=VARIABLES!$B$28,VARIABLES!$B$29+VARIABLES!$B$30,VARIABLES!$B$30))</f>
        <v>40000</v>
      </c>
      <c r="I43" s="43">
        <f>H43*VARIABLES!$B$31</f>
        <v>300</v>
      </c>
      <c r="J43" s="43">
        <f>IF($A43&lt;VARIABLES!$B$28,0,(IF($A43=VARIABLES!$B$28,0,K42)+H43)*C43*VARIABLES!$B$32)</f>
        <v>2612.7233369277851</v>
      </c>
      <c r="K43" s="43">
        <f>IF($A43&lt;VARIABLES!$B$28,0,(IF($A43=VARIABLES!$B$28,0,K42)+H43)*(1+C43)-J43)</f>
        <v>3158782.514345692</v>
      </c>
      <c r="L43" s="43">
        <f>IF($A43&lt;VARIABLES!$B$35,0,IF($A43=VARIABLES!$B$35,VARIABLES!$B$36+VARIABLES!$B$37,VARIABLES!$B$37))</f>
        <v>0</v>
      </c>
      <c r="M43" s="43">
        <f>L43*VARIABLES!$B$38</f>
        <v>0</v>
      </c>
      <c r="N43" s="43">
        <f>IF($A43&lt;VARIABLES!$B$35,0,(IF($A43=VARIABLES!$B$35,0,O42)+L43)*C43*VARIABLES!$B$39)</f>
        <v>15456.373761219927</v>
      </c>
      <c r="O43" s="43">
        <f>IF($A43&lt;VARIABLES!$B$35,0,(IF($A43=VARIABLES!$B$35,0,O42)+L43)*(1+C43)-N43)</f>
        <v>18686755.877314892</v>
      </c>
      <c r="P43" s="43">
        <f>IF($A43&lt;VARIABLES!$B$42,0,IF($A43=VARIABLES!$B$42,VARIABLES!$B$43+VARIABLES!$B$44,VARIABLES!$B$44))</f>
        <v>20000</v>
      </c>
      <c r="Q43" s="43">
        <f>P43*VARIABLES!$B$45</f>
        <v>150</v>
      </c>
      <c r="R43" s="43">
        <f>IF($A43&lt;VARIABLES!$B$42,0,(IF($A43=VARIABLES!$B$42,0,S42)+P43)*C43*VARIABLES!$B$46)</f>
        <v>348.20587529971658</v>
      </c>
      <c r="S43" s="43">
        <f>IF($A43&lt;VARIABLES!$B$42,0,(IF($A43=VARIABLES!$B$42,0,S42)+P43)*(1+C43)-R43)</f>
        <v>1684968.2305753285</v>
      </c>
      <c r="T43" s="44">
        <f>IF($A43&lt;VARIABLES!$B$50,0,MIN(VARIABLES!$B$49,INT(($A43-VARIABLES!$B$50)/VARIABLES!$B$51)+1))</f>
        <v>12</v>
      </c>
      <c r="U43" s="43">
        <f>T43*VARIABLES!$B$53+IF(AND($A43&gt;=VARIABLES!$B$50,MOD($A43-VARIABLES!$B$50,VARIABLES!$B$51)=0,($A43-VARIABLES!$B$50)/VARIABLES!$B$51&lt;VARIABLES!$B$49),VARIABLES!$B$52,0)</f>
        <v>60000</v>
      </c>
      <c r="V43" s="43">
        <f>U43*VARIABLES!$B$54</f>
        <v>450</v>
      </c>
      <c r="W43" s="43">
        <f>IF($A43&lt;VARIABLES!$B$50,0,(IF($A43&lt;VARIABLES!$B$50+1,0,X42)+U43)*C43*VARIABLES!$B$55)</f>
        <v>4131.2006457624193</v>
      </c>
      <c r="X43" s="43">
        <f>IF($A43&lt;VARIABLES!$B$50,0,(IF($A43&lt;VARIABLES!$B$50+1,0,X42)+U43)*(1+C43)-W43)</f>
        <v>4994621.5807267651</v>
      </c>
      <c r="Y43" s="43">
        <f t="shared" si="0"/>
        <v>320000</v>
      </c>
      <c r="Z43" s="43">
        <f t="shared" si="1"/>
        <v>2400</v>
      </c>
      <c r="AA43" s="43">
        <f t="shared" si="2"/>
        <v>26478.13663795331</v>
      </c>
      <c r="AB43" s="35">
        <f t="shared" si="3"/>
        <v>28878.13663795331</v>
      </c>
      <c r="AC43" s="36">
        <f t="shared" si="4"/>
        <v>47540622.380662285</v>
      </c>
      <c r="AD43" s="43">
        <f>IF($A43=1,VARIABLES!$B$12,0)</f>
        <v>0</v>
      </c>
      <c r="AE43" s="43">
        <f>IF($A43&lt;=3,VARIABLES!$B$13,IF($A43&lt;=6,VARIABLES!$B$14,VARIABLES!$B$15))</f>
        <v>40000</v>
      </c>
      <c r="AF43" s="43">
        <f>IF(MOD($A43,12)=0,AC43*VARIABLES!$B$16,0)</f>
        <v>0</v>
      </c>
      <c r="AG43" s="43">
        <f>VARIABLES!$B$17</f>
        <v>5000</v>
      </c>
      <c r="AH43" s="43">
        <f>IF(MOD($A43,12)=0,VARIABLES!$B$18,0)</f>
        <v>0</v>
      </c>
      <c r="AI43" s="37">
        <f t="shared" si="5"/>
        <v>45000</v>
      </c>
      <c r="AJ43" s="38">
        <f>IF($A43&lt;VARIABLES!$B$7,VARIABLES!$B$9,0)</f>
        <v>0</v>
      </c>
      <c r="AK43" s="45">
        <f t="shared" si="6"/>
        <v>-16121.86336204669</v>
      </c>
      <c r="AL43" s="45">
        <f t="shared" si="7"/>
        <v>-522462.91714254167</v>
      </c>
      <c r="AM43" s="40">
        <f t="shared" si="8"/>
        <v>957000.00000000047</v>
      </c>
    </row>
    <row r="44" spans="1:39" x14ac:dyDescent="0.2">
      <c r="A44" s="32">
        <v>41</v>
      </c>
      <c r="B44" s="32" t="str">
        <f>TEXT(DATE(VARIABLES!$B$59+INT((VARIABLES!$B$60+A44-2)/12),MOD(VARIABLES!$B$60+A44-2,12)+1,1),"mmm-yy")</f>
        <v>Oct-29</v>
      </c>
      <c r="C44" s="33">
        <f>IF($A44&lt;VARIABLES!$B$7,VARIABLES!$B$5/12,VARIABLES!$B$6/12)</f>
        <v>8.3333333333333332E-3</v>
      </c>
      <c r="D44" s="14">
        <f>IF($A44&lt;VARIABLES!$B$21,0,IF($A44=VARIABLES!$B$21,VARIABLES!$B$22+VARIABLES!$B$23,VARIABLES!$B$23))</f>
        <v>200000</v>
      </c>
      <c r="E44" s="14">
        <f>D44*VARIABLES!$B$24</f>
        <v>1500</v>
      </c>
      <c r="F44" s="14">
        <f>IF($A44&lt;VARIABLES!$B$21,0,(IF($A44=VARIABLES!$B$21,0,G43)+D44)*C44*VARIABLES!$B$25)</f>
        <v>4003.227953687418</v>
      </c>
      <c r="G44" s="14">
        <f>IF($A44&lt;VARIABLES!$B$21,0,(IF($A44=VARIABLES!$B$21,0,G43)+D44)*(1+C44)-F44)</f>
        <v>19371620.067893416</v>
      </c>
      <c r="H44" s="14">
        <f>IF($A44&lt;VARIABLES!$B$28,0,IF($A44=VARIABLES!$B$28,VARIABLES!$B$29+VARIABLES!$B$30,VARIABLES!$B$30))</f>
        <v>40000</v>
      </c>
      <c r="I44" s="14">
        <f>H44*VARIABLES!$B$31</f>
        <v>300</v>
      </c>
      <c r="J44" s="14">
        <f>IF($A44&lt;VARIABLES!$B$28,0,(IF($A44=VARIABLES!$B$28,0,K43)+H44)*C44*VARIABLES!$B$32)</f>
        <v>2665.6520952880765</v>
      </c>
      <c r="K44" s="14">
        <f>IF($A44&lt;VARIABLES!$B$28,0,(IF($A44=VARIABLES!$B$28,0,K43)+H44)*(1+C44)-J44)</f>
        <v>3222773.3832032848</v>
      </c>
      <c r="L44" s="14">
        <f>IF($A44&lt;VARIABLES!$B$35,0,IF($A44=VARIABLES!$B$35,VARIABLES!$B$36+VARIABLES!$B$37,VARIABLES!$B$37))</f>
        <v>0</v>
      </c>
      <c r="M44" s="14">
        <f>L44*VARIABLES!$B$38</f>
        <v>0</v>
      </c>
      <c r="N44" s="14">
        <f>IF($A44&lt;VARIABLES!$B$35,0,(IF($A44=VARIABLES!$B$35,0,O43)+L44)*C44*VARIABLES!$B$39)</f>
        <v>15572.296564429076</v>
      </c>
      <c r="O44" s="14">
        <f>IF($A44&lt;VARIABLES!$B$35,0,(IF($A44=VARIABLES!$B$35,0,O43)+L44)*(1+C44)-N44)</f>
        <v>18826906.54639475</v>
      </c>
      <c r="P44" s="14">
        <f>IF($A44&lt;VARIABLES!$B$42,0,IF($A44=VARIABLES!$B$42,VARIABLES!$B$43+VARIABLES!$B$44,VARIABLES!$B$44))</f>
        <v>20000</v>
      </c>
      <c r="Q44" s="14">
        <f>P44*VARIABLES!$B$45</f>
        <v>150</v>
      </c>
      <c r="R44" s="14">
        <f>IF($A44&lt;VARIABLES!$B$42,0,(IF($A44=VARIABLES!$B$42,0,S43)+P44)*C44*VARIABLES!$B$46)</f>
        <v>355.20171470319343</v>
      </c>
      <c r="S44" s="14">
        <f>IF($A44&lt;VARIABLES!$B$42,0,(IF($A44=VARIABLES!$B$42,0,S43)+P44)*(1+C44)-R44)</f>
        <v>1718821.097448753</v>
      </c>
      <c r="T44" s="34">
        <f>IF($A44&lt;VARIABLES!$B$50,0,MIN(VARIABLES!$B$49,INT(($A44-VARIABLES!$B$50)/VARIABLES!$B$51)+1))</f>
        <v>12</v>
      </c>
      <c r="U44" s="14">
        <f>T44*VARIABLES!$B$53+IF(AND($A44&gt;=VARIABLES!$B$50,MOD($A44-VARIABLES!$B$50,VARIABLES!$B$51)=0,($A44-VARIABLES!$B$50)/VARIABLES!$B$51&lt;VARIABLES!$B$49),VARIABLES!$B$52,0)</f>
        <v>60000</v>
      </c>
      <c r="V44" s="14">
        <f>U44*VARIABLES!$B$54</f>
        <v>450</v>
      </c>
      <c r="W44" s="14">
        <f>IF($A44&lt;VARIABLES!$B$50,0,(IF($A44&lt;VARIABLES!$B$50+1,0,X43)+U44)*C44*VARIABLES!$B$55)</f>
        <v>4212.1846506056381</v>
      </c>
      <c r="X44" s="14">
        <f>IF($A44&lt;VARIABLES!$B$50,0,(IF($A44&lt;VARIABLES!$B$50+1,0,X43)+U44)*(1+C44)-W44)</f>
        <v>5092531.2425822159</v>
      </c>
      <c r="Y44" s="14">
        <f t="shared" si="0"/>
        <v>320000</v>
      </c>
      <c r="Z44" s="14">
        <f t="shared" si="1"/>
        <v>2400</v>
      </c>
      <c r="AA44" s="14">
        <f t="shared" si="2"/>
        <v>26808.562978713402</v>
      </c>
      <c r="AB44" s="35">
        <f t="shared" si="3"/>
        <v>29208.562978713402</v>
      </c>
      <c r="AC44" s="36">
        <f t="shared" si="4"/>
        <v>48232652.337522417</v>
      </c>
      <c r="AD44" s="14">
        <f>IF($A44=1,VARIABLES!$B$12,0)</f>
        <v>0</v>
      </c>
      <c r="AE44" s="14">
        <f>IF($A44&lt;=3,VARIABLES!$B$13,IF($A44&lt;=6,VARIABLES!$B$14,VARIABLES!$B$15))</f>
        <v>40000</v>
      </c>
      <c r="AF44" s="14">
        <f>IF(MOD($A44,12)=0,AC44*VARIABLES!$B$16,0)</f>
        <v>0</v>
      </c>
      <c r="AG44" s="14">
        <f>VARIABLES!$B$17</f>
        <v>5000</v>
      </c>
      <c r="AH44" s="14">
        <f>IF(MOD($A44,12)=0,VARIABLES!$B$18,0)</f>
        <v>0</v>
      </c>
      <c r="AI44" s="37">
        <f t="shared" si="5"/>
        <v>45000</v>
      </c>
      <c r="AJ44" s="38">
        <f>IF($A44&lt;VARIABLES!$B$7,VARIABLES!$B$9,0)</f>
        <v>0</v>
      </c>
      <c r="AK44" s="39">
        <f t="shared" si="6"/>
        <v>-15791.437021286598</v>
      </c>
      <c r="AL44" s="39">
        <f t="shared" si="7"/>
        <v>-538254.35416382831</v>
      </c>
      <c r="AM44" s="40">
        <f t="shared" si="8"/>
        <v>957000.00000000047</v>
      </c>
    </row>
    <row r="45" spans="1:39" x14ac:dyDescent="0.2">
      <c r="A45" s="41">
        <v>42</v>
      </c>
      <c r="B45" s="41" t="str">
        <f>TEXT(DATE(VARIABLES!$B$59+INT((VARIABLES!$B$60+A45-2)/12),MOD(VARIABLES!$B$60+A45-2,12)+1,1),"mmm-yy")</f>
        <v>Nov-29</v>
      </c>
      <c r="C45" s="42">
        <f>IF($A45&lt;VARIABLES!$B$7,VARIABLES!$B$5/12,VARIABLES!$B$6/12)</f>
        <v>8.3333333333333332E-3</v>
      </c>
      <c r="D45" s="43">
        <f>IF($A45&lt;VARIABLES!$B$21,0,IF($A45=VARIABLES!$B$21,VARIABLES!$B$22+VARIABLES!$B$23,VARIABLES!$B$23))</f>
        <v>200000</v>
      </c>
      <c r="E45" s="43">
        <f>D45*VARIABLES!$B$24</f>
        <v>1500</v>
      </c>
      <c r="F45" s="43">
        <f>IF($A45&lt;VARIABLES!$B$21,0,(IF($A45=VARIABLES!$B$21,0,G44)+D45)*C45*VARIABLES!$B$25)</f>
        <v>4077.4208474777952</v>
      </c>
      <c r="G45" s="43">
        <f>IF($A45&lt;VARIABLES!$B$21,0,(IF($A45=VARIABLES!$B$21,0,G44)+D45)*(1+C45)-F45)</f>
        <v>19730639.480945047</v>
      </c>
      <c r="H45" s="43">
        <f>IF($A45&lt;VARIABLES!$B$28,0,IF($A45=VARIABLES!$B$28,VARIABLES!$B$29+VARIABLES!$B$30,VARIABLES!$B$30))</f>
        <v>40000</v>
      </c>
      <c r="I45" s="43">
        <f>H45*VARIABLES!$B$31</f>
        <v>300</v>
      </c>
      <c r="J45" s="43">
        <f>IF($A45&lt;VARIABLES!$B$28,0,(IF($A45=VARIABLES!$B$28,0,K44)+H45)*C45*VARIABLES!$B$32)</f>
        <v>2718.9778193360708</v>
      </c>
      <c r="K45" s="43">
        <f>IF($A45&lt;VARIABLES!$B$28,0,(IF($A45=VARIABLES!$B$28,0,K44)+H45)*(1+C45)-J45)</f>
        <v>3287244.1835773094</v>
      </c>
      <c r="L45" s="43">
        <f>IF($A45&lt;VARIABLES!$B$35,0,IF($A45=VARIABLES!$B$35,VARIABLES!$B$36+VARIABLES!$B$37,VARIABLES!$B$37))</f>
        <v>0</v>
      </c>
      <c r="M45" s="43">
        <f>L45*VARIABLES!$B$38</f>
        <v>0</v>
      </c>
      <c r="N45" s="43">
        <f>IF($A45&lt;VARIABLES!$B$35,0,(IF($A45=VARIABLES!$B$35,0,O44)+L45)*C45*VARIABLES!$B$39)</f>
        <v>15689.088788662293</v>
      </c>
      <c r="O45" s="43">
        <f>IF($A45&lt;VARIABLES!$B$35,0,(IF($A45=VARIABLES!$B$35,0,O44)+L45)*(1+C45)-N45)</f>
        <v>18968108.345492709</v>
      </c>
      <c r="P45" s="43">
        <f>IF($A45&lt;VARIABLES!$B$42,0,IF($A45=VARIABLES!$B$42,VARIABLES!$B$43+VARIABLES!$B$44,VARIABLES!$B$44))</f>
        <v>20000</v>
      </c>
      <c r="Q45" s="43">
        <f>P45*VARIABLES!$B$45</f>
        <v>150</v>
      </c>
      <c r="R45" s="43">
        <f>IF($A45&lt;VARIABLES!$B$42,0,(IF($A45=VARIABLES!$B$42,0,S44)+P45)*C45*VARIABLES!$B$46)</f>
        <v>362.25439530182354</v>
      </c>
      <c r="S45" s="43">
        <f>IF($A45&lt;VARIABLES!$B$42,0,(IF($A45=VARIABLES!$B$42,0,S44)+P45)*(1+C45)-R45)</f>
        <v>1752949.0188655239</v>
      </c>
      <c r="T45" s="44">
        <f>IF($A45&lt;VARIABLES!$B$50,0,MIN(VARIABLES!$B$49,INT(($A45-VARIABLES!$B$50)/VARIABLES!$B$51)+1))</f>
        <v>12</v>
      </c>
      <c r="U45" s="43">
        <f>T45*VARIABLES!$B$53+IF(AND($A45&gt;=VARIABLES!$B$50,MOD($A45-VARIABLES!$B$50,VARIABLES!$B$51)=0,($A45-VARIABLES!$B$50)/VARIABLES!$B$51&lt;VARIABLES!$B$49),VARIABLES!$B$52,0)</f>
        <v>60000</v>
      </c>
      <c r="V45" s="43">
        <f>U45*VARIABLES!$B$54</f>
        <v>450</v>
      </c>
      <c r="W45" s="43">
        <f>IF($A45&lt;VARIABLES!$B$50,0,(IF($A45&lt;VARIABLES!$B$50+1,0,X44)+U45)*C45*VARIABLES!$B$55)</f>
        <v>4293.7760354851807</v>
      </c>
      <c r="X45" s="43">
        <f>IF($A45&lt;VARIABLES!$B$50,0,(IF($A45&lt;VARIABLES!$B$50+1,0,X44)+U45)*(1+C45)-W45)</f>
        <v>5191175.2269015824</v>
      </c>
      <c r="Y45" s="43">
        <f t="shared" si="0"/>
        <v>320000</v>
      </c>
      <c r="Z45" s="43">
        <f t="shared" si="1"/>
        <v>2400</v>
      </c>
      <c r="AA45" s="43">
        <f t="shared" si="2"/>
        <v>27141.517886263166</v>
      </c>
      <c r="AB45" s="35">
        <f t="shared" si="3"/>
        <v>29541.517886263166</v>
      </c>
      <c r="AC45" s="36">
        <f t="shared" si="4"/>
        <v>48930116.25578218</v>
      </c>
      <c r="AD45" s="43">
        <f>IF($A45=1,VARIABLES!$B$12,0)</f>
        <v>0</v>
      </c>
      <c r="AE45" s="43">
        <f>IF($A45&lt;=3,VARIABLES!$B$13,IF($A45&lt;=6,VARIABLES!$B$14,VARIABLES!$B$15))</f>
        <v>40000</v>
      </c>
      <c r="AF45" s="43">
        <f>IF(MOD($A45,12)=0,AC45*VARIABLES!$B$16,0)</f>
        <v>0</v>
      </c>
      <c r="AG45" s="43">
        <f>VARIABLES!$B$17</f>
        <v>5000</v>
      </c>
      <c r="AH45" s="43">
        <f>IF(MOD($A45,12)=0,VARIABLES!$B$18,0)</f>
        <v>0</v>
      </c>
      <c r="AI45" s="37">
        <f t="shared" si="5"/>
        <v>45000</v>
      </c>
      <c r="AJ45" s="38">
        <f>IF($A45&lt;VARIABLES!$B$7,VARIABLES!$B$9,0)</f>
        <v>0</v>
      </c>
      <c r="AK45" s="45">
        <f t="shared" si="6"/>
        <v>-15458.482113736834</v>
      </c>
      <c r="AL45" s="45">
        <f t="shared" si="7"/>
        <v>-553712.8362775651</v>
      </c>
      <c r="AM45" s="40">
        <f t="shared" si="8"/>
        <v>957000.00000000047</v>
      </c>
    </row>
    <row r="46" spans="1:39" x14ac:dyDescent="0.2">
      <c r="A46" s="32">
        <v>43</v>
      </c>
      <c r="B46" s="32" t="str">
        <f>TEXT(DATE(VARIABLES!$B$59+INT((VARIABLES!$B$60+A46-2)/12),MOD(VARIABLES!$B$60+A46-2,12)+1,1),"mmm-yy")</f>
        <v>Dec-29</v>
      </c>
      <c r="C46" s="33">
        <f>IF($A46&lt;VARIABLES!$B$7,VARIABLES!$B$5/12,VARIABLES!$B$6/12)</f>
        <v>8.3333333333333332E-3</v>
      </c>
      <c r="D46" s="14">
        <f>IF($A46&lt;VARIABLES!$B$21,0,IF($A46=VARIABLES!$B$21,VARIABLES!$B$22+VARIABLES!$B$23,VARIABLES!$B$23))</f>
        <v>200000</v>
      </c>
      <c r="E46" s="14">
        <f>D46*VARIABLES!$B$24</f>
        <v>1500</v>
      </c>
      <c r="F46" s="14">
        <f>IF($A46&lt;VARIABLES!$B$21,0,(IF($A46=VARIABLES!$B$21,0,G45)+D46)*C46*VARIABLES!$B$25)</f>
        <v>4152.2165585302182</v>
      </c>
      <c r="G46" s="14">
        <f>IF($A46&lt;VARIABLES!$B$21,0,(IF($A46=VARIABLES!$B$21,0,G45)+D46)*(1+C46)-F46)</f>
        <v>20092575.926727723</v>
      </c>
      <c r="H46" s="14">
        <f>IF($A46&lt;VARIABLES!$B$28,0,IF($A46=VARIABLES!$B$28,VARIABLES!$B$29+VARIABLES!$B$30,VARIABLES!$B$30))</f>
        <v>40000</v>
      </c>
      <c r="I46" s="14">
        <f>H46*VARIABLES!$B$31</f>
        <v>300</v>
      </c>
      <c r="J46" s="14">
        <f>IF($A46&lt;VARIABLES!$B$28,0,(IF($A46=VARIABLES!$B$28,0,K45)+H46)*C46*VARIABLES!$B$32)</f>
        <v>2772.7034863144245</v>
      </c>
      <c r="K46" s="14">
        <f>IF($A46&lt;VARIABLES!$B$28,0,(IF($A46=VARIABLES!$B$28,0,K45)+H46)*(1+C46)-J46)</f>
        <v>3352198.514954139</v>
      </c>
      <c r="L46" s="14">
        <f>IF($A46&lt;VARIABLES!$B$35,0,IF($A46=VARIABLES!$B$35,VARIABLES!$B$36+VARIABLES!$B$37,VARIABLES!$B$37))</f>
        <v>0</v>
      </c>
      <c r="M46" s="14">
        <f>L46*VARIABLES!$B$38</f>
        <v>0</v>
      </c>
      <c r="N46" s="14">
        <f>IF($A46&lt;VARIABLES!$B$35,0,(IF($A46=VARIABLES!$B$35,0,O45)+L46)*C46*VARIABLES!$B$39)</f>
        <v>15806.756954577257</v>
      </c>
      <c r="O46" s="14">
        <f>IF($A46&lt;VARIABLES!$B$35,0,(IF($A46=VARIABLES!$B$35,0,O45)+L46)*(1+C46)-N46)</f>
        <v>19110369.158083905</v>
      </c>
      <c r="P46" s="14">
        <f>IF($A46&lt;VARIABLES!$B$42,0,IF($A46=VARIABLES!$B$42,VARIABLES!$B$43+VARIABLES!$B$44,VARIABLES!$B$44))</f>
        <v>20000</v>
      </c>
      <c r="Q46" s="14">
        <f>P46*VARIABLES!$B$45</f>
        <v>150</v>
      </c>
      <c r="R46" s="14">
        <f>IF($A46&lt;VARIABLES!$B$42,0,(IF($A46=VARIABLES!$B$42,0,S45)+P46)*C46*VARIABLES!$B$46)</f>
        <v>369.36437893031751</v>
      </c>
      <c r="S46" s="14">
        <f>IF($A46&lt;VARIABLES!$B$42,0,(IF($A46=VARIABLES!$B$42,0,S45)+P46)*(1+C46)-R46)</f>
        <v>1787354.2296438061</v>
      </c>
      <c r="T46" s="34">
        <f>IF($A46&lt;VARIABLES!$B$50,0,MIN(VARIABLES!$B$49,INT(($A46-VARIABLES!$B$50)/VARIABLES!$B$51)+1))</f>
        <v>12</v>
      </c>
      <c r="U46" s="14">
        <f>T46*VARIABLES!$B$53+IF(AND($A46&gt;=VARIABLES!$B$50,MOD($A46-VARIABLES!$B$50,VARIABLES!$B$51)=0,($A46-VARIABLES!$B$50)/VARIABLES!$B$51&lt;VARIABLES!$B$49),VARIABLES!$B$52,0)</f>
        <v>60000</v>
      </c>
      <c r="V46" s="14">
        <f>U46*VARIABLES!$B$54</f>
        <v>450</v>
      </c>
      <c r="W46" s="14">
        <f>IF($A46&lt;VARIABLES!$B$50,0,(IF($A46&lt;VARIABLES!$B$50+1,0,X45)+U46)*C46*VARIABLES!$B$55)</f>
        <v>4375.9793557513185</v>
      </c>
      <c r="X46" s="14">
        <f>IF($A46&lt;VARIABLES!$B$50,0,(IF($A46&lt;VARIABLES!$B$50+1,0,X45)+U46)*(1+C46)-W46)</f>
        <v>5290559.0411033435</v>
      </c>
      <c r="Y46" s="14">
        <f t="shared" si="0"/>
        <v>320000</v>
      </c>
      <c r="Z46" s="14">
        <f t="shared" si="1"/>
        <v>2400</v>
      </c>
      <c r="AA46" s="14">
        <f t="shared" si="2"/>
        <v>27477.020734103535</v>
      </c>
      <c r="AB46" s="35">
        <f t="shared" si="3"/>
        <v>29877.020734103535</v>
      </c>
      <c r="AC46" s="36">
        <f t="shared" si="4"/>
        <v>49633056.87051291</v>
      </c>
      <c r="AD46" s="14">
        <f>IF($A46=1,VARIABLES!$B$12,0)</f>
        <v>0</v>
      </c>
      <c r="AE46" s="14">
        <f>IF($A46&lt;=3,VARIABLES!$B$13,IF($A46&lt;=6,VARIABLES!$B$14,VARIABLES!$B$15))</f>
        <v>40000</v>
      </c>
      <c r="AF46" s="14">
        <f>IF(MOD($A46,12)=0,AC46*VARIABLES!$B$16,0)</f>
        <v>0</v>
      </c>
      <c r="AG46" s="14">
        <f>VARIABLES!$B$17</f>
        <v>5000</v>
      </c>
      <c r="AH46" s="14">
        <f>IF(MOD($A46,12)=0,VARIABLES!$B$18,0)</f>
        <v>0</v>
      </c>
      <c r="AI46" s="37">
        <f t="shared" si="5"/>
        <v>45000</v>
      </c>
      <c r="AJ46" s="38">
        <f>IF($A46&lt;VARIABLES!$B$7,VARIABLES!$B$9,0)</f>
        <v>0</v>
      </c>
      <c r="AK46" s="39">
        <f t="shared" si="6"/>
        <v>-15122.979265896465</v>
      </c>
      <c r="AL46" s="39">
        <f t="shared" si="7"/>
        <v>-568835.81554346159</v>
      </c>
      <c r="AM46" s="40">
        <f t="shared" si="8"/>
        <v>957000.00000000047</v>
      </c>
    </row>
    <row r="47" spans="1:39" x14ac:dyDescent="0.2">
      <c r="A47" s="41">
        <v>44</v>
      </c>
      <c r="B47" s="41" t="str">
        <f>TEXT(DATE(VARIABLES!$B$59+INT((VARIABLES!$B$60+A47-2)/12),MOD(VARIABLES!$B$60+A47-2,12)+1,1),"mmm-yy")</f>
        <v>Jan-30</v>
      </c>
      <c r="C47" s="42">
        <f>IF($A47&lt;VARIABLES!$B$7,VARIABLES!$B$5/12,VARIABLES!$B$6/12)</f>
        <v>8.3333333333333332E-3</v>
      </c>
      <c r="D47" s="43">
        <f>IF($A47&lt;VARIABLES!$B$21,0,IF($A47=VARIABLES!$B$21,VARIABLES!$B$22+VARIABLES!$B$23,VARIABLES!$B$23))</f>
        <v>200000</v>
      </c>
      <c r="E47" s="43">
        <f>D47*VARIABLES!$B$24</f>
        <v>1500</v>
      </c>
      <c r="F47" s="43">
        <f>IF($A47&lt;VARIABLES!$B$21,0,(IF($A47=VARIABLES!$B$21,0,G46)+D47)*C47*VARIABLES!$B$25)</f>
        <v>4227.6199847349426</v>
      </c>
      <c r="G47" s="43">
        <f>IF($A47&lt;VARIABLES!$B$21,0,(IF($A47=VARIABLES!$B$21,0,G46)+D47)*(1+C47)-F47)</f>
        <v>20457453.106132384</v>
      </c>
      <c r="H47" s="43">
        <f>IF($A47&lt;VARIABLES!$B$28,0,IF($A47=VARIABLES!$B$28,VARIABLES!$B$29+VARIABLES!$B$30,VARIABLES!$B$30))</f>
        <v>40000</v>
      </c>
      <c r="I47" s="43">
        <f>H47*VARIABLES!$B$31</f>
        <v>300</v>
      </c>
      <c r="J47" s="43">
        <f>IF($A47&lt;VARIABLES!$B$28,0,(IF($A47=VARIABLES!$B$28,0,K46)+H47)*C47*VARIABLES!$B$32)</f>
        <v>2826.8320957951159</v>
      </c>
      <c r="K47" s="43">
        <f>IF($A47&lt;VARIABLES!$B$28,0,(IF($A47=VARIABLES!$B$28,0,K46)+H47)*(1+C47)-J47)</f>
        <v>3417640.0038162949</v>
      </c>
      <c r="L47" s="43">
        <f>IF($A47&lt;VARIABLES!$B$35,0,IF($A47=VARIABLES!$B$35,VARIABLES!$B$36+VARIABLES!$B$37,VARIABLES!$B$37))</f>
        <v>0</v>
      </c>
      <c r="M47" s="43">
        <f>L47*VARIABLES!$B$38</f>
        <v>0</v>
      </c>
      <c r="N47" s="43">
        <f>IF($A47&lt;VARIABLES!$B$35,0,(IF($A47=VARIABLES!$B$35,0,O46)+L47)*C47*VARIABLES!$B$39)</f>
        <v>15925.307631736587</v>
      </c>
      <c r="O47" s="43">
        <f>IF($A47&lt;VARIABLES!$B$35,0,(IF($A47=VARIABLES!$B$35,0,O46)+L47)*(1+C47)-N47)</f>
        <v>19253696.926769536</v>
      </c>
      <c r="P47" s="43">
        <f>IF($A47&lt;VARIABLES!$B$42,0,IF($A47=VARIABLES!$B$42,VARIABLES!$B$43+VARIABLES!$B$44,VARIABLES!$B$44))</f>
        <v>20000</v>
      </c>
      <c r="Q47" s="43">
        <f>P47*VARIABLES!$B$45</f>
        <v>150</v>
      </c>
      <c r="R47" s="43">
        <f>IF($A47&lt;VARIABLES!$B$42,0,(IF($A47=VARIABLES!$B$42,0,S46)+P47)*C47*VARIABLES!$B$46)</f>
        <v>376.53213117579298</v>
      </c>
      <c r="S47" s="43">
        <f>IF($A47&lt;VARIABLES!$B$42,0,(IF($A47=VARIABLES!$B$42,0,S46)+P47)*(1+C47)-R47)</f>
        <v>1822038.982759662</v>
      </c>
      <c r="T47" s="44">
        <f>IF($A47&lt;VARIABLES!$B$50,0,MIN(VARIABLES!$B$49,INT(($A47-VARIABLES!$B$50)/VARIABLES!$B$51)+1))</f>
        <v>12</v>
      </c>
      <c r="U47" s="43">
        <f>T47*VARIABLES!$B$53+IF(AND($A47&gt;=VARIABLES!$B$50,MOD($A47-VARIABLES!$B$50,VARIABLES!$B$51)=0,($A47-VARIABLES!$B$50)/VARIABLES!$B$51&lt;VARIABLES!$B$49),VARIABLES!$B$52,0)</f>
        <v>60000</v>
      </c>
      <c r="V47" s="43">
        <f>U47*VARIABLES!$B$54</f>
        <v>450</v>
      </c>
      <c r="W47" s="43">
        <f>IF($A47&lt;VARIABLES!$B$50,0,(IF($A47&lt;VARIABLES!$B$50+1,0,X46)+U47)*C47*VARIABLES!$B$55)</f>
        <v>4458.7992009194531</v>
      </c>
      <c r="X47" s="43">
        <f>IF($A47&lt;VARIABLES!$B$50,0,(IF($A47&lt;VARIABLES!$B$50+1,0,X46)+U47)*(1+C47)-W47)</f>
        <v>5390688.2339116186</v>
      </c>
      <c r="Y47" s="43">
        <f t="shared" si="0"/>
        <v>320000</v>
      </c>
      <c r="Z47" s="43">
        <f t="shared" si="1"/>
        <v>2400</v>
      </c>
      <c r="AA47" s="43">
        <f t="shared" si="2"/>
        <v>27815.091044361892</v>
      </c>
      <c r="AB47" s="35">
        <f t="shared" si="3"/>
        <v>30215.091044361892</v>
      </c>
      <c r="AC47" s="36">
        <f t="shared" si="4"/>
        <v>50341517.2533895</v>
      </c>
      <c r="AD47" s="43">
        <f>IF($A47=1,VARIABLES!$B$12,0)</f>
        <v>0</v>
      </c>
      <c r="AE47" s="43">
        <f>IF($A47&lt;=3,VARIABLES!$B$13,IF($A47&lt;=6,VARIABLES!$B$14,VARIABLES!$B$15))</f>
        <v>40000</v>
      </c>
      <c r="AF47" s="43">
        <f>IF(MOD($A47,12)=0,AC47*VARIABLES!$B$16,0)</f>
        <v>0</v>
      </c>
      <c r="AG47" s="43">
        <f>VARIABLES!$B$17</f>
        <v>5000</v>
      </c>
      <c r="AH47" s="43">
        <f>IF(MOD($A47,12)=0,VARIABLES!$B$18,0)</f>
        <v>0</v>
      </c>
      <c r="AI47" s="37">
        <f t="shared" si="5"/>
        <v>45000</v>
      </c>
      <c r="AJ47" s="38">
        <f>IF($A47&lt;VARIABLES!$B$7,VARIABLES!$B$9,0)</f>
        <v>0</v>
      </c>
      <c r="AK47" s="45">
        <f t="shared" si="6"/>
        <v>-14784.908955638108</v>
      </c>
      <c r="AL47" s="45">
        <f t="shared" si="7"/>
        <v>-583620.72449909966</v>
      </c>
      <c r="AM47" s="40">
        <f t="shared" si="8"/>
        <v>957000.00000000047</v>
      </c>
    </row>
    <row r="48" spans="1:39" x14ac:dyDescent="0.2">
      <c r="A48" s="32">
        <v>45</v>
      </c>
      <c r="B48" s="32" t="str">
        <f>TEXT(DATE(VARIABLES!$B$59+INT((VARIABLES!$B$60+A48-2)/12),MOD(VARIABLES!$B$60+A48-2,12)+1,1),"mmm-yy")</f>
        <v>Feb-30</v>
      </c>
      <c r="C48" s="33">
        <f>IF($A48&lt;VARIABLES!$B$7,VARIABLES!$B$5/12,VARIABLES!$B$6/12)</f>
        <v>8.3333333333333332E-3</v>
      </c>
      <c r="D48" s="14">
        <f>IF($A48&lt;VARIABLES!$B$21,0,IF($A48=VARIABLES!$B$21,VARIABLES!$B$22+VARIABLES!$B$23,VARIABLES!$B$23))</f>
        <v>200000</v>
      </c>
      <c r="E48" s="14">
        <f>D48*VARIABLES!$B$24</f>
        <v>1500</v>
      </c>
      <c r="F48" s="14">
        <f>IF($A48&lt;VARIABLES!$B$21,0,(IF($A48=VARIABLES!$B$21,0,G47)+D48)*C48*VARIABLES!$B$25)</f>
        <v>4303.6360637775797</v>
      </c>
      <c r="G48" s="14">
        <f>IF($A48&lt;VARIABLES!$B$21,0,(IF($A48=VARIABLES!$B$21,0,G47)+D48)*(1+C48)-F48)</f>
        <v>20825294.91261971</v>
      </c>
      <c r="H48" s="14">
        <f>IF($A48&lt;VARIABLES!$B$28,0,IF($A48=VARIABLES!$B$28,VARIABLES!$B$29+VARIABLES!$B$30,VARIABLES!$B$30))</f>
        <v>40000</v>
      </c>
      <c r="I48" s="14">
        <f>H48*VARIABLES!$B$31</f>
        <v>300</v>
      </c>
      <c r="J48" s="14">
        <f>IF($A48&lt;VARIABLES!$B$28,0,(IF($A48=VARIABLES!$B$28,0,K47)+H48)*C48*VARIABLES!$B$32)</f>
        <v>2881.3666698469128</v>
      </c>
      <c r="K48" s="14">
        <f>IF($A48&lt;VARIABLES!$B$28,0,(IF($A48=VARIABLES!$B$28,0,K47)+H48)*(1+C48)-J48)</f>
        <v>3483572.3038449171</v>
      </c>
      <c r="L48" s="14">
        <f>IF($A48&lt;VARIABLES!$B$35,0,IF($A48=VARIABLES!$B$35,VARIABLES!$B$36+VARIABLES!$B$37,VARIABLES!$B$37))</f>
        <v>0</v>
      </c>
      <c r="M48" s="14">
        <f>L48*VARIABLES!$B$38</f>
        <v>0</v>
      </c>
      <c r="N48" s="14">
        <f>IF($A48&lt;VARIABLES!$B$35,0,(IF($A48=VARIABLES!$B$35,0,O47)+L48)*C48*VARIABLES!$B$39)</f>
        <v>16044.747438974615</v>
      </c>
      <c r="O48" s="14">
        <f>IF($A48&lt;VARIABLES!$B$35,0,(IF($A48=VARIABLES!$B$35,0,O47)+L48)*(1+C48)-N48)</f>
        <v>19398099.653720308</v>
      </c>
      <c r="P48" s="14">
        <f>IF($A48&lt;VARIABLES!$B$42,0,IF($A48=VARIABLES!$B$42,VARIABLES!$B$43+VARIABLES!$B$44,VARIABLES!$B$44))</f>
        <v>20000</v>
      </c>
      <c r="Q48" s="14">
        <f>P48*VARIABLES!$B$45</f>
        <v>150</v>
      </c>
      <c r="R48" s="14">
        <f>IF($A48&lt;VARIABLES!$B$42,0,(IF($A48=VARIABLES!$B$42,0,S47)+P48)*C48*VARIABLES!$B$46)</f>
        <v>383.75812140826292</v>
      </c>
      <c r="S48" s="14">
        <f>IF($A48&lt;VARIABLES!$B$42,0,(IF($A48=VARIABLES!$B$42,0,S47)+P48)*(1+C48)-R48)</f>
        <v>1857005.5494945841</v>
      </c>
      <c r="T48" s="34">
        <f>IF($A48&lt;VARIABLES!$B$50,0,MIN(VARIABLES!$B$49,INT(($A48-VARIABLES!$B$50)/VARIABLES!$B$51)+1))</f>
        <v>12</v>
      </c>
      <c r="U48" s="14">
        <f>T48*VARIABLES!$B$53+IF(AND($A48&gt;=VARIABLES!$B$50,MOD($A48-VARIABLES!$B$50,VARIABLES!$B$51)=0,($A48-VARIABLES!$B$50)/VARIABLES!$B$51&lt;VARIABLES!$B$49),VARIABLES!$B$52,0)</f>
        <v>60000</v>
      </c>
      <c r="V48" s="14">
        <f>U48*VARIABLES!$B$54</f>
        <v>450</v>
      </c>
      <c r="W48" s="14">
        <f>IF($A48&lt;VARIABLES!$B$50,0,(IF($A48&lt;VARIABLES!$B$50+1,0,X47)+U48)*C48*VARIABLES!$B$55)</f>
        <v>4542.2401949263494</v>
      </c>
      <c r="X48" s="14">
        <f>IF($A48&lt;VARIABLES!$B$50,0,(IF($A48&lt;VARIABLES!$B$50+1,0,X47)+U48)*(1+C48)-W48)</f>
        <v>5491568.3956659557</v>
      </c>
      <c r="Y48" s="14">
        <f t="shared" si="0"/>
        <v>320000</v>
      </c>
      <c r="Z48" s="14">
        <f t="shared" si="1"/>
        <v>2400</v>
      </c>
      <c r="AA48" s="14">
        <f t="shared" si="2"/>
        <v>28155.748488933721</v>
      </c>
      <c r="AB48" s="35">
        <f t="shared" si="3"/>
        <v>30555.748488933721</v>
      </c>
      <c r="AC48" s="36">
        <f t="shared" si="4"/>
        <v>51055540.815345481</v>
      </c>
      <c r="AD48" s="14">
        <f>IF($A48=1,VARIABLES!$B$12,0)</f>
        <v>0</v>
      </c>
      <c r="AE48" s="14">
        <f>IF($A48&lt;=3,VARIABLES!$B$13,IF($A48&lt;=6,VARIABLES!$B$14,VARIABLES!$B$15))</f>
        <v>40000</v>
      </c>
      <c r="AF48" s="14">
        <f>IF(MOD($A48,12)=0,AC48*VARIABLES!$B$16,0)</f>
        <v>0</v>
      </c>
      <c r="AG48" s="14">
        <f>VARIABLES!$B$17</f>
        <v>5000</v>
      </c>
      <c r="AH48" s="14">
        <f>IF(MOD($A48,12)=0,VARIABLES!$B$18,0)</f>
        <v>0</v>
      </c>
      <c r="AI48" s="37">
        <f t="shared" si="5"/>
        <v>45000</v>
      </c>
      <c r="AJ48" s="38">
        <f>IF($A48&lt;VARIABLES!$B$7,VARIABLES!$B$9,0)</f>
        <v>0</v>
      </c>
      <c r="AK48" s="39">
        <f t="shared" si="6"/>
        <v>-14444.251511066279</v>
      </c>
      <c r="AL48" s="39">
        <f t="shared" si="7"/>
        <v>-598064.97601016588</v>
      </c>
      <c r="AM48" s="40">
        <f t="shared" si="8"/>
        <v>957000.00000000047</v>
      </c>
    </row>
    <row r="49" spans="1:39" x14ac:dyDescent="0.2">
      <c r="A49" s="41">
        <v>46</v>
      </c>
      <c r="B49" s="41" t="str">
        <f>TEXT(DATE(VARIABLES!$B$59+INT((VARIABLES!$B$60+A49-2)/12),MOD(VARIABLES!$B$60+A49-2,12)+1,1),"mmm-yy")</f>
        <v>Mar-30</v>
      </c>
      <c r="C49" s="42">
        <f>IF($A49&lt;VARIABLES!$B$7,VARIABLES!$B$5/12,VARIABLES!$B$6/12)</f>
        <v>8.3333333333333332E-3</v>
      </c>
      <c r="D49" s="43">
        <f>IF($A49&lt;VARIABLES!$B$21,0,IF($A49=VARIABLES!$B$21,VARIABLES!$B$22+VARIABLES!$B$23,VARIABLES!$B$23))</f>
        <v>200000</v>
      </c>
      <c r="E49" s="43">
        <f>D49*VARIABLES!$B$24</f>
        <v>1500</v>
      </c>
      <c r="F49" s="43">
        <f>IF($A49&lt;VARIABLES!$B$21,0,(IF($A49=VARIABLES!$B$21,0,G48)+D49)*C49*VARIABLES!$B$25)</f>
        <v>4380.2697734624398</v>
      </c>
      <c r="G49" s="43">
        <f>IF($A49&lt;VARIABLES!$B$21,0,(IF($A49=VARIABLES!$B$21,0,G48)+D49)*(1+C49)-F49)</f>
        <v>21196125.433784746</v>
      </c>
      <c r="H49" s="43">
        <f>IF($A49&lt;VARIABLES!$B$28,0,IF($A49=VARIABLES!$B$28,VARIABLES!$B$29+VARIABLES!$B$30,VARIABLES!$B$30))</f>
        <v>40000</v>
      </c>
      <c r="I49" s="43">
        <f>H49*VARIABLES!$B$31</f>
        <v>300</v>
      </c>
      <c r="J49" s="43">
        <f>IF($A49&lt;VARIABLES!$B$28,0,(IF($A49=VARIABLES!$B$28,0,K48)+H49)*C49*VARIABLES!$B$32)</f>
        <v>2936.3102532040975</v>
      </c>
      <c r="K49" s="43">
        <f>IF($A49&lt;VARIABLES!$B$28,0,(IF($A49=VARIABLES!$B$28,0,K48)+H49)*(1+C49)-J49)</f>
        <v>3549999.0961237536</v>
      </c>
      <c r="L49" s="43">
        <f>IF($A49&lt;VARIABLES!$B$35,0,IF($A49=VARIABLES!$B$35,VARIABLES!$B$36+VARIABLES!$B$37,VARIABLES!$B$37))</f>
        <v>0</v>
      </c>
      <c r="M49" s="43">
        <f>L49*VARIABLES!$B$38</f>
        <v>0</v>
      </c>
      <c r="N49" s="43">
        <f>IF($A49&lt;VARIABLES!$B$35,0,(IF($A49=VARIABLES!$B$35,0,O48)+L49)*C49*VARIABLES!$B$39)</f>
        <v>16165.083044766923</v>
      </c>
      <c r="O49" s="43">
        <f>IF($A49&lt;VARIABLES!$B$35,0,(IF($A49=VARIABLES!$B$35,0,O48)+L49)*(1+C49)-N49)</f>
        <v>19543585.401123211</v>
      </c>
      <c r="P49" s="43">
        <f>IF($A49&lt;VARIABLES!$B$42,0,IF($A49=VARIABLES!$B$42,VARIABLES!$B$43+VARIABLES!$B$44,VARIABLES!$B$44))</f>
        <v>20000</v>
      </c>
      <c r="Q49" s="43">
        <f>P49*VARIABLES!$B$45</f>
        <v>150</v>
      </c>
      <c r="R49" s="43">
        <f>IF($A49&lt;VARIABLES!$B$42,0,(IF($A49=VARIABLES!$B$42,0,S48)+P49)*C49*VARIABLES!$B$46)</f>
        <v>391.04282281137171</v>
      </c>
      <c r="S49" s="43">
        <f>IF($A49&lt;VARIABLES!$B$42,0,(IF($A49=VARIABLES!$B$42,0,S48)+P49)*(1+C49)-R49)</f>
        <v>1892256.2195842275</v>
      </c>
      <c r="T49" s="44">
        <f>IF($A49&lt;VARIABLES!$B$50,0,MIN(VARIABLES!$B$49,INT(($A49-VARIABLES!$B$50)/VARIABLES!$B$51)+1))</f>
        <v>12</v>
      </c>
      <c r="U49" s="43">
        <f>T49*VARIABLES!$B$53+IF(AND($A49&gt;=VARIABLES!$B$50,MOD($A49-VARIABLES!$B$50,VARIABLES!$B$51)=0,($A49-VARIABLES!$B$50)/VARIABLES!$B$51&lt;VARIABLES!$B$49),VARIABLES!$B$52,0)</f>
        <v>60000</v>
      </c>
      <c r="V49" s="43">
        <f>U49*VARIABLES!$B$54</f>
        <v>450</v>
      </c>
      <c r="W49" s="43">
        <f>IF($A49&lt;VARIABLES!$B$50,0,(IF($A49&lt;VARIABLES!$B$50+1,0,X48)+U49)*C49*VARIABLES!$B$55)</f>
        <v>4626.3069963882963</v>
      </c>
      <c r="X49" s="43">
        <f>IF($A49&lt;VARIABLES!$B$50,0,(IF($A49&lt;VARIABLES!$B$50+1,0,X48)+U49)*(1+C49)-W49)</f>
        <v>5593205.15863345</v>
      </c>
      <c r="Y49" s="43">
        <f t="shared" si="0"/>
        <v>320000</v>
      </c>
      <c r="Z49" s="43">
        <f t="shared" si="1"/>
        <v>2400</v>
      </c>
      <c r="AA49" s="43">
        <f t="shared" si="2"/>
        <v>28499.012890633127</v>
      </c>
      <c r="AB49" s="35">
        <f t="shared" si="3"/>
        <v>30899.012890633127</v>
      </c>
      <c r="AC49" s="36">
        <f t="shared" si="4"/>
        <v>51775171.309249386</v>
      </c>
      <c r="AD49" s="43">
        <f>IF($A49=1,VARIABLES!$B$12,0)</f>
        <v>0</v>
      </c>
      <c r="AE49" s="43">
        <f>IF($A49&lt;=3,VARIABLES!$B$13,IF($A49&lt;=6,VARIABLES!$B$14,VARIABLES!$B$15))</f>
        <v>40000</v>
      </c>
      <c r="AF49" s="43">
        <f>IF(MOD($A49,12)=0,AC49*VARIABLES!$B$16,0)</f>
        <v>0</v>
      </c>
      <c r="AG49" s="43">
        <f>VARIABLES!$B$17</f>
        <v>5000</v>
      </c>
      <c r="AH49" s="43">
        <f>IF(MOD($A49,12)=0,VARIABLES!$B$18,0)</f>
        <v>0</v>
      </c>
      <c r="AI49" s="37">
        <f t="shared" si="5"/>
        <v>45000</v>
      </c>
      <c r="AJ49" s="38">
        <f>IF($A49&lt;VARIABLES!$B$7,VARIABLES!$B$9,0)</f>
        <v>0</v>
      </c>
      <c r="AK49" s="45">
        <f t="shared" si="6"/>
        <v>-14100.987109366873</v>
      </c>
      <c r="AL49" s="45">
        <f t="shared" si="7"/>
        <v>-612165.9631195328</v>
      </c>
      <c r="AM49" s="40">
        <f t="shared" si="8"/>
        <v>957000.00000000047</v>
      </c>
    </row>
    <row r="50" spans="1:39" x14ac:dyDescent="0.2">
      <c r="A50" s="32">
        <v>47</v>
      </c>
      <c r="B50" s="32" t="str">
        <f>TEXT(DATE(VARIABLES!$B$59+INT((VARIABLES!$B$60+A50-2)/12),MOD(VARIABLES!$B$60+A50-2,12)+1,1),"mmm-yy")</f>
        <v>Apr-30</v>
      </c>
      <c r="C50" s="33">
        <f>IF($A50&lt;VARIABLES!$B$7,VARIABLES!$B$5/12,VARIABLES!$B$6/12)</f>
        <v>8.3333333333333332E-3</v>
      </c>
      <c r="D50" s="14">
        <f>IF($A50&lt;VARIABLES!$B$21,0,IF($A50=VARIABLES!$B$21,VARIABLES!$B$22+VARIABLES!$B$23,VARIABLES!$B$23))</f>
        <v>200000</v>
      </c>
      <c r="E50" s="14">
        <f>D50*VARIABLES!$B$24</f>
        <v>1500</v>
      </c>
      <c r="F50" s="14">
        <f>IF($A50&lt;VARIABLES!$B$21,0,(IF($A50=VARIABLES!$B$21,0,G49)+D50)*C50*VARIABLES!$B$25)</f>
        <v>4457.5261320384889</v>
      </c>
      <c r="G50" s="14">
        <f>IF($A50&lt;VARIABLES!$B$21,0,(IF($A50=VARIABLES!$B$21,0,G49)+D50)*(1+C50)-F50)</f>
        <v>21569968.952934247</v>
      </c>
      <c r="H50" s="14">
        <f>IF($A50&lt;VARIABLES!$B$28,0,IF($A50=VARIABLES!$B$28,VARIABLES!$B$29+VARIABLES!$B$30,VARIABLES!$B$30))</f>
        <v>40000</v>
      </c>
      <c r="I50" s="14">
        <f>H50*VARIABLES!$B$31</f>
        <v>300</v>
      </c>
      <c r="J50" s="14">
        <f>IF($A50&lt;VARIABLES!$B$28,0,(IF($A50=VARIABLES!$B$28,0,K49)+H50)*C50*VARIABLES!$B$32)</f>
        <v>2991.6659134364618</v>
      </c>
      <c r="K50" s="14">
        <f>IF($A50&lt;VARIABLES!$B$28,0,(IF($A50=VARIABLES!$B$28,0,K49)+H50)*(1+C50)-J50)</f>
        <v>3616924.0893446817</v>
      </c>
      <c r="L50" s="14">
        <f>IF($A50&lt;VARIABLES!$B$35,0,IF($A50=VARIABLES!$B$35,VARIABLES!$B$36+VARIABLES!$B$37,VARIABLES!$B$37))</f>
        <v>0</v>
      </c>
      <c r="M50" s="14">
        <f>L50*VARIABLES!$B$38</f>
        <v>0</v>
      </c>
      <c r="N50" s="14">
        <f>IF($A50&lt;VARIABLES!$B$35,0,(IF($A50=VARIABLES!$B$35,0,O49)+L50)*C50*VARIABLES!$B$39)</f>
        <v>16286.321167602677</v>
      </c>
      <c r="O50" s="14">
        <f>IF($A50&lt;VARIABLES!$B$35,0,(IF($A50=VARIABLES!$B$35,0,O49)+L50)*(1+C50)-N50)</f>
        <v>19690162.291631635</v>
      </c>
      <c r="P50" s="14">
        <f>IF($A50&lt;VARIABLES!$B$42,0,IF($A50=VARIABLES!$B$42,VARIABLES!$B$43+VARIABLES!$B$44,VARIABLES!$B$44))</f>
        <v>20000</v>
      </c>
      <c r="Q50" s="14">
        <f>P50*VARIABLES!$B$45</f>
        <v>150</v>
      </c>
      <c r="R50" s="14">
        <f>IF($A50&lt;VARIABLES!$B$42,0,(IF($A50=VARIABLES!$B$42,0,S49)+P50)*C50*VARIABLES!$B$46)</f>
        <v>398.38671241338079</v>
      </c>
      <c r="S50" s="14">
        <f>IF($A50&lt;VARIABLES!$B$42,0,(IF($A50=VARIABLES!$B$42,0,S49)+P50)*(1+C50)-R50)</f>
        <v>1927793.3013683495</v>
      </c>
      <c r="T50" s="34">
        <f>IF($A50&lt;VARIABLES!$B$50,0,MIN(VARIABLES!$B$49,INT(($A50-VARIABLES!$B$50)/VARIABLES!$B$51)+1))</f>
        <v>12</v>
      </c>
      <c r="U50" s="14">
        <f>T50*VARIABLES!$B$53+IF(AND($A50&gt;=VARIABLES!$B$50,MOD($A50-VARIABLES!$B$50,VARIABLES!$B$51)=0,($A50-VARIABLES!$B$50)/VARIABLES!$B$51&lt;VARIABLES!$B$49),VARIABLES!$B$52,0)</f>
        <v>60000</v>
      </c>
      <c r="V50" s="14">
        <f>U50*VARIABLES!$B$54</f>
        <v>450</v>
      </c>
      <c r="W50" s="14">
        <f>IF($A50&lt;VARIABLES!$B$50,0,(IF($A50&lt;VARIABLES!$B$50+1,0,X49)+U50)*C50*VARIABLES!$B$55)</f>
        <v>4711.0042988612086</v>
      </c>
      <c r="X50" s="14">
        <f>IF($A50&lt;VARIABLES!$B$50,0,(IF($A50&lt;VARIABLES!$B$50+1,0,X49)+U50)*(1+C50)-W50)</f>
        <v>5695604.1973232012</v>
      </c>
      <c r="Y50" s="14">
        <f t="shared" si="0"/>
        <v>320000</v>
      </c>
      <c r="Z50" s="14">
        <f t="shared" si="1"/>
        <v>2400</v>
      </c>
      <c r="AA50" s="14">
        <f t="shared" si="2"/>
        <v>28844.904224352213</v>
      </c>
      <c r="AB50" s="35">
        <f t="shared" si="3"/>
        <v>31244.904224352213</v>
      </c>
      <c r="AC50" s="36">
        <f t="shared" si="4"/>
        <v>52500452.832602113</v>
      </c>
      <c r="AD50" s="14">
        <f>IF($A50=1,VARIABLES!$B$12,0)</f>
        <v>0</v>
      </c>
      <c r="AE50" s="14">
        <f>IF($A50&lt;=3,VARIABLES!$B$13,IF($A50&lt;=6,VARIABLES!$B$14,VARIABLES!$B$15))</f>
        <v>40000</v>
      </c>
      <c r="AF50" s="14">
        <f>IF(MOD($A50,12)=0,AC50*VARIABLES!$B$16,0)</f>
        <v>0</v>
      </c>
      <c r="AG50" s="14">
        <f>VARIABLES!$B$17</f>
        <v>5000</v>
      </c>
      <c r="AH50" s="14">
        <f>IF(MOD($A50,12)=0,VARIABLES!$B$18,0)</f>
        <v>0</v>
      </c>
      <c r="AI50" s="37">
        <f t="shared" si="5"/>
        <v>45000</v>
      </c>
      <c r="AJ50" s="38">
        <f>IF($A50&lt;VARIABLES!$B$7,VARIABLES!$B$9,0)</f>
        <v>0</v>
      </c>
      <c r="AK50" s="39">
        <f t="shared" si="6"/>
        <v>-13755.095775647787</v>
      </c>
      <c r="AL50" s="39">
        <f t="shared" si="7"/>
        <v>-625921.05889518058</v>
      </c>
      <c r="AM50" s="40">
        <f t="shared" si="8"/>
        <v>957000.00000000047</v>
      </c>
    </row>
    <row r="51" spans="1:39" x14ac:dyDescent="0.2">
      <c r="A51" s="41">
        <v>48</v>
      </c>
      <c r="B51" s="41" t="str">
        <f>TEXT(DATE(VARIABLES!$B$59+INT((VARIABLES!$B$60+A51-2)/12),MOD(VARIABLES!$B$60+A51-2,12)+1,1),"mmm-yy")</f>
        <v>May-30</v>
      </c>
      <c r="C51" s="42">
        <f>IF($A51&lt;VARIABLES!$B$7,VARIABLES!$B$5/12,VARIABLES!$B$6/12)</f>
        <v>8.3333333333333332E-3</v>
      </c>
      <c r="D51" s="43">
        <f>IF($A51&lt;VARIABLES!$B$21,0,IF($A51=VARIABLES!$B$21,VARIABLES!$B$22+VARIABLES!$B$23,VARIABLES!$B$23))</f>
        <v>200000</v>
      </c>
      <c r="E51" s="43">
        <f>D51*VARIABLES!$B$24</f>
        <v>1500</v>
      </c>
      <c r="F51" s="43">
        <f>IF($A51&lt;VARIABLES!$B$21,0,(IF($A51=VARIABLES!$B$21,0,G50)+D51)*C51*VARIABLES!$B$25)</f>
        <v>4535.4101985279685</v>
      </c>
      <c r="G51" s="43">
        <f>IF($A51&lt;VARIABLES!$B$21,0,(IF($A51=VARIABLES!$B$21,0,G50)+D51)*(1+C51)-F51)</f>
        <v>21946849.950676836</v>
      </c>
      <c r="H51" s="43">
        <f>IF($A51&lt;VARIABLES!$B$28,0,IF($A51=VARIABLES!$B$28,VARIABLES!$B$29+VARIABLES!$B$30,VARIABLES!$B$30))</f>
        <v>40000</v>
      </c>
      <c r="I51" s="43">
        <f>H51*VARIABLES!$B$31</f>
        <v>300</v>
      </c>
      <c r="J51" s="43">
        <f>IF($A51&lt;VARIABLES!$B$28,0,(IF($A51=VARIABLES!$B$28,0,K50)+H51)*C51*VARIABLES!$B$32)</f>
        <v>3047.4367411205681</v>
      </c>
      <c r="K51" s="43">
        <f>IF($A51&lt;VARIABLES!$B$28,0,(IF($A51=VARIABLES!$B$28,0,K50)+H51)*(1+C51)-J51)</f>
        <v>3684351.0200147666</v>
      </c>
      <c r="L51" s="43">
        <f>IF($A51&lt;VARIABLES!$B$35,0,IF($A51=VARIABLES!$B$35,VARIABLES!$B$36+VARIABLES!$B$37,VARIABLES!$B$37))</f>
        <v>0</v>
      </c>
      <c r="M51" s="43">
        <f>L51*VARIABLES!$B$38</f>
        <v>0</v>
      </c>
      <c r="N51" s="43">
        <f>IF($A51&lt;VARIABLES!$B$35,0,(IF($A51=VARIABLES!$B$35,0,O50)+L51)*C51*VARIABLES!$B$39)</f>
        <v>16408.468576359697</v>
      </c>
      <c r="O51" s="43">
        <f>IF($A51&lt;VARIABLES!$B$35,0,(IF($A51=VARIABLES!$B$35,0,O50)+L51)*(1+C51)-N51)</f>
        <v>19837838.508818872</v>
      </c>
      <c r="P51" s="43">
        <f>IF($A51&lt;VARIABLES!$B$42,0,IF($A51=VARIABLES!$B$42,VARIABLES!$B$43+VARIABLES!$B$44,VARIABLES!$B$44))</f>
        <v>20000</v>
      </c>
      <c r="Q51" s="43">
        <f>P51*VARIABLES!$B$45</f>
        <v>150</v>
      </c>
      <c r="R51" s="43">
        <f>IF($A51&lt;VARIABLES!$B$42,0,(IF($A51=VARIABLES!$B$42,0,S50)+P51)*C51*VARIABLES!$B$46)</f>
        <v>405.79027111840617</v>
      </c>
      <c r="S51" s="43">
        <f>IF($A51&lt;VARIABLES!$B$42,0,(IF($A51=VARIABLES!$B$42,0,S50)+P51)*(1+C51)-R51)</f>
        <v>1963619.1219419672</v>
      </c>
      <c r="T51" s="44">
        <f>IF($A51&lt;VARIABLES!$B$50,0,MIN(VARIABLES!$B$49,INT(($A51-VARIABLES!$B$50)/VARIABLES!$B$51)+1))</f>
        <v>12</v>
      </c>
      <c r="U51" s="43">
        <f>T51*VARIABLES!$B$53+IF(AND($A51&gt;=VARIABLES!$B$50,MOD($A51-VARIABLES!$B$50,VARIABLES!$B$51)=0,($A51-VARIABLES!$B$50)/VARIABLES!$B$51&lt;VARIABLES!$B$49),VARIABLES!$B$52,0)</f>
        <v>60000</v>
      </c>
      <c r="V51" s="43">
        <f>U51*VARIABLES!$B$54</f>
        <v>450</v>
      </c>
      <c r="W51" s="43">
        <f>IF($A51&lt;VARIABLES!$B$50,0,(IF($A51&lt;VARIABLES!$B$50+1,0,X50)+U51)*C51*VARIABLES!$B$55)</f>
        <v>4796.3368311026679</v>
      </c>
      <c r="X51" s="43">
        <f>IF($A51&lt;VARIABLES!$B$50,0,(IF($A51&lt;VARIABLES!$B$50+1,0,X50)+U51)*(1+C51)-W51)</f>
        <v>5798771.2288031243</v>
      </c>
      <c r="Y51" s="43">
        <f t="shared" si="0"/>
        <v>320000</v>
      </c>
      <c r="Z51" s="43">
        <f t="shared" si="1"/>
        <v>2400</v>
      </c>
      <c r="AA51" s="43">
        <f t="shared" si="2"/>
        <v>29193.442618229306</v>
      </c>
      <c r="AB51" s="35">
        <f t="shared" si="3"/>
        <v>31593.442618229306</v>
      </c>
      <c r="AC51" s="36">
        <f t="shared" si="4"/>
        <v>53231429.830255568</v>
      </c>
      <c r="AD51" s="43">
        <f>IF($A51=1,VARIABLES!$B$12,0)</f>
        <v>0</v>
      </c>
      <c r="AE51" s="43">
        <f>IF($A51&lt;=3,VARIABLES!$B$13,IF($A51&lt;=6,VARIABLES!$B$14,VARIABLES!$B$15))</f>
        <v>40000</v>
      </c>
      <c r="AF51" s="43">
        <f>IF(MOD($A51,12)=0,AC51*VARIABLES!$B$16,0)</f>
        <v>133078.57457563892</v>
      </c>
      <c r="AG51" s="43">
        <f>VARIABLES!$B$17</f>
        <v>5000</v>
      </c>
      <c r="AH51" s="43">
        <f>IF(MOD($A51,12)=0,VARIABLES!$B$18,0)</f>
        <v>3000</v>
      </c>
      <c r="AI51" s="37">
        <f t="shared" si="5"/>
        <v>181078.57457563892</v>
      </c>
      <c r="AJ51" s="38">
        <f>IF($A51&lt;VARIABLES!$B$7,VARIABLES!$B$9,0)</f>
        <v>0</v>
      </c>
      <c r="AK51" s="45">
        <f t="shared" si="6"/>
        <v>-149485.13195740961</v>
      </c>
      <c r="AL51" s="45">
        <f t="shared" si="7"/>
        <v>-775406.19085259014</v>
      </c>
      <c r="AM51" s="40">
        <f t="shared" si="8"/>
        <v>957000.00000000047</v>
      </c>
    </row>
    <row r="52" spans="1:39" x14ac:dyDescent="0.2">
      <c r="A52" s="46" t="s">
        <v>111</v>
      </c>
      <c r="B52" s="6"/>
      <c r="Y52" s="47">
        <f>SUM(Y4:Y51)</f>
        <v>20690000</v>
      </c>
      <c r="Z52" s="47">
        <f>SUM(Z4:Z51)</f>
        <v>155175</v>
      </c>
      <c r="AA52" s="47">
        <f>SUM(AA4:AA51)</f>
        <v>2498580.3168131122</v>
      </c>
      <c r="AB52" s="47">
        <f>SUM(AB4:AB51)</f>
        <v>2653755.3168131113</v>
      </c>
      <c r="AC52" s="47">
        <f>AC51</f>
        <v>53231429.830255568</v>
      </c>
      <c r="AD52" s="47">
        <f t="shared" ref="AD52:AK52" si="9">SUM(AD4:AD51)</f>
        <v>50000</v>
      </c>
      <c r="AE52" s="47">
        <f t="shared" si="9"/>
        <v>1830000</v>
      </c>
      <c r="AF52" s="47">
        <f t="shared" si="9"/>
        <v>340161.50766570214</v>
      </c>
      <c r="AG52" s="47">
        <f t="shared" si="9"/>
        <v>240000</v>
      </c>
      <c r="AH52" s="47">
        <f t="shared" si="9"/>
        <v>12000</v>
      </c>
      <c r="AI52" s="47">
        <f t="shared" si="9"/>
        <v>2472161.5076657021</v>
      </c>
      <c r="AJ52" s="47">
        <f t="shared" si="9"/>
        <v>957000.00000000047</v>
      </c>
      <c r="AK52" s="47">
        <f t="shared" si="9"/>
        <v>-775406.19085259014</v>
      </c>
      <c r="AL52" s="47">
        <f>AL51</f>
        <v>-775406.19085259014</v>
      </c>
      <c r="AM52" s="47">
        <f>AM51</f>
        <v>957000.00000000047</v>
      </c>
    </row>
    <row r="54" spans="1:39" ht="60" customHeight="1" x14ac:dyDescent="0.2">
      <c r="A54" s="25" t="s">
        <v>112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</row>
  </sheetData>
  <mergeCells count="11">
    <mergeCell ref="A54:AM54"/>
    <mergeCell ref="AJ2"/>
    <mergeCell ref="D2:S2"/>
    <mergeCell ref="A2:C2"/>
    <mergeCell ref="A1:AM1"/>
    <mergeCell ref="AD2:AI2"/>
    <mergeCell ref="AK2:AM2"/>
    <mergeCell ref="A52:B52"/>
    <mergeCell ref="T2:X2"/>
    <mergeCell ref="AC2"/>
    <mergeCell ref="Y2:A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5E20"/>
  </sheetPr>
  <dimension ref="A1:F1"/>
  <sheetViews>
    <sheetView showGridLines="0" workbookViewId="0">
      <selection sqref="A1:F1"/>
    </sheetView>
  </sheetViews>
  <sheetFormatPr defaultRowHeight="15" x14ac:dyDescent="0.25"/>
  <sheetData>
    <row r="1" spans="1:6" ht="24" customHeight="1" x14ac:dyDescent="0.25">
      <c r="A1" s="2" t="s">
        <v>113</v>
      </c>
      <c r="B1" s="1"/>
      <c r="C1" s="1"/>
      <c r="D1" s="1"/>
      <c r="E1" s="1"/>
      <c r="F1" s="1"/>
    </row>
  </sheetData>
  <mergeCells count="1"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VARIABLES</vt:lpstr>
      <vt:lpstr>MONTHLY FORECAST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Davin Gaier</cp:lastModifiedBy>
  <dcterms:created xsi:type="dcterms:W3CDTF">2026-05-20T16:23:43Z</dcterms:created>
  <dcterms:modified xsi:type="dcterms:W3CDTF">2026-05-20T16:51:14Z</dcterms:modified>
</cp:coreProperties>
</file>