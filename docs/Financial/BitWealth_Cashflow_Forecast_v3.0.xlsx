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n\Dropbox\BitWealth\bitwealth-lth-pvr\bitwealth-lth-pvr\docs\Financial\"/>
    </mc:Choice>
  </mc:AlternateContent>
  <xr:revisionPtr revIDLastSave="0" documentId="13_ncr:1_{82313866-EEEA-4D0F-8C4F-76B196BDE4C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VARIABLES" sheetId="1" r:id="rId1"/>
    <sheet name="MONTHLY FORECAST" sheetId="2" r:id="rId2"/>
    <sheet name="CHAR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5" i="1"/>
  <c r="B14" i="1"/>
  <c r="B13" i="1"/>
  <c r="B12" i="1"/>
  <c r="AJ35" i="2"/>
  <c r="AJ51" i="2"/>
  <c r="AH51" i="2"/>
  <c r="AG51" i="2"/>
  <c r="AE51" i="2"/>
  <c r="AD51" i="2"/>
  <c r="T51" i="2"/>
  <c r="U51" i="2" s="1"/>
  <c r="V51" i="2" s="1"/>
  <c r="Q51" i="2"/>
  <c r="P51" i="2"/>
  <c r="L51" i="2"/>
  <c r="M51" i="2" s="1"/>
  <c r="H51" i="2"/>
  <c r="I51" i="2" s="1"/>
  <c r="D51" i="2"/>
  <c r="E51" i="2" s="1"/>
  <c r="C51" i="2"/>
  <c r="B51" i="2"/>
  <c r="AJ50" i="2"/>
  <c r="AH50" i="2"/>
  <c r="AG50" i="2"/>
  <c r="AF50" i="2"/>
  <c r="AE50" i="2"/>
  <c r="AD50" i="2"/>
  <c r="T50" i="2"/>
  <c r="U50" i="2" s="1"/>
  <c r="P50" i="2"/>
  <c r="Q50" i="2" s="1"/>
  <c r="L50" i="2"/>
  <c r="M50" i="2" s="1"/>
  <c r="H50" i="2"/>
  <c r="I50" i="2" s="1"/>
  <c r="E50" i="2"/>
  <c r="D50" i="2"/>
  <c r="C50" i="2"/>
  <c r="B50" i="2"/>
  <c r="AJ49" i="2"/>
  <c r="AH49" i="2"/>
  <c r="AG49" i="2"/>
  <c r="AF49" i="2"/>
  <c r="AE49" i="2"/>
  <c r="AD49" i="2"/>
  <c r="T49" i="2"/>
  <c r="U49" i="2" s="1"/>
  <c r="V49" i="2" s="1"/>
  <c r="P49" i="2"/>
  <c r="Q49" i="2" s="1"/>
  <c r="L49" i="2"/>
  <c r="M49" i="2" s="1"/>
  <c r="H49" i="2"/>
  <c r="I49" i="2" s="1"/>
  <c r="E49" i="2"/>
  <c r="D49" i="2"/>
  <c r="C49" i="2"/>
  <c r="B49" i="2"/>
  <c r="AJ48" i="2"/>
  <c r="AH48" i="2"/>
  <c r="AG48" i="2"/>
  <c r="AF48" i="2"/>
  <c r="AE48" i="2"/>
  <c r="AD48" i="2"/>
  <c r="T48" i="2"/>
  <c r="U48" i="2" s="1"/>
  <c r="V48" i="2" s="1"/>
  <c r="P48" i="2"/>
  <c r="Q48" i="2" s="1"/>
  <c r="L48" i="2"/>
  <c r="M48" i="2" s="1"/>
  <c r="H48" i="2"/>
  <c r="I48" i="2" s="1"/>
  <c r="D48" i="2"/>
  <c r="C48" i="2"/>
  <c r="B48" i="2"/>
  <c r="AJ47" i="2"/>
  <c r="AH47" i="2"/>
  <c r="AG47" i="2"/>
  <c r="AF47" i="2"/>
  <c r="AE47" i="2"/>
  <c r="AD47" i="2"/>
  <c r="T47" i="2"/>
  <c r="U47" i="2" s="1"/>
  <c r="V47" i="2" s="1"/>
  <c r="Q47" i="2"/>
  <c r="P47" i="2"/>
  <c r="L47" i="2"/>
  <c r="M47" i="2" s="1"/>
  <c r="H47" i="2"/>
  <c r="I47" i="2" s="1"/>
  <c r="D47" i="2"/>
  <c r="E47" i="2" s="1"/>
  <c r="C47" i="2"/>
  <c r="B47" i="2"/>
  <c r="AJ46" i="2"/>
  <c r="AH46" i="2"/>
  <c r="AG46" i="2"/>
  <c r="AF46" i="2"/>
  <c r="AE46" i="2"/>
  <c r="AD46" i="2"/>
  <c r="T46" i="2"/>
  <c r="U46" i="2" s="1"/>
  <c r="V46" i="2" s="1"/>
  <c r="P46" i="2"/>
  <c r="Q46" i="2" s="1"/>
  <c r="L46" i="2"/>
  <c r="M46" i="2" s="1"/>
  <c r="H46" i="2"/>
  <c r="I46" i="2" s="1"/>
  <c r="D46" i="2"/>
  <c r="E46" i="2" s="1"/>
  <c r="C46" i="2"/>
  <c r="B46" i="2"/>
  <c r="AJ45" i="2"/>
  <c r="AH45" i="2"/>
  <c r="AG45" i="2"/>
  <c r="AF45" i="2"/>
  <c r="AE45" i="2"/>
  <c r="AD45" i="2"/>
  <c r="T45" i="2"/>
  <c r="U45" i="2" s="1"/>
  <c r="V45" i="2" s="1"/>
  <c r="P45" i="2"/>
  <c r="Q45" i="2" s="1"/>
  <c r="L45" i="2"/>
  <c r="M45" i="2" s="1"/>
  <c r="H45" i="2"/>
  <c r="I45" i="2" s="1"/>
  <c r="E45" i="2"/>
  <c r="D45" i="2"/>
  <c r="C45" i="2"/>
  <c r="B45" i="2"/>
  <c r="AJ44" i="2"/>
  <c r="AH44" i="2"/>
  <c r="AG44" i="2"/>
  <c r="AF44" i="2"/>
  <c r="AE44" i="2"/>
  <c r="AD44" i="2"/>
  <c r="T44" i="2"/>
  <c r="U44" i="2" s="1"/>
  <c r="V44" i="2" s="1"/>
  <c r="P44" i="2"/>
  <c r="Q44" i="2" s="1"/>
  <c r="L44" i="2"/>
  <c r="M44" i="2" s="1"/>
  <c r="H44" i="2"/>
  <c r="I44" i="2" s="1"/>
  <c r="D44" i="2"/>
  <c r="C44" i="2"/>
  <c r="B44" i="2"/>
  <c r="AJ43" i="2"/>
  <c r="AH43" i="2"/>
  <c r="AG43" i="2"/>
  <c r="AF43" i="2"/>
  <c r="AE43" i="2"/>
  <c r="AD43" i="2"/>
  <c r="T43" i="2"/>
  <c r="U43" i="2" s="1"/>
  <c r="V43" i="2" s="1"/>
  <c r="Q43" i="2"/>
  <c r="P43" i="2"/>
  <c r="L43" i="2"/>
  <c r="M43" i="2" s="1"/>
  <c r="H43" i="2"/>
  <c r="I43" i="2" s="1"/>
  <c r="D43" i="2"/>
  <c r="E43" i="2" s="1"/>
  <c r="C43" i="2"/>
  <c r="B43" i="2"/>
  <c r="AJ42" i="2"/>
  <c r="AH42" i="2"/>
  <c r="AG42" i="2"/>
  <c r="AF42" i="2"/>
  <c r="AE42" i="2"/>
  <c r="AD42" i="2"/>
  <c r="T42" i="2"/>
  <c r="U42" i="2" s="1"/>
  <c r="V42" i="2" s="1"/>
  <c r="P42" i="2"/>
  <c r="Q42" i="2" s="1"/>
  <c r="L42" i="2"/>
  <c r="M42" i="2" s="1"/>
  <c r="H42" i="2"/>
  <c r="I42" i="2" s="1"/>
  <c r="D42" i="2"/>
  <c r="E42" i="2" s="1"/>
  <c r="C42" i="2"/>
  <c r="B42" i="2"/>
  <c r="AJ41" i="2"/>
  <c r="AH41" i="2"/>
  <c r="AG41" i="2"/>
  <c r="AF41" i="2"/>
  <c r="AE41" i="2"/>
  <c r="AD41" i="2"/>
  <c r="T41" i="2"/>
  <c r="U41" i="2" s="1"/>
  <c r="V41" i="2" s="1"/>
  <c r="P41" i="2"/>
  <c r="Q41" i="2" s="1"/>
  <c r="L41" i="2"/>
  <c r="M41" i="2" s="1"/>
  <c r="H41" i="2"/>
  <c r="I41" i="2" s="1"/>
  <c r="E41" i="2"/>
  <c r="D41" i="2"/>
  <c r="C41" i="2"/>
  <c r="B41" i="2"/>
  <c r="AJ40" i="2"/>
  <c r="AH40" i="2"/>
  <c r="AG40" i="2"/>
  <c r="AF40" i="2"/>
  <c r="AE40" i="2"/>
  <c r="AD40" i="2"/>
  <c r="T40" i="2"/>
  <c r="U40" i="2" s="1"/>
  <c r="V40" i="2" s="1"/>
  <c r="P40" i="2"/>
  <c r="Q40" i="2" s="1"/>
  <c r="L40" i="2"/>
  <c r="M40" i="2" s="1"/>
  <c r="H40" i="2"/>
  <c r="I40" i="2" s="1"/>
  <c r="E40" i="2"/>
  <c r="D40" i="2"/>
  <c r="C40" i="2"/>
  <c r="B40" i="2"/>
  <c r="AH39" i="2"/>
  <c r="AG39" i="2"/>
  <c r="AE39" i="2"/>
  <c r="AD39" i="2"/>
  <c r="T39" i="2"/>
  <c r="U39" i="2" s="1"/>
  <c r="P39" i="2"/>
  <c r="Q39" i="2" s="1"/>
  <c r="L39" i="2"/>
  <c r="M39" i="2" s="1"/>
  <c r="H39" i="2"/>
  <c r="I39" i="2" s="1"/>
  <c r="D39" i="2"/>
  <c r="E39" i="2" s="1"/>
  <c r="C39" i="2"/>
  <c r="B39" i="2"/>
  <c r="AJ38" i="2"/>
  <c r="AH38" i="2"/>
  <c r="AG38" i="2"/>
  <c r="AF38" i="2"/>
  <c r="AE38" i="2"/>
  <c r="AD38" i="2"/>
  <c r="T38" i="2"/>
  <c r="U38" i="2" s="1"/>
  <c r="V38" i="2" s="1"/>
  <c r="P38" i="2"/>
  <c r="Q38" i="2" s="1"/>
  <c r="L38" i="2"/>
  <c r="M38" i="2" s="1"/>
  <c r="H38" i="2"/>
  <c r="I38" i="2" s="1"/>
  <c r="D38" i="2"/>
  <c r="C38" i="2"/>
  <c r="B38" i="2"/>
  <c r="AJ37" i="2"/>
  <c r="AH37" i="2"/>
  <c r="AG37" i="2"/>
  <c r="AF37" i="2"/>
  <c r="AE37" i="2"/>
  <c r="AD37" i="2"/>
  <c r="T37" i="2"/>
  <c r="U37" i="2" s="1"/>
  <c r="V37" i="2" s="1"/>
  <c r="P37" i="2"/>
  <c r="Q37" i="2" s="1"/>
  <c r="L37" i="2"/>
  <c r="M37" i="2" s="1"/>
  <c r="H37" i="2"/>
  <c r="I37" i="2" s="1"/>
  <c r="E37" i="2"/>
  <c r="D37" i="2"/>
  <c r="C37" i="2"/>
  <c r="B37" i="2"/>
  <c r="AH36" i="2"/>
  <c r="AG36" i="2"/>
  <c r="AF36" i="2"/>
  <c r="AE36" i="2"/>
  <c r="AD36" i="2"/>
  <c r="T36" i="2"/>
  <c r="U36" i="2" s="1"/>
  <c r="V36" i="2" s="1"/>
  <c r="P36" i="2"/>
  <c r="Q36" i="2" s="1"/>
  <c r="L36" i="2"/>
  <c r="M36" i="2" s="1"/>
  <c r="H36" i="2"/>
  <c r="I36" i="2" s="1"/>
  <c r="E36" i="2"/>
  <c r="D36" i="2"/>
  <c r="C36" i="2"/>
  <c r="B36" i="2"/>
  <c r="AH35" i="2"/>
  <c r="AG35" i="2"/>
  <c r="AF35" i="2"/>
  <c r="AE35" i="2"/>
  <c r="AD35" i="2"/>
  <c r="T35" i="2"/>
  <c r="U35" i="2" s="1"/>
  <c r="V35" i="2" s="1"/>
  <c r="P35" i="2"/>
  <c r="Q35" i="2" s="1"/>
  <c r="L35" i="2"/>
  <c r="M35" i="2" s="1"/>
  <c r="H35" i="2"/>
  <c r="I35" i="2" s="1"/>
  <c r="D35" i="2"/>
  <c r="E35" i="2" s="1"/>
  <c r="C35" i="2"/>
  <c r="B35" i="2"/>
  <c r="AJ34" i="2"/>
  <c r="AH34" i="2"/>
  <c r="AG34" i="2"/>
  <c r="AF34" i="2"/>
  <c r="AE34" i="2"/>
  <c r="AD34" i="2"/>
  <c r="T34" i="2"/>
  <c r="U34" i="2" s="1"/>
  <c r="V34" i="2" s="1"/>
  <c r="P34" i="2"/>
  <c r="Q34" i="2" s="1"/>
  <c r="L34" i="2"/>
  <c r="M34" i="2" s="1"/>
  <c r="H34" i="2"/>
  <c r="I34" i="2" s="1"/>
  <c r="D34" i="2"/>
  <c r="C34" i="2"/>
  <c r="B34" i="2"/>
  <c r="AH33" i="2"/>
  <c r="AG33" i="2"/>
  <c r="AF33" i="2"/>
  <c r="AE33" i="2"/>
  <c r="AD33" i="2"/>
  <c r="T33" i="2"/>
  <c r="U33" i="2" s="1"/>
  <c r="V33" i="2" s="1"/>
  <c r="P33" i="2"/>
  <c r="Q33" i="2" s="1"/>
  <c r="L33" i="2"/>
  <c r="M33" i="2" s="1"/>
  <c r="H33" i="2"/>
  <c r="I33" i="2" s="1"/>
  <c r="E33" i="2"/>
  <c r="D33" i="2"/>
  <c r="C33" i="2"/>
  <c r="B33" i="2"/>
  <c r="AJ32" i="2"/>
  <c r="AH32" i="2"/>
  <c r="AG32" i="2"/>
  <c r="AF32" i="2"/>
  <c r="AE32" i="2"/>
  <c r="AD32" i="2"/>
  <c r="T32" i="2"/>
  <c r="U32" i="2" s="1"/>
  <c r="V32" i="2" s="1"/>
  <c r="P32" i="2"/>
  <c r="Q32" i="2" s="1"/>
  <c r="L32" i="2"/>
  <c r="M32" i="2" s="1"/>
  <c r="H32" i="2"/>
  <c r="I32" i="2" s="1"/>
  <c r="D32" i="2"/>
  <c r="C32" i="2"/>
  <c r="B32" i="2"/>
  <c r="AJ31" i="2"/>
  <c r="AH31" i="2"/>
  <c r="AG31" i="2"/>
  <c r="AF31" i="2"/>
  <c r="AE31" i="2"/>
  <c r="AD31" i="2"/>
  <c r="T31" i="2"/>
  <c r="U31" i="2" s="1"/>
  <c r="V31" i="2" s="1"/>
  <c r="P31" i="2"/>
  <c r="Q31" i="2" s="1"/>
  <c r="L31" i="2"/>
  <c r="M31" i="2" s="1"/>
  <c r="H31" i="2"/>
  <c r="I31" i="2" s="1"/>
  <c r="E31" i="2"/>
  <c r="D31" i="2"/>
  <c r="C31" i="2"/>
  <c r="B31" i="2"/>
  <c r="AJ30" i="2"/>
  <c r="AH30" i="2"/>
  <c r="AG30" i="2"/>
  <c r="AF30" i="2"/>
  <c r="AE30" i="2"/>
  <c r="AD30" i="2"/>
  <c r="T30" i="2"/>
  <c r="U30" i="2" s="1"/>
  <c r="V30" i="2" s="1"/>
  <c r="P30" i="2"/>
  <c r="Q30" i="2" s="1"/>
  <c r="L30" i="2"/>
  <c r="M30" i="2" s="1"/>
  <c r="H30" i="2"/>
  <c r="I30" i="2" s="1"/>
  <c r="D30" i="2"/>
  <c r="C30" i="2"/>
  <c r="B30" i="2"/>
  <c r="AJ29" i="2"/>
  <c r="AH29" i="2"/>
  <c r="AG29" i="2"/>
  <c r="AF29" i="2"/>
  <c r="AE29" i="2"/>
  <c r="AD29" i="2"/>
  <c r="T29" i="2"/>
  <c r="U29" i="2" s="1"/>
  <c r="V29" i="2" s="1"/>
  <c r="P29" i="2"/>
  <c r="Q29" i="2" s="1"/>
  <c r="L29" i="2"/>
  <c r="M29" i="2" s="1"/>
  <c r="H29" i="2"/>
  <c r="I29" i="2" s="1"/>
  <c r="D29" i="2"/>
  <c r="E29" i="2" s="1"/>
  <c r="C29" i="2"/>
  <c r="B29" i="2"/>
  <c r="AJ28" i="2"/>
  <c r="AH28" i="2"/>
  <c r="AG28" i="2"/>
  <c r="AF28" i="2"/>
  <c r="AE28" i="2"/>
  <c r="AD28" i="2"/>
  <c r="T28" i="2"/>
  <c r="U28" i="2" s="1"/>
  <c r="V28" i="2" s="1"/>
  <c r="P28" i="2"/>
  <c r="Q28" i="2" s="1"/>
  <c r="L28" i="2"/>
  <c r="M28" i="2" s="1"/>
  <c r="H28" i="2"/>
  <c r="I28" i="2" s="1"/>
  <c r="D28" i="2"/>
  <c r="E28" i="2" s="1"/>
  <c r="C28" i="2"/>
  <c r="B28" i="2"/>
  <c r="AJ27" i="2"/>
  <c r="AH27" i="2"/>
  <c r="AG27" i="2"/>
  <c r="AE27" i="2"/>
  <c r="AD27" i="2"/>
  <c r="T27" i="2"/>
  <c r="U27" i="2" s="1"/>
  <c r="V27" i="2" s="1"/>
  <c r="P27" i="2"/>
  <c r="Q27" i="2" s="1"/>
  <c r="L27" i="2"/>
  <c r="M27" i="2" s="1"/>
  <c r="H27" i="2"/>
  <c r="I27" i="2" s="1"/>
  <c r="D27" i="2"/>
  <c r="C27" i="2"/>
  <c r="B27" i="2"/>
  <c r="AJ26" i="2"/>
  <c r="AH26" i="2"/>
  <c r="AG26" i="2"/>
  <c r="AF26" i="2"/>
  <c r="AE26" i="2"/>
  <c r="AD26" i="2"/>
  <c r="T26" i="2"/>
  <c r="U26" i="2" s="1"/>
  <c r="V26" i="2" s="1"/>
  <c r="P26" i="2"/>
  <c r="Q26" i="2" s="1"/>
  <c r="L26" i="2"/>
  <c r="M26" i="2" s="1"/>
  <c r="H26" i="2"/>
  <c r="I26" i="2" s="1"/>
  <c r="E26" i="2"/>
  <c r="D26" i="2"/>
  <c r="C26" i="2"/>
  <c r="B26" i="2"/>
  <c r="AJ25" i="2"/>
  <c r="AH25" i="2"/>
  <c r="AG25" i="2"/>
  <c r="AF25" i="2"/>
  <c r="AE25" i="2"/>
  <c r="AD25" i="2"/>
  <c r="T25" i="2"/>
  <c r="U25" i="2" s="1"/>
  <c r="V25" i="2" s="1"/>
  <c r="P25" i="2"/>
  <c r="Q25" i="2" s="1"/>
  <c r="L25" i="2"/>
  <c r="M25" i="2" s="1"/>
  <c r="H25" i="2"/>
  <c r="D25" i="2"/>
  <c r="E25" i="2" s="1"/>
  <c r="C25" i="2"/>
  <c r="B25" i="2"/>
  <c r="AH24" i="2"/>
  <c r="AG24" i="2"/>
  <c r="AF24" i="2"/>
  <c r="AE24" i="2"/>
  <c r="AD24" i="2"/>
  <c r="T24" i="2"/>
  <c r="U24" i="2" s="1"/>
  <c r="V24" i="2" s="1"/>
  <c r="P24" i="2"/>
  <c r="Q24" i="2" s="1"/>
  <c r="L24" i="2"/>
  <c r="M24" i="2" s="1"/>
  <c r="H24" i="2"/>
  <c r="I24" i="2" s="1"/>
  <c r="D24" i="2"/>
  <c r="C24" i="2"/>
  <c r="B24" i="2"/>
  <c r="AJ23" i="2"/>
  <c r="AH23" i="2"/>
  <c r="AG23" i="2"/>
  <c r="AF23" i="2"/>
  <c r="AE23" i="2"/>
  <c r="AD23" i="2"/>
  <c r="T23" i="2"/>
  <c r="U23" i="2" s="1"/>
  <c r="V23" i="2" s="1"/>
  <c r="P23" i="2"/>
  <c r="Q23" i="2" s="1"/>
  <c r="L23" i="2"/>
  <c r="M23" i="2" s="1"/>
  <c r="H23" i="2"/>
  <c r="I23" i="2" s="1"/>
  <c r="E23" i="2"/>
  <c r="D23" i="2"/>
  <c r="C23" i="2"/>
  <c r="B23" i="2"/>
  <c r="AJ22" i="2"/>
  <c r="AH22" i="2"/>
  <c r="AG22" i="2"/>
  <c r="AF22" i="2"/>
  <c r="AE22" i="2"/>
  <c r="AD22" i="2"/>
  <c r="T22" i="2"/>
  <c r="U22" i="2" s="1"/>
  <c r="V22" i="2" s="1"/>
  <c r="P22" i="2"/>
  <c r="Q22" i="2" s="1"/>
  <c r="L22" i="2"/>
  <c r="M22" i="2" s="1"/>
  <c r="H22" i="2"/>
  <c r="I22" i="2" s="1"/>
  <c r="E22" i="2"/>
  <c r="D22" i="2"/>
  <c r="C22" i="2"/>
  <c r="B22" i="2"/>
  <c r="AJ21" i="2"/>
  <c r="AH21" i="2"/>
  <c r="AG21" i="2"/>
  <c r="AF21" i="2"/>
  <c r="AE21" i="2"/>
  <c r="AD21" i="2"/>
  <c r="T21" i="2"/>
  <c r="U21" i="2" s="1"/>
  <c r="V21" i="2" s="1"/>
  <c r="P21" i="2"/>
  <c r="Q21" i="2" s="1"/>
  <c r="L21" i="2"/>
  <c r="M21" i="2" s="1"/>
  <c r="H21" i="2"/>
  <c r="I21" i="2" s="1"/>
  <c r="D21" i="2"/>
  <c r="C21" i="2"/>
  <c r="B21" i="2"/>
  <c r="AJ20" i="2"/>
  <c r="AH20" i="2"/>
  <c r="AG20" i="2"/>
  <c r="AF20" i="2"/>
  <c r="AE20" i="2"/>
  <c r="AD20" i="2"/>
  <c r="T20" i="2"/>
  <c r="U20" i="2" s="1"/>
  <c r="V20" i="2" s="1"/>
  <c r="Q20" i="2"/>
  <c r="P20" i="2"/>
  <c r="L20" i="2"/>
  <c r="M20" i="2" s="1"/>
  <c r="I20" i="2"/>
  <c r="H20" i="2"/>
  <c r="D20" i="2"/>
  <c r="E20" i="2" s="1"/>
  <c r="C20" i="2"/>
  <c r="B20" i="2"/>
  <c r="AJ19" i="2"/>
  <c r="AH19" i="2"/>
  <c r="AG19" i="2"/>
  <c r="AF19" i="2"/>
  <c r="AE19" i="2"/>
  <c r="AD19" i="2"/>
  <c r="T19" i="2"/>
  <c r="U19" i="2" s="1"/>
  <c r="V19" i="2" s="1"/>
  <c r="P19" i="2"/>
  <c r="Q19" i="2" s="1"/>
  <c r="L19" i="2"/>
  <c r="M19" i="2" s="1"/>
  <c r="H19" i="2"/>
  <c r="D19" i="2"/>
  <c r="E19" i="2" s="1"/>
  <c r="C19" i="2"/>
  <c r="B19" i="2"/>
  <c r="AJ18" i="2"/>
  <c r="AH18" i="2"/>
  <c r="AG18" i="2"/>
  <c r="AF18" i="2"/>
  <c r="AE18" i="2"/>
  <c r="AD18" i="2"/>
  <c r="T18" i="2"/>
  <c r="U18" i="2" s="1"/>
  <c r="V18" i="2" s="1"/>
  <c r="P18" i="2"/>
  <c r="Q18" i="2" s="1"/>
  <c r="L18" i="2"/>
  <c r="M18" i="2" s="1"/>
  <c r="H18" i="2"/>
  <c r="I18" i="2" s="1"/>
  <c r="E18" i="2"/>
  <c r="D18" i="2"/>
  <c r="C18" i="2"/>
  <c r="B18" i="2"/>
  <c r="AJ17" i="2"/>
  <c r="AH17" i="2"/>
  <c r="AG17" i="2"/>
  <c r="AF17" i="2"/>
  <c r="AE17" i="2"/>
  <c r="AD17" i="2"/>
  <c r="T17" i="2"/>
  <c r="U17" i="2" s="1"/>
  <c r="V17" i="2" s="1"/>
  <c r="P17" i="2"/>
  <c r="Q17" i="2" s="1"/>
  <c r="L17" i="2"/>
  <c r="M17" i="2" s="1"/>
  <c r="H17" i="2"/>
  <c r="I17" i="2" s="1"/>
  <c r="E17" i="2"/>
  <c r="D17" i="2"/>
  <c r="C17" i="2"/>
  <c r="B17" i="2"/>
  <c r="AJ16" i="2"/>
  <c r="AH16" i="2"/>
  <c r="AG16" i="2"/>
  <c r="AF16" i="2"/>
  <c r="AE16" i="2"/>
  <c r="AD16" i="2"/>
  <c r="T16" i="2"/>
  <c r="U16" i="2" s="1"/>
  <c r="V16" i="2" s="1"/>
  <c r="P16" i="2"/>
  <c r="Q16" i="2" s="1"/>
  <c r="L16" i="2"/>
  <c r="M16" i="2" s="1"/>
  <c r="H16" i="2"/>
  <c r="I16" i="2" s="1"/>
  <c r="D16" i="2"/>
  <c r="C16" i="2"/>
  <c r="B16" i="2"/>
  <c r="AJ15" i="2"/>
  <c r="AH15" i="2"/>
  <c r="AG15" i="2"/>
  <c r="AE15" i="2"/>
  <c r="AD15" i="2"/>
  <c r="T15" i="2"/>
  <c r="U15" i="2" s="1"/>
  <c r="V15" i="2" s="1"/>
  <c r="Q15" i="2"/>
  <c r="P15" i="2"/>
  <c r="L15" i="2"/>
  <c r="M15" i="2" s="1"/>
  <c r="H15" i="2"/>
  <c r="I15" i="2" s="1"/>
  <c r="D15" i="2"/>
  <c r="E15" i="2" s="1"/>
  <c r="C15" i="2"/>
  <c r="B15" i="2"/>
  <c r="AJ14" i="2"/>
  <c r="AH14" i="2"/>
  <c r="AG14" i="2"/>
  <c r="AF14" i="2"/>
  <c r="AE14" i="2"/>
  <c r="AD14" i="2"/>
  <c r="T14" i="2"/>
  <c r="U14" i="2" s="1"/>
  <c r="V14" i="2" s="1"/>
  <c r="P14" i="2"/>
  <c r="Q14" i="2" s="1"/>
  <c r="L14" i="2"/>
  <c r="M14" i="2" s="1"/>
  <c r="H14" i="2"/>
  <c r="I14" i="2" s="1"/>
  <c r="E14" i="2"/>
  <c r="D14" i="2"/>
  <c r="C14" i="2"/>
  <c r="B14" i="2"/>
  <c r="AJ13" i="2"/>
  <c r="AH13" i="2"/>
  <c r="AG13" i="2"/>
  <c r="AF13" i="2"/>
  <c r="AE13" i="2"/>
  <c r="AD13" i="2"/>
  <c r="T13" i="2"/>
  <c r="U13" i="2" s="1"/>
  <c r="V13" i="2" s="1"/>
  <c r="P13" i="2"/>
  <c r="Q13" i="2" s="1"/>
  <c r="L13" i="2"/>
  <c r="M13" i="2" s="1"/>
  <c r="H13" i="2"/>
  <c r="I13" i="2" s="1"/>
  <c r="D13" i="2"/>
  <c r="C13" i="2"/>
  <c r="B13" i="2"/>
  <c r="AJ12" i="2"/>
  <c r="AH12" i="2"/>
  <c r="AG12" i="2"/>
  <c r="AF12" i="2"/>
  <c r="AE12" i="2"/>
  <c r="AD12" i="2"/>
  <c r="T12" i="2"/>
  <c r="U12" i="2" s="1"/>
  <c r="V12" i="2" s="1"/>
  <c r="P12" i="2"/>
  <c r="Q12" i="2" s="1"/>
  <c r="L12" i="2"/>
  <c r="M12" i="2" s="1"/>
  <c r="I12" i="2"/>
  <c r="H12" i="2"/>
  <c r="D12" i="2"/>
  <c r="E12" i="2" s="1"/>
  <c r="C12" i="2"/>
  <c r="B12" i="2"/>
  <c r="AJ11" i="2"/>
  <c r="AH11" i="2"/>
  <c r="AG11" i="2"/>
  <c r="AF11" i="2"/>
  <c r="AE11" i="2"/>
  <c r="AD11" i="2"/>
  <c r="T11" i="2"/>
  <c r="U11" i="2" s="1"/>
  <c r="V11" i="2" s="1"/>
  <c r="Q11" i="2"/>
  <c r="P11" i="2"/>
  <c r="L11" i="2"/>
  <c r="M11" i="2" s="1"/>
  <c r="H11" i="2"/>
  <c r="I11" i="2" s="1"/>
  <c r="D11" i="2"/>
  <c r="E11" i="2" s="1"/>
  <c r="C11" i="2"/>
  <c r="B11" i="2"/>
  <c r="AJ10" i="2"/>
  <c r="AH10" i="2"/>
  <c r="AG10" i="2"/>
  <c r="AF10" i="2"/>
  <c r="AE10" i="2"/>
  <c r="AD10" i="2"/>
  <c r="T10" i="2"/>
  <c r="U10" i="2" s="1"/>
  <c r="V10" i="2" s="1"/>
  <c r="P10" i="2"/>
  <c r="Q10" i="2" s="1"/>
  <c r="L10" i="2"/>
  <c r="M10" i="2" s="1"/>
  <c r="H10" i="2"/>
  <c r="I10" i="2" s="1"/>
  <c r="D10" i="2"/>
  <c r="C10" i="2"/>
  <c r="B10" i="2"/>
  <c r="AJ9" i="2"/>
  <c r="AH9" i="2"/>
  <c r="AG9" i="2"/>
  <c r="AF9" i="2"/>
  <c r="AE9" i="2"/>
  <c r="AD9" i="2"/>
  <c r="T9" i="2"/>
  <c r="U9" i="2" s="1"/>
  <c r="V9" i="2" s="1"/>
  <c r="P9" i="2"/>
  <c r="Q9" i="2" s="1"/>
  <c r="L9" i="2"/>
  <c r="M9" i="2" s="1"/>
  <c r="H9" i="2"/>
  <c r="I9" i="2" s="1"/>
  <c r="E9" i="2"/>
  <c r="D9" i="2"/>
  <c r="C9" i="2"/>
  <c r="B9" i="2"/>
  <c r="AJ8" i="2"/>
  <c r="AH8" i="2"/>
  <c r="AG8" i="2"/>
  <c r="AF8" i="2"/>
  <c r="AE8" i="2"/>
  <c r="AD8" i="2"/>
  <c r="T8" i="2"/>
  <c r="U8" i="2" s="1"/>
  <c r="V8" i="2" s="1"/>
  <c r="P8" i="2"/>
  <c r="Q8" i="2" s="1"/>
  <c r="L8" i="2"/>
  <c r="M8" i="2" s="1"/>
  <c r="H8" i="2"/>
  <c r="I8" i="2" s="1"/>
  <c r="D8" i="2"/>
  <c r="C8" i="2"/>
  <c r="B8" i="2"/>
  <c r="AJ7" i="2"/>
  <c r="AH7" i="2"/>
  <c r="AG7" i="2"/>
  <c r="AF7" i="2"/>
  <c r="AE7" i="2"/>
  <c r="AD7" i="2"/>
  <c r="T7" i="2"/>
  <c r="U7" i="2" s="1"/>
  <c r="P7" i="2"/>
  <c r="Q7" i="2" s="1"/>
  <c r="L7" i="2"/>
  <c r="M7" i="2" s="1"/>
  <c r="H7" i="2"/>
  <c r="I7" i="2" s="1"/>
  <c r="D7" i="2"/>
  <c r="E7" i="2" s="1"/>
  <c r="C7" i="2"/>
  <c r="B7" i="2"/>
  <c r="AJ6" i="2"/>
  <c r="AH6" i="2"/>
  <c r="AG6" i="2"/>
  <c r="AF6" i="2"/>
  <c r="AE6" i="2"/>
  <c r="AD6" i="2"/>
  <c r="T6" i="2"/>
  <c r="U6" i="2" s="1"/>
  <c r="V6" i="2" s="1"/>
  <c r="P6" i="2"/>
  <c r="Q6" i="2" s="1"/>
  <c r="L6" i="2"/>
  <c r="M6" i="2" s="1"/>
  <c r="H6" i="2"/>
  <c r="I6" i="2" s="1"/>
  <c r="D6" i="2"/>
  <c r="E6" i="2" s="1"/>
  <c r="C6" i="2"/>
  <c r="B6" i="2"/>
  <c r="AJ5" i="2"/>
  <c r="AH5" i="2"/>
  <c r="AG5" i="2"/>
  <c r="AF5" i="2"/>
  <c r="AE5" i="2"/>
  <c r="AD5" i="2"/>
  <c r="X5" i="2"/>
  <c r="W5" i="2"/>
  <c r="T5" i="2"/>
  <c r="U5" i="2" s="1"/>
  <c r="V5" i="2" s="1"/>
  <c r="P5" i="2"/>
  <c r="L5" i="2"/>
  <c r="H5" i="2"/>
  <c r="D5" i="2"/>
  <c r="C5" i="2"/>
  <c r="B5" i="2"/>
  <c r="AJ4" i="2"/>
  <c r="AH4" i="2"/>
  <c r="AG4" i="2"/>
  <c r="AF4" i="2"/>
  <c r="AE4" i="2"/>
  <c r="AD4" i="2"/>
  <c r="X4" i="2"/>
  <c r="W4" i="2"/>
  <c r="T4" i="2"/>
  <c r="U4" i="2" s="1"/>
  <c r="V4" i="2" s="1"/>
  <c r="S4" i="2"/>
  <c r="R4" i="2"/>
  <c r="P4" i="2"/>
  <c r="Q4" i="2" s="1"/>
  <c r="O4" i="2"/>
  <c r="N4" i="2"/>
  <c r="L4" i="2"/>
  <c r="M4" i="2" s="1"/>
  <c r="K4" i="2"/>
  <c r="J4" i="2"/>
  <c r="H4" i="2"/>
  <c r="I4" i="2" s="1"/>
  <c r="D4" i="2"/>
  <c r="C4" i="2"/>
  <c r="B4" i="2"/>
  <c r="AI26" i="2" l="1"/>
  <c r="AJ39" i="2"/>
  <c r="AJ33" i="2"/>
  <c r="AJ36" i="2"/>
  <c r="AJ24" i="2"/>
  <c r="AJ52" i="2" s="1"/>
  <c r="N5" i="2"/>
  <c r="Z51" i="2"/>
  <c r="Y39" i="2"/>
  <c r="Z41" i="2"/>
  <c r="Z15" i="2"/>
  <c r="AI31" i="2"/>
  <c r="Y15" i="2"/>
  <c r="W6" i="2"/>
  <c r="X6" i="2" s="1"/>
  <c r="W7" i="2" s="1"/>
  <c r="X7" i="2" s="1"/>
  <c r="Y12" i="2"/>
  <c r="Y43" i="2"/>
  <c r="AI5" i="2"/>
  <c r="AI20" i="2"/>
  <c r="Y50" i="2"/>
  <c r="V50" i="2"/>
  <c r="Z50" i="2" s="1"/>
  <c r="Y22" i="2"/>
  <c r="Z14" i="2"/>
  <c r="AI13" i="2"/>
  <c r="Z22" i="2"/>
  <c r="Z36" i="2"/>
  <c r="Z12" i="2"/>
  <c r="Z20" i="2"/>
  <c r="AI44" i="2"/>
  <c r="Y9" i="2"/>
  <c r="Z23" i="2"/>
  <c r="Y31" i="2"/>
  <c r="V39" i="2"/>
  <c r="Z39" i="2" s="1"/>
  <c r="Y42" i="2"/>
  <c r="Z45" i="2"/>
  <c r="Z31" i="2"/>
  <c r="Y40" i="2"/>
  <c r="Z43" i="2"/>
  <c r="Y19" i="2"/>
  <c r="Y25" i="2"/>
  <c r="Z40" i="2"/>
  <c r="Z42" i="2"/>
  <c r="Z33" i="2"/>
  <c r="Y49" i="2"/>
  <c r="AI25" i="2"/>
  <c r="AI7" i="2"/>
  <c r="AI48" i="2"/>
  <c r="AI49" i="2"/>
  <c r="AI21" i="2"/>
  <c r="AI30" i="2"/>
  <c r="AI6" i="2"/>
  <c r="AI4" i="2"/>
  <c r="AI33" i="2"/>
  <c r="AI8" i="2"/>
  <c r="AI12" i="2"/>
  <c r="AI17" i="2"/>
  <c r="O5" i="2"/>
  <c r="AI9" i="2"/>
  <c r="AI24" i="2"/>
  <c r="AI43" i="2"/>
  <c r="AI28" i="2"/>
  <c r="AI47" i="2"/>
  <c r="AI16" i="2"/>
  <c r="Z11" i="2"/>
  <c r="N6" i="2"/>
  <c r="O6" i="2" s="1"/>
  <c r="Z9" i="2"/>
  <c r="Y5" i="2"/>
  <c r="Z6" i="2"/>
  <c r="Y4" i="2"/>
  <c r="V7" i="2"/>
  <c r="Z7" i="2" s="1"/>
  <c r="Y8" i="2"/>
  <c r="AH52" i="2"/>
  <c r="Y13" i="2"/>
  <c r="Z17" i="2"/>
  <c r="AI19" i="2"/>
  <c r="AI23" i="2"/>
  <c r="E5" i="2"/>
  <c r="M5" i="2"/>
  <c r="Y7" i="2"/>
  <c r="AI11" i="2"/>
  <c r="E13" i="2"/>
  <c r="Z13" i="2" s="1"/>
  <c r="E16" i="2"/>
  <c r="Z16" i="2" s="1"/>
  <c r="Y16" i="2"/>
  <c r="I19" i="2"/>
  <c r="E4" i="2"/>
  <c r="Z4" i="2" s="1"/>
  <c r="Y6" i="2"/>
  <c r="E8" i="2"/>
  <c r="Z8" i="2" s="1"/>
  <c r="AI10" i="2"/>
  <c r="AI14" i="2"/>
  <c r="Z37" i="2"/>
  <c r="F4" i="2"/>
  <c r="AA4" i="2" s="1"/>
  <c r="AE52" i="2"/>
  <c r="AM4" i="2"/>
  <c r="AM5" i="2" s="1"/>
  <c r="AM6" i="2" s="1"/>
  <c r="AM7" i="2" s="1"/>
  <c r="AM8" i="2" s="1"/>
  <c r="AM9" i="2" s="1"/>
  <c r="AM10" i="2" s="1"/>
  <c r="AM11" i="2" s="1"/>
  <c r="AM12" i="2" s="1"/>
  <c r="AM13" i="2" s="1"/>
  <c r="AM14" i="2" s="1"/>
  <c r="AM15" i="2" s="1"/>
  <c r="AM16" i="2" s="1"/>
  <c r="AM17" i="2" s="1"/>
  <c r="AM18" i="2" s="1"/>
  <c r="AM19" i="2" s="1"/>
  <c r="AM20" i="2" s="1"/>
  <c r="AM21" i="2" s="1"/>
  <c r="AM22" i="2" s="1"/>
  <c r="AM23" i="2" s="1"/>
  <c r="I5" i="2"/>
  <c r="Q5" i="2"/>
  <c r="AI18" i="2"/>
  <c r="Y26" i="2"/>
  <c r="Z28" i="2"/>
  <c r="J5" i="2"/>
  <c r="K5" i="2" s="1"/>
  <c r="R5" i="2"/>
  <c r="S5" i="2" s="1"/>
  <c r="Y10" i="2"/>
  <c r="Y11" i="2"/>
  <c r="Y18" i="2"/>
  <c r="Y21" i="2"/>
  <c r="Y24" i="2"/>
  <c r="E24" i="2"/>
  <c r="Z24" i="2" s="1"/>
  <c r="Z26" i="2"/>
  <c r="Z29" i="2"/>
  <c r="AI29" i="2"/>
  <c r="Y30" i="2"/>
  <c r="E30" i="2"/>
  <c r="Z30" i="2" s="1"/>
  <c r="AD52" i="2"/>
  <c r="AG52" i="2"/>
  <c r="E10" i="2"/>
  <c r="Z10" i="2" s="1"/>
  <c r="Y14" i="2"/>
  <c r="Y17" i="2"/>
  <c r="Z18" i="2"/>
  <c r="Z19" i="2"/>
  <c r="E21" i="2"/>
  <c r="Z21" i="2" s="1"/>
  <c r="AI22" i="2"/>
  <c r="Y27" i="2"/>
  <c r="Y28" i="2"/>
  <c r="AI35" i="2"/>
  <c r="Z47" i="2"/>
  <c r="Y20" i="2"/>
  <c r="I25" i="2"/>
  <c r="Z25" i="2" s="1"/>
  <c r="E27" i="2"/>
  <c r="Z27" i="2" s="1"/>
  <c r="Y36" i="2"/>
  <c r="Z35" i="2"/>
  <c r="Z46" i="2"/>
  <c r="Y46" i="2"/>
  <c r="Y29" i="2"/>
  <c r="Y32" i="2"/>
  <c r="AI32" i="2"/>
  <c r="E34" i="2"/>
  <c r="Z34" i="2" s="1"/>
  <c r="Y34" i="2"/>
  <c r="E32" i="2"/>
  <c r="Z32" i="2" s="1"/>
  <c r="Y23" i="2"/>
  <c r="Y35" i="2"/>
  <c r="AI37" i="2"/>
  <c r="AI40" i="2"/>
  <c r="AI36" i="2"/>
  <c r="E38" i="2"/>
  <c r="Z38" i="2" s="1"/>
  <c r="Y38" i="2"/>
  <c r="Y48" i="2"/>
  <c r="E48" i="2"/>
  <c r="Z48" i="2" s="1"/>
  <c r="Y51" i="2"/>
  <c r="Y33" i="2"/>
  <c r="Y37" i="2"/>
  <c r="Y41" i="2"/>
  <c r="Y45" i="2"/>
  <c r="Y47" i="2"/>
  <c r="Y44" i="2"/>
  <c r="Z49" i="2"/>
  <c r="AI34" i="2"/>
  <c r="AI38" i="2"/>
  <c r="AI42" i="2"/>
  <c r="E44" i="2"/>
  <c r="Z44" i="2" s="1"/>
  <c r="AI46" i="2"/>
  <c r="AI50" i="2"/>
  <c r="AI41" i="2"/>
  <c r="AI45" i="2"/>
  <c r="AM24" i="2" l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M35" i="2" s="1"/>
  <c r="AM36" i="2" s="1"/>
  <c r="AM37" i="2" s="1"/>
  <c r="AM38" i="2" s="1"/>
  <c r="AM39" i="2" s="1"/>
  <c r="R6" i="2"/>
  <c r="S6" i="2"/>
  <c r="N7" i="2"/>
  <c r="O7" i="2" s="1"/>
  <c r="J6" i="2"/>
  <c r="K6" i="2" s="1"/>
  <c r="Y52" i="2"/>
  <c r="G4" i="2"/>
  <c r="AB4" i="2"/>
  <c r="AK4" i="2" s="1"/>
  <c r="Z5" i="2"/>
  <c r="Z52" i="2" s="1"/>
  <c r="W8" i="2"/>
  <c r="X8" i="2" s="1"/>
  <c r="W9" i="2" l="1"/>
  <c r="X9" i="2" s="1"/>
  <c r="N8" i="2"/>
  <c r="O8" i="2" s="1"/>
  <c r="J7" i="2"/>
  <c r="K7" i="2" s="1"/>
  <c r="AC4" i="2"/>
  <c r="F5" i="2"/>
  <c r="AA5" i="2" s="1"/>
  <c r="R7" i="2"/>
  <c r="S7" i="2" s="1"/>
  <c r="N9" i="2" l="1"/>
  <c r="O9" i="2" s="1"/>
  <c r="W10" i="2"/>
  <c r="X10" i="2" s="1"/>
  <c r="J8" i="2"/>
  <c r="K8" i="2" s="1"/>
  <c r="R8" i="2"/>
  <c r="S8" i="2" s="1"/>
  <c r="G5" i="2"/>
  <c r="AL4" i="2"/>
  <c r="AB5" i="2"/>
  <c r="R9" i="2" l="1"/>
  <c r="S9" i="2" s="1"/>
  <c r="J9" i="2"/>
  <c r="K9" i="2" s="1"/>
  <c r="W11" i="2"/>
  <c r="X11" i="2" s="1"/>
  <c r="N10" i="2"/>
  <c r="O10" i="2" s="1"/>
  <c r="AK5" i="2"/>
  <c r="AL5" i="2" s="1"/>
  <c r="AC5" i="2"/>
  <c r="F6" i="2"/>
  <c r="AA6" i="2" s="1"/>
  <c r="W12" i="2" l="1"/>
  <c r="X12" i="2" s="1"/>
  <c r="J10" i="2"/>
  <c r="K10" i="2" s="1"/>
  <c r="R10" i="2"/>
  <c r="S10" i="2" s="1"/>
  <c r="N11" i="2"/>
  <c r="O11" i="2" s="1"/>
  <c r="AB6" i="2"/>
  <c r="G6" i="2"/>
  <c r="N12" i="2" l="1"/>
  <c r="O12" i="2" s="1"/>
  <c r="J11" i="2"/>
  <c r="K11" i="2" s="1"/>
  <c r="R11" i="2"/>
  <c r="S11" i="2" s="1"/>
  <c r="AC6" i="2"/>
  <c r="F7" i="2"/>
  <c r="AA7" i="2" s="1"/>
  <c r="AB7" i="2" s="1"/>
  <c r="AK7" i="2" s="1"/>
  <c r="W13" i="2"/>
  <c r="X13" i="2" s="1"/>
  <c r="AK6" i="2"/>
  <c r="AL6" i="2" s="1"/>
  <c r="AL7" i="2" s="1"/>
  <c r="G7" i="2" l="1"/>
  <c r="W14" i="2"/>
  <c r="X14" i="2" s="1"/>
  <c r="J12" i="2"/>
  <c r="K12" i="2" s="1"/>
  <c r="R12" i="2"/>
  <c r="S12" i="2" s="1"/>
  <c r="N13" i="2"/>
  <c r="O13" i="2" s="1"/>
  <c r="AC7" i="2"/>
  <c r="F8" i="2"/>
  <c r="AA8" i="2" s="1"/>
  <c r="AB8" i="2" s="1"/>
  <c r="N14" i="2" l="1"/>
  <c r="O14" i="2"/>
  <c r="R13" i="2"/>
  <c r="S13" i="2" s="1"/>
  <c r="W15" i="2"/>
  <c r="X15" i="2" s="1"/>
  <c r="J13" i="2"/>
  <c r="K13" i="2" s="1"/>
  <c r="G8" i="2"/>
  <c r="AK8" i="2"/>
  <c r="AL8" i="2" s="1"/>
  <c r="W16" i="2" l="1"/>
  <c r="X16" i="2" s="1"/>
  <c r="R14" i="2"/>
  <c r="S14" i="2" s="1"/>
  <c r="J14" i="2"/>
  <c r="K14" i="2" s="1"/>
  <c r="N15" i="2"/>
  <c r="O15" i="2" s="1"/>
  <c r="F9" i="2"/>
  <c r="AA9" i="2" s="1"/>
  <c r="AB9" i="2" s="1"/>
  <c r="AC8" i="2"/>
  <c r="G9" i="2" l="1"/>
  <c r="J15" i="2"/>
  <c r="K15" i="2" s="1"/>
  <c r="N16" i="2"/>
  <c r="O16" i="2" s="1"/>
  <c r="R15" i="2"/>
  <c r="S15" i="2" s="1"/>
  <c r="AC9" i="2"/>
  <c r="F10" i="2"/>
  <c r="AA10" i="2" s="1"/>
  <c r="AB10" i="2" s="1"/>
  <c r="AK10" i="2" s="1"/>
  <c r="AK9" i="2"/>
  <c r="AL9" i="2" s="1"/>
  <c r="W17" i="2"/>
  <c r="X17" i="2" s="1"/>
  <c r="AL10" i="2" l="1"/>
  <c r="G10" i="2"/>
  <c r="AC10" i="2" s="1"/>
  <c r="W18" i="2"/>
  <c r="X18" i="2" s="1"/>
  <c r="N17" i="2"/>
  <c r="O17" i="2" s="1"/>
  <c r="J16" i="2"/>
  <c r="K16" i="2" s="1"/>
  <c r="R16" i="2"/>
  <c r="S16" i="2" s="1"/>
  <c r="F11" i="2"/>
  <c r="AA11" i="2" s="1"/>
  <c r="AB11" i="2" s="1"/>
  <c r="AK11" i="2" s="1"/>
  <c r="AL11" i="2" l="1"/>
  <c r="G11" i="2"/>
  <c r="J17" i="2"/>
  <c r="K17" i="2" s="1"/>
  <c r="N18" i="2"/>
  <c r="O18" i="2" s="1"/>
  <c r="W19" i="2"/>
  <c r="X19" i="2" s="1"/>
  <c r="R17" i="2"/>
  <c r="S17" i="2" s="1"/>
  <c r="AC11" i="2"/>
  <c r="F12" i="2"/>
  <c r="AA12" i="2" s="1"/>
  <c r="AB12" i="2" s="1"/>
  <c r="AK12" i="2" s="1"/>
  <c r="AL12" i="2" l="1"/>
  <c r="N19" i="2"/>
  <c r="O19" i="2" s="1"/>
  <c r="W20" i="2"/>
  <c r="X20" i="2" s="1"/>
  <c r="J18" i="2"/>
  <c r="K18" i="2" s="1"/>
  <c r="R18" i="2"/>
  <c r="S18" i="2" s="1"/>
  <c r="G12" i="2"/>
  <c r="W21" i="2" l="1"/>
  <c r="X21" i="2" s="1"/>
  <c r="J19" i="2"/>
  <c r="K19" i="2" s="1"/>
  <c r="N20" i="2"/>
  <c r="O20" i="2" s="1"/>
  <c r="R19" i="2"/>
  <c r="S19" i="2" s="1"/>
  <c r="AC12" i="2"/>
  <c r="F13" i="2"/>
  <c r="AA13" i="2" s="1"/>
  <c r="AB13" i="2" s="1"/>
  <c r="AK13" i="2" s="1"/>
  <c r="AL13" i="2" s="1"/>
  <c r="N21" i="2" l="1"/>
  <c r="O21" i="2" s="1"/>
  <c r="J20" i="2"/>
  <c r="K20" i="2" s="1"/>
  <c r="W22" i="2"/>
  <c r="X22" i="2" s="1"/>
  <c r="R20" i="2"/>
  <c r="S20" i="2" s="1"/>
  <c r="G13" i="2"/>
  <c r="R21" i="2" l="1"/>
  <c r="S21" i="2" s="1"/>
  <c r="W23" i="2"/>
  <c r="X23" i="2" s="1"/>
  <c r="J21" i="2"/>
  <c r="K21" i="2" s="1"/>
  <c r="N22" i="2"/>
  <c r="O22" i="2" s="1"/>
  <c r="AC13" i="2"/>
  <c r="F14" i="2"/>
  <c r="AA14" i="2" s="1"/>
  <c r="AB14" i="2" s="1"/>
  <c r="AK14" i="2" s="1"/>
  <c r="AL14" i="2" s="1"/>
  <c r="G14" i="2"/>
  <c r="J22" i="2" l="1"/>
  <c r="K22" i="2" s="1"/>
  <c r="N23" i="2"/>
  <c r="O23" i="2" s="1"/>
  <c r="R22" i="2"/>
  <c r="S22" i="2" s="1"/>
  <c r="F15" i="2"/>
  <c r="AA15" i="2" s="1"/>
  <c r="AB15" i="2" s="1"/>
  <c r="AC14" i="2"/>
  <c r="W24" i="2"/>
  <c r="X24" i="2" s="1"/>
  <c r="W25" i="2" l="1"/>
  <c r="X25" i="2" s="1"/>
  <c r="R23" i="2"/>
  <c r="S23" i="2" s="1"/>
  <c r="N24" i="2"/>
  <c r="O24" i="2" s="1"/>
  <c r="J23" i="2"/>
  <c r="K23" i="2" s="1"/>
  <c r="G15" i="2"/>
  <c r="J24" i="2" l="1"/>
  <c r="K24" i="2" s="1"/>
  <c r="N25" i="2"/>
  <c r="O25" i="2" s="1"/>
  <c r="R24" i="2"/>
  <c r="S24" i="2" s="1"/>
  <c r="W26" i="2"/>
  <c r="X26" i="2" s="1"/>
  <c r="AC15" i="2"/>
  <c r="AF15" i="2" s="1"/>
  <c r="F16" i="2"/>
  <c r="AA16" i="2" s="1"/>
  <c r="AB16" i="2" s="1"/>
  <c r="AK16" i="2" s="1"/>
  <c r="N26" i="2" l="1"/>
  <c r="O26" i="2" s="1"/>
  <c r="R25" i="2"/>
  <c r="S25" i="2" s="1"/>
  <c r="J25" i="2"/>
  <c r="K25" i="2" s="1"/>
  <c r="W27" i="2"/>
  <c r="X27" i="2" s="1"/>
  <c r="AI15" i="2"/>
  <c r="G16" i="2"/>
  <c r="W28" i="2" l="1"/>
  <c r="X28" i="2" s="1"/>
  <c r="J26" i="2"/>
  <c r="K26" i="2" s="1"/>
  <c r="N27" i="2"/>
  <c r="O27" i="2" s="1"/>
  <c r="AC16" i="2"/>
  <c r="F17" i="2"/>
  <c r="AA17" i="2" s="1"/>
  <c r="AB17" i="2" s="1"/>
  <c r="AK17" i="2" s="1"/>
  <c r="R26" i="2"/>
  <c r="S26" i="2" s="1"/>
  <c r="AK15" i="2"/>
  <c r="AL15" i="2" s="1"/>
  <c r="AL16" i="2" s="1"/>
  <c r="AL17" i="2" l="1"/>
  <c r="G17" i="2"/>
  <c r="F18" i="2" s="1"/>
  <c r="AA18" i="2" s="1"/>
  <c r="AB18" i="2" s="1"/>
  <c r="AK18" i="2" s="1"/>
  <c r="J27" i="2"/>
  <c r="K27" i="2" s="1"/>
  <c r="R27" i="2"/>
  <c r="S27" i="2" s="1"/>
  <c r="N28" i="2"/>
  <c r="O28" i="2" s="1"/>
  <c r="W29" i="2"/>
  <c r="X29" i="2" s="1"/>
  <c r="AL18" i="2" l="1"/>
  <c r="AC17" i="2"/>
  <c r="W30" i="2"/>
  <c r="X30" i="2" s="1"/>
  <c r="R28" i="2"/>
  <c r="S28" i="2" s="1"/>
  <c r="J28" i="2"/>
  <c r="K28" i="2" s="1"/>
  <c r="G18" i="2"/>
  <c r="N29" i="2"/>
  <c r="O29" i="2" s="1"/>
  <c r="N30" i="2" l="1"/>
  <c r="O30" i="2" s="1"/>
  <c r="J29" i="2"/>
  <c r="K29" i="2"/>
  <c r="R29" i="2"/>
  <c r="S29" i="2"/>
  <c r="AC18" i="2"/>
  <c r="F19" i="2"/>
  <c r="AA19" i="2" s="1"/>
  <c r="AB19" i="2" s="1"/>
  <c r="AK19" i="2" s="1"/>
  <c r="AL19" i="2" s="1"/>
  <c r="W31" i="2"/>
  <c r="X31" i="2" s="1"/>
  <c r="G19" i="2" l="1"/>
  <c r="N31" i="2"/>
  <c r="O31" i="2"/>
  <c r="AC19" i="2"/>
  <c r="F20" i="2"/>
  <c r="AA20" i="2" s="1"/>
  <c r="AB20" i="2" s="1"/>
  <c r="AK20" i="2" s="1"/>
  <c r="AL20" i="2" s="1"/>
  <c r="J30" i="2"/>
  <c r="K30" i="2" s="1"/>
  <c r="W32" i="2"/>
  <c r="X32" i="2" s="1"/>
  <c r="R30" i="2"/>
  <c r="S30" i="2" s="1"/>
  <c r="R31" i="2" l="1"/>
  <c r="S31" i="2" s="1"/>
  <c r="W33" i="2"/>
  <c r="X33" i="2" s="1"/>
  <c r="J31" i="2"/>
  <c r="K31" i="2" s="1"/>
  <c r="G20" i="2"/>
  <c r="N32" i="2"/>
  <c r="O32" i="2" s="1"/>
  <c r="N33" i="2" l="1"/>
  <c r="O33" i="2" s="1"/>
  <c r="J32" i="2"/>
  <c r="K32" i="2" s="1"/>
  <c r="W34" i="2"/>
  <c r="X34" i="2" s="1"/>
  <c r="R32" i="2"/>
  <c r="S32" i="2" s="1"/>
  <c r="AC20" i="2"/>
  <c r="F21" i="2"/>
  <c r="AA21" i="2" s="1"/>
  <c r="AB21" i="2" s="1"/>
  <c r="AK21" i="2" s="1"/>
  <c r="AL21" i="2" s="1"/>
  <c r="R33" i="2" l="1"/>
  <c r="S33" i="2" s="1"/>
  <c r="W35" i="2"/>
  <c r="X35" i="2" s="1"/>
  <c r="J33" i="2"/>
  <c r="K33" i="2" s="1"/>
  <c r="N34" i="2"/>
  <c r="O34" i="2" s="1"/>
  <c r="G21" i="2"/>
  <c r="N35" i="2" l="1"/>
  <c r="O35" i="2" s="1"/>
  <c r="W36" i="2"/>
  <c r="X36" i="2" s="1"/>
  <c r="J34" i="2"/>
  <c r="K34" i="2" s="1"/>
  <c r="R34" i="2"/>
  <c r="S34" i="2" s="1"/>
  <c r="AC21" i="2"/>
  <c r="F22" i="2"/>
  <c r="AA22" i="2" s="1"/>
  <c r="AB22" i="2" s="1"/>
  <c r="AK22" i="2" s="1"/>
  <c r="AL22" i="2" s="1"/>
  <c r="J35" i="2" l="1"/>
  <c r="K35" i="2"/>
  <c r="N36" i="2"/>
  <c r="O36" i="2" s="1"/>
  <c r="R35" i="2"/>
  <c r="S35" i="2" s="1"/>
  <c r="W37" i="2"/>
  <c r="X37" i="2" s="1"/>
  <c r="G22" i="2"/>
  <c r="W38" i="2" l="1"/>
  <c r="X38" i="2" s="1"/>
  <c r="N37" i="2"/>
  <c r="O37" i="2" s="1"/>
  <c r="R36" i="2"/>
  <c r="S36" i="2" s="1"/>
  <c r="AC22" i="2"/>
  <c r="F23" i="2"/>
  <c r="AA23" i="2" s="1"/>
  <c r="AB23" i="2" s="1"/>
  <c r="AK23" i="2" s="1"/>
  <c r="AL23" i="2" s="1"/>
  <c r="J36" i="2"/>
  <c r="K36" i="2" s="1"/>
  <c r="G23" i="2" l="1"/>
  <c r="AC23" i="2" s="1"/>
  <c r="N38" i="2"/>
  <c r="O38" i="2" s="1"/>
  <c r="J37" i="2"/>
  <c r="K37" i="2" s="1"/>
  <c r="R37" i="2"/>
  <c r="S37" i="2" s="1"/>
  <c r="W39" i="2"/>
  <c r="X39" i="2" s="1"/>
  <c r="F24" i="2" l="1"/>
  <c r="AA24" i="2" s="1"/>
  <c r="AB24" i="2" s="1"/>
  <c r="AK24" i="2" s="1"/>
  <c r="AL24" i="2" s="1"/>
  <c r="W40" i="2"/>
  <c r="X40" i="2" s="1"/>
  <c r="J38" i="2"/>
  <c r="K38" i="2" s="1"/>
  <c r="R38" i="2"/>
  <c r="S38" i="2" s="1"/>
  <c r="N39" i="2"/>
  <c r="O39" i="2" s="1"/>
  <c r="G24" i="2"/>
  <c r="R39" i="2" l="1"/>
  <c r="S39" i="2" s="1"/>
  <c r="J39" i="2"/>
  <c r="K39" i="2" s="1"/>
  <c r="N40" i="2"/>
  <c r="O40" i="2" s="1"/>
  <c r="F25" i="2"/>
  <c r="AA25" i="2" s="1"/>
  <c r="AB25" i="2" s="1"/>
  <c r="AK25" i="2" s="1"/>
  <c r="AL25" i="2" s="1"/>
  <c r="AC24" i="2"/>
  <c r="W41" i="2"/>
  <c r="X41" i="2" s="1"/>
  <c r="W42" i="2" l="1"/>
  <c r="X42" i="2" s="1"/>
  <c r="N41" i="2"/>
  <c r="O41" i="2" s="1"/>
  <c r="J40" i="2"/>
  <c r="K40" i="2" s="1"/>
  <c r="R40" i="2"/>
  <c r="S40" i="2" s="1"/>
  <c r="G25" i="2"/>
  <c r="J41" i="2" l="1"/>
  <c r="K41" i="2" s="1"/>
  <c r="N42" i="2"/>
  <c r="O42" i="2"/>
  <c r="W43" i="2"/>
  <c r="X43" i="2" s="1"/>
  <c r="R41" i="2"/>
  <c r="S41" i="2" s="1"/>
  <c r="AC25" i="2"/>
  <c r="F26" i="2"/>
  <c r="AA26" i="2" s="1"/>
  <c r="AB26" i="2" s="1"/>
  <c r="AK26" i="2" s="1"/>
  <c r="AL26" i="2" s="1"/>
  <c r="R42" i="2" l="1"/>
  <c r="S42" i="2" s="1"/>
  <c r="W44" i="2"/>
  <c r="X44" i="2" s="1"/>
  <c r="J42" i="2"/>
  <c r="K42" i="2" s="1"/>
  <c r="N43" i="2"/>
  <c r="O43" i="2" s="1"/>
  <c r="G26" i="2"/>
  <c r="J43" i="2" l="1"/>
  <c r="K43" i="2" s="1"/>
  <c r="R43" i="2"/>
  <c r="S43" i="2" s="1"/>
  <c r="N44" i="2"/>
  <c r="O44" i="2" s="1"/>
  <c r="W45" i="2"/>
  <c r="X45" i="2" s="1"/>
  <c r="AC26" i="2"/>
  <c r="F27" i="2"/>
  <c r="AA27" i="2" s="1"/>
  <c r="AB27" i="2" s="1"/>
  <c r="G27" i="2" l="1"/>
  <c r="W46" i="2"/>
  <c r="X46" i="2" s="1"/>
  <c r="N45" i="2"/>
  <c r="O45" i="2" s="1"/>
  <c r="J44" i="2"/>
  <c r="K44" i="2" s="1"/>
  <c r="R44" i="2"/>
  <c r="S44" i="2" s="1"/>
  <c r="F28" i="2" l="1"/>
  <c r="AA28" i="2" s="1"/>
  <c r="AB28" i="2" s="1"/>
  <c r="AK28" i="2" s="1"/>
  <c r="AC27" i="2"/>
  <c r="AF27" i="2" s="1"/>
  <c r="AI27" i="2" s="1"/>
  <c r="AK27" i="2" s="1"/>
  <c r="AL27" i="2" s="1"/>
  <c r="AL28" i="2" s="1"/>
  <c r="N46" i="2"/>
  <c r="O46" i="2" s="1"/>
  <c r="R45" i="2"/>
  <c r="S45" i="2" s="1"/>
  <c r="J45" i="2"/>
  <c r="K45" i="2" s="1"/>
  <c r="W47" i="2"/>
  <c r="X47" i="2" s="1"/>
  <c r="G28" i="2" l="1"/>
  <c r="F29" i="2" s="1"/>
  <c r="AA29" i="2" s="1"/>
  <c r="AB29" i="2" s="1"/>
  <c r="AK29" i="2" s="1"/>
  <c r="AL29" i="2" s="1"/>
  <c r="W48" i="2"/>
  <c r="X48" i="2" s="1"/>
  <c r="R46" i="2"/>
  <c r="S46" i="2" s="1"/>
  <c r="J46" i="2"/>
  <c r="K46" i="2" s="1"/>
  <c r="N47" i="2"/>
  <c r="O47" i="2" s="1"/>
  <c r="G29" i="2"/>
  <c r="AC28" i="2" l="1"/>
  <c r="N48" i="2"/>
  <c r="O48" i="2" s="1"/>
  <c r="R47" i="2"/>
  <c r="S47" i="2" s="1"/>
  <c r="J47" i="2"/>
  <c r="K47" i="2" s="1"/>
  <c r="W49" i="2"/>
  <c r="X49" i="2" s="1"/>
  <c r="AC29" i="2"/>
  <c r="F30" i="2"/>
  <c r="AA30" i="2" s="1"/>
  <c r="AB30" i="2" s="1"/>
  <c r="AK30" i="2" s="1"/>
  <c r="AL30" i="2" s="1"/>
  <c r="J48" i="2" l="1"/>
  <c r="K48" i="2"/>
  <c r="W50" i="2"/>
  <c r="X50" i="2" s="1"/>
  <c r="R48" i="2"/>
  <c r="S48" i="2" s="1"/>
  <c r="N49" i="2"/>
  <c r="O49" i="2" s="1"/>
  <c r="G30" i="2"/>
  <c r="N50" i="2" l="1"/>
  <c r="O50" i="2" s="1"/>
  <c r="W51" i="2"/>
  <c r="X51" i="2" s="1"/>
  <c r="J49" i="2"/>
  <c r="K49" i="2" s="1"/>
  <c r="R49" i="2"/>
  <c r="S49" i="2" s="1"/>
  <c r="AC30" i="2"/>
  <c r="F31" i="2"/>
  <c r="AA31" i="2" s="1"/>
  <c r="AB31" i="2" s="1"/>
  <c r="AK31" i="2" s="1"/>
  <c r="AL31" i="2" s="1"/>
  <c r="R50" i="2" l="1"/>
  <c r="S50" i="2" s="1"/>
  <c r="J50" i="2"/>
  <c r="K50" i="2" s="1"/>
  <c r="N51" i="2"/>
  <c r="O51" i="2" s="1"/>
  <c r="G31" i="2"/>
  <c r="J51" i="2" l="1"/>
  <c r="K51" i="2" s="1"/>
  <c r="AC31" i="2"/>
  <c r="F32" i="2"/>
  <c r="AA32" i="2" s="1"/>
  <c r="AB32" i="2" s="1"/>
  <c r="AK32" i="2" s="1"/>
  <c r="AL32" i="2" s="1"/>
  <c r="R51" i="2"/>
  <c r="S51" i="2" s="1"/>
  <c r="G32" i="2" l="1"/>
  <c r="AC32" i="2" l="1"/>
  <c r="F33" i="2"/>
  <c r="AA33" i="2" s="1"/>
  <c r="AB33" i="2" s="1"/>
  <c r="AK33" i="2" s="1"/>
  <c r="AL33" i="2" s="1"/>
  <c r="G33" i="2"/>
  <c r="AC33" i="2" l="1"/>
  <c r="F34" i="2"/>
  <c r="AA34" i="2" s="1"/>
  <c r="AB34" i="2" s="1"/>
  <c r="AK34" i="2" s="1"/>
  <c r="AL34" i="2" s="1"/>
  <c r="G34" i="2" l="1"/>
  <c r="F35" i="2" l="1"/>
  <c r="AA35" i="2" s="1"/>
  <c r="AB35" i="2" s="1"/>
  <c r="AK35" i="2" s="1"/>
  <c r="AL35" i="2" s="1"/>
  <c r="AC34" i="2"/>
  <c r="G35" i="2" l="1"/>
  <c r="AC35" i="2"/>
  <c r="F36" i="2"/>
  <c r="AA36" i="2" s="1"/>
  <c r="AB36" i="2" s="1"/>
  <c r="AK36" i="2" s="1"/>
  <c r="AL36" i="2" s="1"/>
  <c r="G36" i="2" l="1"/>
  <c r="AC36" i="2" l="1"/>
  <c r="F37" i="2"/>
  <c r="AA37" i="2" s="1"/>
  <c r="AB37" i="2" s="1"/>
  <c r="AK37" i="2" s="1"/>
  <c r="AL37" i="2" s="1"/>
  <c r="G37" i="2"/>
  <c r="AC37" i="2" l="1"/>
  <c r="F38" i="2"/>
  <c r="AA38" i="2" s="1"/>
  <c r="AB38" i="2" s="1"/>
  <c r="AK38" i="2" s="1"/>
  <c r="AL38" i="2" s="1"/>
  <c r="G38" i="2" l="1"/>
  <c r="F39" i="2" l="1"/>
  <c r="AA39" i="2" s="1"/>
  <c r="AB39" i="2" s="1"/>
  <c r="AC38" i="2"/>
  <c r="G39" i="2" l="1"/>
  <c r="AC39" i="2" l="1"/>
  <c r="AF39" i="2" s="1"/>
  <c r="F40" i="2"/>
  <c r="AA40" i="2" s="1"/>
  <c r="AB40" i="2" s="1"/>
  <c r="AK40" i="2" s="1"/>
  <c r="AM40" i="2" s="1"/>
  <c r="G40" i="2" l="1"/>
  <c r="AI39" i="2"/>
  <c r="AK39" i="2" s="1"/>
  <c r="AL39" i="2" s="1"/>
  <c r="AL40" i="2" s="1"/>
  <c r="AL41" i="2" s="1"/>
  <c r="AL42" i="2" s="1"/>
  <c r="AL43" i="2" s="1"/>
  <c r="AL44" i="2" s="1"/>
  <c r="AL45" i="2" s="1"/>
  <c r="AL46" i="2" s="1"/>
  <c r="AL47" i="2" s="1"/>
  <c r="AL48" i="2" s="1"/>
  <c r="AL49" i="2" s="1"/>
  <c r="AL50" i="2" s="1"/>
  <c r="AL51" i="2" s="1"/>
  <c r="AC40" i="2"/>
  <c r="F41" i="2"/>
  <c r="AA41" i="2" s="1"/>
  <c r="AB41" i="2" s="1"/>
  <c r="AK41" i="2" s="1"/>
  <c r="AM41" i="2" s="1"/>
  <c r="G41" i="2" l="1"/>
  <c r="AC41" i="2" l="1"/>
  <c r="F42" i="2"/>
  <c r="AA42" i="2" s="1"/>
  <c r="AB42" i="2" s="1"/>
  <c r="AK42" i="2" s="1"/>
  <c r="AM42" i="2" s="1"/>
  <c r="G42" i="2" l="1"/>
  <c r="AC42" i="2" l="1"/>
  <c r="F43" i="2"/>
  <c r="AA43" i="2" s="1"/>
  <c r="AB43" i="2" s="1"/>
  <c r="AK43" i="2" s="1"/>
  <c r="AM43" i="2" s="1"/>
  <c r="G43" i="2" l="1"/>
  <c r="AC43" i="2" l="1"/>
  <c r="F44" i="2"/>
  <c r="AA44" i="2" s="1"/>
  <c r="AB44" i="2" s="1"/>
  <c r="AK44" i="2" s="1"/>
  <c r="AM44" i="2" s="1"/>
  <c r="G44" i="2" l="1"/>
  <c r="AC44" i="2" l="1"/>
  <c r="F45" i="2"/>
  <c r="AA45" i="2" s="1"/>
  <c r="AB45" i="2" s="1"/>
  <c r="AK45" i="2" s="1"/>
  <c r="AM45" i="2" s="1"/>
  <c r="G45" i="2" l="1"/>
  <c r="AC45" i="2" l="1"/>
  <c r="F46" i="2"/>
  <c r="AA46" i="2" s="1"/>
  <c r="AB46" i="2" s="1"/>
  <c r="AK46" i="2" s="1"/>
  <c r="AM46" i="2" s="1"/>
  <c r="G46" i="2" l="1"/>
  <c r="AC46" i="2" l="1"/>
  <c r="F47" i="2"/>
  <c r="AA47" i="2" s="1"/>
  <c r="AB47" i="2" s="1"/>
  <c r="AK47" i="2" s="1"/>
  <c r="AM47" i="2" s="1"/>
  <c r="G47" i="2" l="1"/>
  <c r="AC47" i="2" l="1"/>
  <c r="F48" i="2"/>
  <c r="AA48" i="2" s="1"/>
  <c r="AB48" i="2" s="1"/>
  <c r="AK48" i="2" s="1"/>
  <c r="AM48" i="2" s="1"/>
  <c r="G48" i="2" l="1"/>
  <c r="AC48" i="2" l="1"/>
  <c r="F49" i="2"/>
  <c r="AA49" i="2" s="1"/>
  <c r="AB49" i="2" s="1"/>
  <c r="AK49" i="2" s="1"/>
  <c r="AM49" i="2" s="1"/>
  <c r="G49" i="2" l="1"/>
  <c r="F50" i="2" l="1"/>
  <c r="AA50" i="2" s="1"/>
  <c r="AB50" i="2" s="1"/>
  <c r="AK50" i="2" s="1"/>
  <c r="AM50" i="2" s="1"/>
  <c r="AC49" i="2"/>
  <c r="G50" i="2" l="1"/>
  <c r="F51" i="2" l="1"/>
  <c r="AA51" i="2" s="1"/>
  <c r="G51" i="2"/>
  <c r="AC51" i="2" s="1"/>
  <c r="AC50" i="2"/>
  <c r="AC52" i="2" l="1"/>
  <c r="AF51" i="2"/>
  <c r="AB51" i="2"/>
  <c r="AA52" i="2"/>
  <c r="AB52" i="2" l="1"/>
  <c r="AI51" i="2"/>
  <c r="AI52" i="2" s="1"/>
  <c r="AF52" i="2"/>
  <c r="AK51" i="2" l="1"/>
  <c r="AM51" i="2" s="1"/>
  <c r="AM52" i="2" s="1"/>
  <c r="AK52" i="2" l="1"/>
  <c r="AL52" i="2"/>
</calcChain>
</file>

<file path=xl/sharedStrings.xml><?xml version="1.0" encoding="utf-8"?>
<sst xmlns="http://schemas.openxmlformats.org/spreadsheetml/2006/main" count="140" uniqueCount="120">
  <si>
    <t>BitWealth (Pty) Ltd — Cashflow Model Variables</t>
  </si>
  <si>
    <t>v3.0  ·  48-Month Forecast  ·  Adjust YELLOW cells  ·  All formulas in 'MONTHLY FORECAST' tab update automatically</t>
  </si>
  <si>
    <t>RETURN &amp; PERFORMANCE ASSUMPTIONS</t>
  </si>
  <si>
    <t>Annual portfolio return — Years 1–3 (p.a.)</t>
  </si>
  <si>
    <t>Annual portfolio return — Year 4 (p.a.)</t>
  </si>
  <si>
    <t>Year 4 starts (model month number)</t>
  </si>
  <si>
    <t>Month 37 = July 2029 (one month after the 36-month bull period)</t>
  </si>
  <si>
    <t>Performance fee crystallisation period (months)</t>
  </si>
  <si>
    <t>3 = quarterly (default). Change to 1 for monthly, 12 for annual</t>
  </si>
  <si>
    <t>Monthly reserve provision into Y4 buffer (R)</t>
  </si>
  <si>
    <t>Set aside this amount each month in Years 1–3 to fund Year 4 cash deficit</t>
  </si>
  <si>
    <t>COST ASSUMPTIONS</t>
  </si>
  <si>
    <t>CAEP onboarding fee (once-off, Month 1)</t>
  </si>
  <si>
    <t>Juristic Representative appointment fee</t>
  </si>
  <si>
    <t>CAEP hosting — Months 1–3</t>
  </si>
  <si>
    <t>Per month</t>
  </si>
  <si>
    <t>CAEP hosting — Months 4–6</t>
  </si>
  <si>
    <t>CAEP hosting — Month 7 onwards</t>
  </si>
  <si>
    <t>Per month steady-state; negotiate cap contractually</t>
  </si>
  <si>
    <t>CAEP AUM fee (% of AUM, billed once annually)</t>
  </si>
  <si>
    <t>0.25% p.a.; billed in months 12, 24, 36, 48 on AUM at that date</t>
  </si>
  <si>
    <t>Software &amp; infrastructure (monthly)</t>
  </si>
  <si>
    <t>Company secretarial (annual, charged in month 12/24/36/48)</t>
  </si>
  <si>
    <t>CIPC return + company secretary</t>
  </si>
  <si>
    <t>CLIENT 1 (Founding — Davin referral / existing)</t>
  </si>
  <si>
    <t>Start month</t>
  </si>
  <si>
    <t>Month 1 = June 2026</t>
  </si>
  <si>
    <t>Initial lump sum (R)</t>
  </si>
  <si>
    <t>Monthly contribution (R)</t>
  </si>
  <si>
    <t>Minimum 5 years</t>
  </si>
  <si>
    <t>Platform fee rate</t>
  </si>
  <si>
    <t>0.75%</t>
  </si>
  <si>
    <t>Performance fee rate</t>
  </si>
  <si>
    <t>2.5% — negotiated rate for this client</t>
  </si>
  <si>
    <t>CLIENT 2 (Founding — lined-up)</t>
  </si>
  <si>
    <t>Month 2 = July 2026</t>
  </si>
  <si>
    <t>Standard 10%</t>
  </si>
  <si>
    <t>CLIENT 3 (Founding — large lump sum)</t>
  </si>
  <si>
    <t>No monthly contributions</t>
  </si>
  <si>
    <t>0.75% on lump sum = R37 500 on day 1</t>
  </si>
  <si>
    <t>2.5% — preferential rate</t>
  </si>
  <si>
    <t>NEW CLIENT ACQUISITION (rolling ramp)</t>
  </si>
  <si>
    <t>Maximum cohort batches to model</t>
  </si>
  <si>
    <t>Model adds 1 batch per interval up to this cap; total clients = batches × per-cohort</t>
  </si>
  <si>
    <t>First cohort — start month</t>
  </si>
  <si>
    <t>Subsequent cohorts — interval (months)</t>
  </si>
  <si>
    <t>New clients per cohort batch</t>
  </si>
  <si>
    <t>Change to 2+ to onboard multiple clients per interval. NC Active# column shows total active clients</t>
  </si>
  <si>
    <t>New client initial lump sum (R, per client)</t>
  </si>
  <si>
    <t>Applied per client; if 2 clients per batch and lump=500k → R1m lump per batch</t>
  </si>
  <si>
    <t>New client monthly contribution (R, per client)</t>
  </si>
  <si>
    <t>Per client per month; total = active_clients × this value</t>
  </si>
  <si>
    <t>New client platform fee rate</t>
  </si>
  <si>
    <t>Standard 0.75%</t>
  </si>
  <si>
    <t>New client performance fee rate</t>
  </si>
  <si>
    <t>FORECAST PARAMETERS</t>
  </si>
  <si>
    <t>Forecast months</t>
  </si>
  <si>
    <t>Max 48 (4 years). Rows beyond this will show blank.</t>
  </si>
  <si>
    <t>Model start year</t>
  </si>
  <si>
    <t>Calendar year of Month 1</t>
  </si>
  <si>
    <t>Model start calendar month (1=Jan … 12=Dec)</t>
  </si>
  <si>
    <t>6 = June</t>
  </si>
  <si>
    <t>★  Yellow cells are editable.  The MONTHLY FORECAST sheet uses Excel formulas that reference these cells — change any value above and the forecast updates automatically.  Performance fee note: model uses simplified monthly accrual (fee = AUM × monthly_return × perf_rate) which closely approximates the quarterly HWM crystallisation approach (verified within 1% annual variance).</t>
  </si>
  <si>
    <t>BitWealth (Pty) Ltd — 48-Month Operating Cashflow Forecast v3.0  ·  All formulas auto-update when VARIABLES are changed</t>
  </si>
  <si>
    <t>PERIOD</t>
  </si>
  <si>
    <t>CLIENT DETAIL (hidden by default — click + to expand)</t>
  </si>
  <si>
    <t>NEW CLIENTS</t>
  </si>
  <si>
    <t>REVENUE</t>
  </si>
  <si>
    <t>TOTAL AUM</t>
  </si>
  <si>
    <t>COSTS</t>
  </si>
  <si>
    <t>RESERVE</t>
  </si>
  <si>
    <t>CASHFLOW</t>
  </si>
  <si>
    <t>Month
#</t>
  </si>
  <si>
    <t>Month</t>
  </si>
  <si>
    <t>Monthly
Return %</t>
  </si>
  <si>
    <t>C1
Contrib</t>
  </si>
  <si>
    <t>C1
Plat Fee</t>
  </si>
  <si>
    <t>C1
Perf Fee</t>
  </si>
  <si>
    <t>C1
AUM</t>
  </si>
  <si>
    <t>C2
Contrib</t>
  </si>
  <si>
    <t>C2
Plat Fee</t>
  </si>
  <si>
    <t>C2
Perf Fee</t>
  </si>
  <si>
    <t>C2
AUM</t>
  </si>
  <si>
    <t>C3
Contrib</t>
  </si>
  <si>
    <t>C3
Plat Fee</t>
  </si>
  <si>
    <t>C3
Perf Fee</t>
  </si>
  <si>
    <t>C3
AUM</t>
  </si>
  <si>
    <t>C4
Contrib</t>
  </si>
  <si>
    <t>C4
Plat Fee</t>
  </si>
  <si>
    <t>C4
Perf Fee</t>
  </si>
  <si>
    <t>C4
AUM</t>
  </si>
  <si>
    <t>NC
Active#</t>
  </si>
  <si>
    <t>NC
Contrib</t>
  </si>
  <si>
    <t>NC
Plat Fee</t>
  </si>
  <si>
    <t>NC
Perf Fee</t>
  </si>
  <si>
    <t>NC
AUM</t>
  </si>
  <si>
    <t>Total
Contrib</t>
  </si>
  <si>
    <t>Total
Plat Fee</t>
  </si>
  <si>
    <t>Total
Perf Fee</t>
  </si>
  <si>
    <t>TOTAL
REVENUE</t>
  </si>
  <si>
    <t>TOTAL
AUM</t>
  </si>
  <si>
    <t>CAEP
Onboard</t>
  </si>
  <si>
    <t>CAEP
Hosting</t>
  </si>
  <si>
    <t>CAEP
AUM Fee</t>
  </si>
  <si>
    <t>Software</t>
  </si>
  <si>
    <t>Co Sec</t>
  </si>
  <si>
    <t>TOTAL
COSTS</t>
  </si>
  <si>
    <t>Reserve
Provision</t>
  </si>
  <si>
    <t>NET CASH
(after reserve)</t>
  </si>
  <si>
    <t>CUMULATIVE
CASH</t>
  </si>
  <si>
    <t>Reserve
Fund Bal</t>
  </si>
  <si>
    <t>TOTAL / FINAL</t>
  </si>
  <si>
    <t>BitWealth (Pty) Ltd — Cashflow Visual Summary</t>
  </si>
  <si>
    <t>Cloud, Supabase, On-Chain API, Netlify, Domains, etc.</t>
  </si>
  <si>
    <t>CLIENT 4 (Founding — lined-up)</t>
  </si>
  <si>
    <t>Month 3 = August 2026 (first quarter after founding 3)</t>
  </si>
  <si>
    <t>1 new client every X months. Change to 1 for monthly growth</t>
  </si>
  <si>
    <t>40% p.a. BTC bull cycle; divided by 12 for monthly</t>
  </si>
  <si>
    <t>10% — BTC bear/consolidation year; set to e.g. 20% for optimistic Y4</t>
  </si>
  <si>
    <t>NOTES:  ① Detail columns (Clients 1-4 + New Clients) are hidden — click the [+] group toggle above column D to expand.  ② Performance fee uses simplified monthly accrual (AUM × monthly_return × perf_rate) — closely approximates quarterly HWM crystallisation.  ③ CAEP AUM fee (0.25%) billed annually in months 12, 24, 36, 48 on end-of-month AUM.  ④ Reserve provision set aside monthly (Years 1–3) to fund Year 4 cash deficit; tracked in Reserve Fund Balance column.  ⑤ Year 4 (months 37–48) assumes 10% portfolio return — staking to USDPC.  ⑥ NEW v3.0: nc_per_cohort variable = clients per cohort batch. NC Active# column shows total active clients. Example: nc_per_cohort=2 + nc_monthly=R50k → R50k total contribution per active batch.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</si>
</sst>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;[Red]\(\R\ #,##0\)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555555"/>
      <name val="Aptos"/>
      <family val="2"/>
    </font>
    <font>
      <i/>
      <sz val="9"/>
      <color rgb="FF1A1A1A"/>
      <name val="Aptos"/>
      <family val="2"/>
    </font>
    <font>
      <b/>
      <sz val="9"/>
      <color rgb="FFFFFFFF"/>
      <name val="Aptos"/>
      <family val="2"/>
    </font>
    <font>
      <sz val="9"/>
      <color theme="1"/>
      <name val="Aptos"/>
      <family val="2"/>
    </font>
    <font>
      <sz val="9"/>
      <color rgb="FF1A1A1A"/>
      <name val="Aptos"/>
      <family val="2"/>
    </font>
    <font>
      <b/>
      <sz val="9"/>
      <color rgb="FF1A1A1A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rgb="FFC9A227"/>
      </patternFill>
    </fill>
    <fill>
      <patternFill patternType="solid">
        <fgColor rgb="FFF5EBC8"/>
      </patternFill>
    </fill>
    <fill>
      <patternFill patternType="solid">
        <fgColor rgb="FF006064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37474F"/>
      </patternFill>
    </fill>
    <fill>
      <patternFill patternType="solid">
        <fgColor rgb="FF1B5E20"/>
      </patternFill>
    </fill>
    <fill>
      <patternFill patternType="solid">
        <fgColor rgb="FF1A1A1A"/>
      </patternFill>
    </fill>
    <fill>
      <patternFill patternType="solid">
        <fgColor rgb="FFB71C1C"/>
      </patternFill>
    </fill>
    <fill>
      <patternFill patternType="solid">
        <fgColor rgb="FF6D4C41"/>
      </patternFill>
    </fill>
    <fill>
      <patternFill patternType="solid">
        <fgColor rgb="FFC8E6C9"/>
      </patternFill>
    </fill>
    <fill>
      <patternFill patternType="solid">
        <fgColor rgb="FFE3F2FD"/>
      </patternFill>
    </fill>
    <fill>
      <patternFill patternType="solid">
        <fgColor rgb="FFFFCDD2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7" borderId="1" xfId="0" applyFont="1" applyFill="1" applyBorder="1" applyAlignment="1">
      <alignment horizontal="left" vertical="center"/>
    </xf>
    <xf numFmtId="0" fontId="5" fillId="0" borderId="0" xfId="0" applyFont="1"/>
    <xf numFmtId="0" fontId="6" fillId="5" borderId="1" xfId="0" applyFont="1" applyFill="1" applyBorder="1" applyAlignment="1">
      <alignment horizontal="left" vertical="center"/>
    </xf>
    <xf numFmtId="10" fontId="7" fillId="6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right" vertical="center"/>
    </xf>
    <xf numFmtId="164" fontId="7" fillId="6" borderId="2" xfId="0" applyNumberFormat="1" applyFont="1" applyFill="1" applyBorder="1" applyAlignment="1">
      <alignment horizontal="right" vertical="center"/>
    </xf>
    <xf numFmtId="164" fontId="6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4" fillId="4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0" fontId="2" fillId="7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164" fontId="7" fillId="13" borderId="1" xfId="0" applyNumberFormat="1" applyFont="1" applyFill="1" applyBorder="1" applyAlignment="1">
      <alignment horizontal="right" vertical="center"/>
    </xf>
    <xf numFmtId="164" fontId="7" fillId="14" borderId="1" xfId="0" applyNumberFormat="1" applyFont="1" applyFill="1" applyBorder="1" applyAlignment="1">
      <alignment horizontal="right" vertical="center"/>
    </xf>
    <xf numFmtId="164" fontId="7" fillId="15" borderId="1" xfId="0" applyNumberFormat="1" applyFont="1" applyFill="1" applyBorder="1" applyAlignment="1">
      <alignment horizontal="right" vertical="center"/>
    </xf>
    <xf numFmtId="164" fontId="6" fillId="16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164" fontId="7" fillId="16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 vertical="center"/>
    </xf>
    <xf numFmtId="1" fontId="6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 wrapText="1"/>
    </xf>
    <xf numFmtId="0" fontId="5" fillId="0" borderId="0" xfId="0" applyFont="1"/>
    <xf numFmtId="0" fontId="4" fillId="8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4" fillId="1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Total AUM Growth (ZAR)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FORECAST'!$AC$3</c:f>
              <c:strCache>
                <c:ptCount val="1"/>
                <c:pt idx="0">
                  <c:v>TOTAL
AUM</c:v>
                </c:pt>
              </c:strCache>
            </c:strRef>
          </c:tx>
          <c:spPr>
            <a:ln w="25000">
              <a:solidFill>
                <a:srgbClr val="C9A227"/>
              </a:solidFill>
              <a:prstDash val="solid"/>
            </a:ln>
          </c:spPr>
          <c:marker>
            <c:symbol val="none"/>
          </c:marker>
          <c:cat>
            <c:strRef>
              <c:f>'MONTHLY FORECAST'!$B$4:$B$51</c:f>
              <c:strCache>
                <c:ptCount val="48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</c:strCache>
            </c:strRef>
          </c:cat>
          <c:val>
            <c:numRef>
              <c:f>'MONTHLY FORECAST'!$AC$4:$AC$51</c:f>
              <c:numCache>
                <c:formatCode>\R\ #\ ##0;[Red]\(\R\ #\ ##0\)</c:formatCode>
                <c:ptCount val="48"/>
                <c:pt idx="0">
                  <c:v>516250.00000000006</c:v>
                </c:pt>
                <c:pt idx="1">
                  <c:v>5951378.125</c:v>
                </c:pt>
                <c:pt idx="2">
                  <c:v>6456819.9140625</c:v>
                </c:pt>
                <c:pt idx="3">
                  <c:v>6983204.5962695321</c:v>
                </c:pt>
                <c:pt idx="4">
                  <c:v>7531180.9216982927</c:v>
                </c:pt>
                <c:pt idx="5">
                  <c:v>8101417.7679849891</c:v>
                </c:pt>
                <c:pt idx="6">
                  <c:v>8694604.7657659464</c:v>
                </c:pt>
                <c:pt idx="7">
                  <c:v>9311452.9435844272</c:v>
                </c:pt>
                <c:pt idx="8">
                  <c:v>9952695.3928699438</c:v>
                </c:pt>
                <c:pt idx="9">
                  <c:v>10619087.953615811</c:v>
                </c:pt>
                <c:pt idx="10">
                  <c:v>11311409.921400245</c:v>
                </c:pt>
                <c:pt idx="11">
                  <c:v>12030464.77641643</c:v>
                </c:pt>
                <c:pt idx="12">
                  <c:v>12777080.935197763</c:v>
                </c:pt>
                <c:pt idx="13">
                  <c:v>13552112.525745921</c:v>
                </c:pt>
                <c:pt idx="14">
                  <c:v>14356440.186791524</c:v>
                </c:pt>
                <c:pt idx="15">
                  <c:v>15190971.891939875</c:v>
                </c:pt>
                <c:pt idx="16">
                  <c:v>16056643.799477873</c:v>
                </c:pt>
                <c:pt idx="17">
                  <c:v>16954421.128642362</c:v>
                </c:pt>
                <c:pt idx="18">
                  <c:v>17885299.063175134</c:v>
                </c:pt>
                <c:pt idx="19">
                  <c:v>18850303.683015779</c:v>
                </c:pt>
                <c:pt idx="20">
                  <c:v>19850492.925009869</c:v>
                </c:pt>
                <c:pt idx="21">
                  <c:v>20886957.573537651</c:v>
                </c:pt>
                <c:pt idx="22">
                  <c:v>21960822.281996533</c:v>
                </c:pt>
                <c:pt idx="23">
                  <c:v>23073246.626099892</c:v>
                </c:pt>
                <c:pt idx="24">
                  <c:v>24225426.189984772</c:v>
                </c:pt>
                <c:pt idx="25">
                  <c:v>25418593.686152007</c:v>
                </c:pt>
                <c:pt idx="26">
                  <c:v>26654020.110294458</c:v>
                </c:pt>
                <c:pt idx="27">
                  <c:v>27933015.932101812</c:v>
                </c:pt>
                <c:pt idx="28">
                  <c:v>29256932.32316459</c:v>
                </c:pt>
                <c:pt idx="29">
                  <c:v>30627162.423134997</c:v>
                </c:pt>
                <c:pt idx="30">
                  <c:v>32045142.645338465</c:v>
                </c:pt>
                <c:pt idx="31">
                  <c:v>33512354.023067091</c:v>
                </c:pt>
                <c:pt idx="32">
                  <c:v>35030323.597824551</c:v>
                </c:pt>
                <c:pt idx="33">
                  <c:v>36600625.850831866</c:v>
                </c:pt>
                <c:pt idx="34">
                  <c:v>38224884.179144263</c:v>
                </c:pt>
                <c:pt idx="35">
                  <c:v>39904772.417771623</c:v>
                </c:pt>
                <c:pt idx="36">
                  <c:v>40702833.415638342</c:v>
                </c:pt>
                <c:pt idx="37">
                  <c:v>41512137.239840023</c:v>
                </c:pt>
                <c:pt idx="38">
                  <c:v>42332769.998008579</c:v>
                </c:pt>
                <c:pt idx="39">
                  <c:v>43164818.458097979</c:v>
                </c:pt>
                <c:pt idx="40">
                  <c:v>44008370.053454518</c:v>
                </c:pt>
                <c:pt idx="41">
                  <c:v>44863512.887926221</c:v>
                </c:pt>
                <c:pt idx="42">
                  <c:v>45730335.741011404</c:v>
                </c:pt>
                <c:pt idx="43">
                  <c:v>46608928.073046945</c:v>
                </c:pt>
                <c:pt idx="44">
                  <c:v>47499380.030436307</c:v>
                </c:pt>
                <c:pt idx="45">
                  <c:v>48401782.450917944</c:v>
                </c:pt>
                <c:pt idx="46">
                  <c:v>49316226.868873991</c:v>
                </c:pt>
                <c:pt idx="47">
                  <c:v>50242805.52068001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34-4CC9-8E97-645A8D922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ZAR</a:t>
                </a:r>
              </a:p>
            </c:rich>
          </c:tx>
          <c:overlay val="1"/>
        </c:title>
        <c:numFmt formatCode="\R\ #\ ##0;[Red]\(\R\ #\ 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Monthly Revenue vs Costs (ZAR)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FORECAST'!$AB$3</c:f>
              <c:strCache>
                <c:ptCount val="1"/>
                <c:pt idx="0">
                  <c:v>TOTAL
REVENUE</c:v>
                </c:pt>
              </c:strCache>
            </c:strRef>
          </c:tx>
          <c:spPr>
            <a:ln w="20000">
              <a:solidFill>
                <a:srgbClr val="1B5E20"/>
              </a:solidFill>
              <a:prstDash val="solid"/>
            </a:ln>
          </c:spPr>
          <c:marker>
            <c:symbol val="none"/>
          </c:marker>
          <c:cat>
            <c:strRef>
              <c:f>'MONTHLY FORECAST'!$B$4:$B$51</c:f>
              <c:strCache>
                <c:ptCount val="48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</c:strCache>
            </c:strRef>
          </c:cat>
          <c:val>
            <c:numRef>
              <c:f>'MONTHLY FORECAST'!$AB$4:$AB$51</c:f>
              <c:numCache>
                <c:formatCode>\R\ #\ ##0;[Red]\(\R\ #\ ##0\)</c:formatCode>
                <c:ptCount val="48"/>
                <c:pt idx="0">
                  <c:v>4166.666666666667</c:v>
                </c:pt>
                <c:pt idx="1">
                  <c:v>56863.541666666672</c:v>
                </c:pt>
                <c:pt idx="2">
                  <c:v>20799.981770833332</c:v>
                </c:pt>
                <c:pt idx="3">
                  <c:v>21909.314928385418</c:v>
                </c:pt>
                <c:pt idx="4">
                  <c:v>23067.994446891276</c:v>
                </c:pt>
                <c:pt idx="5">
                  <c:v>24277.517769915248</c:v>
                </c:pt>
                <c:pt idx="6">
                  <c:v>25539.427818542499</c:v>
                </c:pt>
                <c:pt idx="7">
                  <c:v>26855.314373716617</c:v>
                </c:pt>
                <c:pt idx="8">
                  <c:v>28226.815500632703</c:v>
                </c:pt>
                <c:pt idx="9">
                  <c:v>29655.619016466666</c:v>
                </c:pt>
                <c:pt idx="10">
                  <c:v>31143.46400276048</c:v>
                </c:pt>
                <c:pt idx="11">
                  <c:v>32692.142363823263</c:v>
                </c:pt>
                <c:pt idx="12">
                  <c:v>34303.500432549772</c:v>
                </c:pt>
                <c:pt idx="13">
                  <c:v>35979.440625100302</c:v>
                </c:pt>
                <c:pt idx="14">
                  <c:v>37721.923145930166</c:v>
                </c:pt>
                <c:pt idx="15">
                  <c:v>39532.967744702437</c:v>
                </c:pt>
                <c:pt idx="16">
                  <c:v>41414.655526664021</c:v>
                </c:pt>
                <c:pt idx="17">
                  <c:v>43369.130818113765</c:v>
                </c:pt>
                <c:pt idx="18">
                  <c:v>45398.603088640644</c:v>
                </c:pt>
                <c:pt idx="19">
                  <c:v>47505.348931861125</c:v>
                </c:pt>
                <c:pt idx="20">
                  <c:v>49691.714106438121</c:v>
                </c:pt>
                <c:pt idx="21">
                  <c:v>51960.115639217605</c:v>
                </c:pt>
                <c:pt idx="22">
                  <c:v>54313.043992375373</c:v>
                </c:pt>
                <c:pt idx="23">
                  <c:v>56753.065296523942</c:v>
                </c:pt>
                <c:pt idx="24">
                  <c:v>59282.8236517892</c:v>
                </c:pt>
                <c:pt idx="25">
                  <c:v>61905.043498927786</c:v>
                </c:pt>
                <c:pt idx="26">
                  <c:v>64622.532062618709</c:v>
                </c:pt>
                <c:pt idx="27">
                  <c:v>67438.18186912885</c:v>
                </c:pt>
                <c:pt idx="28">
                  <c:v>70354.973340618162</c:v>
                </c:pt>
                <c:pt idx="29">
                  <c:v>73375.977468419806</c:v>
                </c:pt>
                <c:pt idx="30">
                  <c:v>76504.358567701973</c:v>
                </c:pt>
                <c:pt idx="31">
                  <c:v>79743.377115990879</c:v>
                </c:pt>
                <c:pt idx="32">
                  <c:v>83096.392678111006</c:v>
                </c:pt>
                <c:pt idx="33">
                  <c:v>86566.866920175555</c:v>
                </c:pt>
                <c:pt idx="34">
                  <c:v>90158.366715341312</c:v>
                </c:pt>
                <c:pt idx="35">
                  <c:v>93874.567344124414</c:v>
                </c:pt>
                <c:pt idx="36">
                  <c:v>27157.938948039751</c:v>
                </c:pt>
                <c:pt idx="37">
                  <c:v>27644.787595302849</c:v>
                </c:pt>
                <c:pt idx="38">
                  <c:v>28139.218830097703</c:v>
                </c:pt>
                <c:pt idx="39">
                  <c:v>28641.289894004636</c:v>
                </c:pt>
                <c:pt idx="40">
                  <c:v>29151.058460939734</c:v>
                </c:pt>
                <c:pt idx="41">
                  <c:v>29668.582640421952</c:v>
                </c:pt>
                <c:pt idx="42">
                  <c:v>30193.920980864867</c:v>
                </c:pt>
                <c:pt idx="43">
                  <c:v>30727.13247289338</c:v>
                </c:pt>
                <c:pt idx="44">
                  <c:v>31268.276552685493</c:v>
                </c:pt>
                <c:pt idx="45">
                  <c:v>31817.41310533927</c:v>
                </c:pt>
                <c:pt idx="46">
                  <c:v>32374.602468265439</c:v>
                </c:pt>
                <c:pt idx="47">
                  <c:v>32939.905434605382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7F-407F-A7DE-C48B351E4250}"/>
            </c:ext>
          </c:extLst>
        </c:ser>
        <c:ser>
          <c:idx val="1"/>
          <c:order val="1"/>
          <c:tx>
            <c:strRef>
              <c:f>'MONTHLY FORECAST'!$AI$3</c:f>
              <c:strCache>
                <c:ptCount val="1"/>
                <c:pt idx="0">
                  <c:v>TOTAL
COSTS</c:v>
                </c:pt>
              </c:strCache>
            </c:strRef>
          </c:tx>
          <c:spPr>
            <a:ln w="20000">
              <a:solidFill>
                <a:srgbClr val="B71C1C"/>
              </a:solidFill>
              <a:prstDash val="solid"/>
            </a:ln>
          </c:spPr>
          <c:marker>
            <c:symbol val="none"/>
          </c:marker>
          <c:cat>
            <c:strRef>
              <c:f>'MONTHLY FORECAST'!$B$4:$B$51</c:f>
              <c:strCache>
                <c:ptCount val="48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</c:strCache>
            </c:strRef>
          </c:cat>
          <c:val>
            <c:numRef>
              <c:f>'MONTHLY FORECAST'!$AI$4:$AI$51</c:f>
              <c:numCache>
                <c:formatCode>\R\ #\ ##0;[Red]\(\R\ #\ ##0\)</c:formatCode>
                <c:ptCount val="48"/>
                <c:pt idx="0">
                  <c:v>85500</c:v>
                </c:pt>
                <c:pt idx="1">
                  <c:v>28000</c:v>
                </c:pt>
                <c:pt idx="2">
                  <c:v>28000</c:v>
                </c:pt>
                <c:pt idx="3">
                  <c:v>39500</c:v>
                </c:pt>
                <c:pt idx="4">
                  <c:v>39500</c:v>
                </c:pt>
                <c:pt idx="5">
                  <c:v>39500</c:v>
                </c:pt>
                <c:pt idx="6">
                  <c:v>51000</c:v>
                </c:pt>
                <c:pt idx="7">
                  <c:v>51000</c:v>
                </c:pt>
                <c:pt idx="8">
                  <c:v>51000</c:v>
                </c:pt>
                <c:pt idx="9">
                  <c:v>51000</c:v>
                </c:pt>
                <c:pt idx="10">
                  <c:v>51000</c:v>
                </c:pt>
                <c:pt idx="11">
                  <c:v>84076.161941041079</c:v>
                </c:pt>
                <c:pt idx="12">
                  <c:v>51000</c:v>
                </c:pt>
                <c:pt idx="13">
                  <c:v>51000</c:v>
                </c:pt>
                <c:pt idx="14">
                  <c:v>51000</c:v>
                </c:pt>
                <c:pt idx="15">
                  <c:v>51000</c:v>
                </c:pt>
                <c:pt idx="16">
                  <c:v>51000</c:v>
                </c:pt>
                <c:pt idx="17">
                  <c:v>51000</c:v>
                </c:pt>
                <c:pt idx="18">
                  <c:v>51000</c:v>
                </c:pt>
                <c:pt idx="19">
                  <c:v>51000</c:v>
                </c:pt>
                <c:pt idx="20">
                  <c:v>51000</c:v>
                </c:pt>
                <c:pt idx="21">
                  <c:v>51000</c:v>
                </c:pt>
                <c:pt idx="22">
                  <c:v>51000</c:v>
                </c:pt>
                <c:pt idx="23">
                  <c:v>111683.11656524973</c:v>
                </c:pt>
                <c:pt idx="24">
                  <c:v>51000</c:v>
                </c:pt>
                <c:pt idx="25">
                  <c:v>51000</c:v>
                </c:pt>
                <c:pt idx="26">
                  <c:v>51000</c:v>
                </c:pt>
                <c:pt idx="27">
                  <c:v>51000</c:v>
                </c:pt>
                <c:pt idx="28">
                  <c:v>51000</c:v>
                </c:pt>
                <c:pt idx="29">
                  <c:v>51000</c:v>
                </c:pt>
                <c:pt idx="30">
                  <c:v>51000</c:v>
                </c:pt>
                <c:pt idx="31">
                  <c:v>51000</c:v>
                </c:pt>
                <c:pt idx="32">
                  <c:v>51000</c:v>
                </c:pt>
                <c:pt idx="33">
                  <c:v>51000</c:v>
                </c:pt>
                <c:pt idx="34">
                  <c:v>51000</c:v>
                </c:pt>
                <c:pt idx="35">
                  <c:v>153761.93104442907</c:v>
                </c:pt>
                <c:pt idx="36">
                  <c:v>51000</c:v>
                </c:pt>
                <c:pt idx="37">
                  <c:v>51000</c:v>
                </c:pt>
                <c:pt idx="38">
                  <c:v>51000</c:v>
                </c:pt>
                <c:pt idx="39">
                  <c:v>51000</c:v>
                </c:pt>
                <c:pt idx="40">
                  <c:v>51000</c:v>
                </c:pt>
                <c:pt idx="41">
                  <c:v>51000</c:v>
                </c:pt>
                <c:pt idx="42">
                  <c:v>51000</c:v>
                </c:pt>
                <c:pt idx="43">
                  <c:v>51000</c:v>
                </c:pt>
                <c:pt idx="44">
                  <c:v>51000</c:v>
                </c:pt>
                <c:pt idx="45">
                  <c:v>51000</c:v>
                </c:pt>
                <c:pt idx="46">
                  <c:v>51000</c:v>
                </c:pt>
                <c:pt idx="47">
                  <c:v>179607.01380170003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7F-407F-A7DE-C48B351E4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ZAR</a:t>
                </a:r>
              </a:p>
            </c:rich>
          </c:tx>
          <c:overlay val="1"/>
        </c:title>
        <c:numFmt formatCode="\R\ #\ ##0;[Red]\(\R\ #\ 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Cumulative Cashflow &amp; Reserve Fund (ZAR)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FORECAST'!$AL$3</c:f>
              <c:strCache>
                <c:ptCount val="1"/>
                <c:pt idx="0">
                  <c:v>CUMULATIVE
CASH</c:v>
                </c:pt>
              </c:strCache>
            </c:strRef>
          </c:tx>
          <c:spPr>
            <a:ln w="20000">
              <a:solidFill>
                <a:srgbClr val="006064"/>
              </a:solidFill>
              <a:prstDash val="solid"/>
            </a:ln>
          </c:spPr>
          <c:marker>
            <c:symbol val="none"/>
          </c:marker>
          <c:cat>
            <c:strRef>
              <c:f>'MONTHLY FORECAST'!$B$4:$B$51</c:f>
              <c:strCache>
                <c:ptCount val="48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</c:strCache>
            </c:strRef>
          </c:cat>
          <c:val>
            <c:numRef>
              <c:f>'MONTHLY FORECAST'!$AL$4:$AL$51</c:f>
              <c:numCache>
                <c:formatCode>\R\ #\ ##0;[Red]\(\R\ #\ ##0\)</c:formatCode>
                <c:ptCount val="48"/>
                <c:pt idx="0">
                  <c:v>-91913.416666666657</c:v>
                </c:pt>
                <c:pt idx="1">
                  <c:v>-73629.958333333314</c:v>
                </c:pt>
                <c:pt idx="2">
                  <c:v>-91410.059895833314</c:v>
                </c:pt>
                <c:pt idx="3">
                  <c:v>-119580.82830078123</c:v>
                </c:pt>
                <c:pt idx="4">
                  <c:v>-146592.91718722327</c:v>
                </c:pt>
                <c:pt idx="5">
                  <c:v>-172395.48275064136</c:v>
                </c:pt>
                <c:pt idx="6">
                  <c:v>-208436.13826543221</c:v>
                </c:pt>
                <c:pt idx="7">
                  <c:v>-243160.90722504893</c:v>
                </c:pt>
                <c:pt idx="8">
                  <c:v>-276514.17505774955</c:v>
                </c:pt>
                <c:pt idx="9">
                  <c:v>-308438.63937461621</c:v>
                </c:pt>
                <c:pt idx="10">
                  <c:v>-338875.25870518904</c:v>
                </c:pt>
                <c:pt idx="11">
                  <c:v>-400839.36161574017</c:v>
                </c:pt>
                <c:pt idx="12">
                  <c:v>-428115.94451652374</c:v>
                </c:pt>
                <c:pt idx="13">
                  <c:v>-453716.58722475677</c:v>
                </c:pt>
                <c:pt idx="14">
                  <c:v>-477574.74741215992</c:v>
                </c:pt>
                <c:pt idx="15">
                  <c:v>-499621.86300079082</c:v>
                </c:pt>
                <c:pt idx="16">
                  <c:v>-519787.29080746014</c:v>
                </c:pt>
                <c:pt idx="17">
                  <c:v>-537998.24332267977</c:v>
                </c:pt>
                <c:pt idx="18">
                  <c:v>-554179.72356737242</c:v>
                </c:pt>
                <c:pt idx="19">
                  <c:v>-568254.45796884468</c:v>
                </c:pt>
                <c:pt idx="20">
                  <c:v>-580142.82719573984</c:v>
                </c:pt>
                <c:pt idx="21">
                  <c:v>-589762.79488985555</c:v>
                </c:pt>
                <c:pt idx="22">
                  <c:v>-597029.83423081355</c:v>
                </c:pt>
                <c:pt idx="23">
                  <c:v>-662539.96883287269</c:v>
                </c:pt>
                <c:pt idx="24">
                  <c:v>-664837.22851441684</c:v>
                </c:pt>
                <c:pt idx="25">
                  <c:v>-664512.26834882237</c:v>
                </c:pt>
                <c:pt idx="26">
                  <c:v>-661469.81961953698</c:v>
                </c:pt>
                <c:pt idx="27">
                  <c:v>-655611.72108374152</c:v>
                </c:pt>
                <c:pt idx="28">
                  <c:v>-646836.8310764567</c:v>
                </c:pt>
                <c:pt idx="29">
                  <c:v>-635040.93694137025</c:v>
                </c:pt>
                <c:pt idx="30">
                  <c:v>-620116.66170700162</c:v>
                </c:pt>
                <c:pt idx="31">
                  <c:v>-601953.36792434403</c:v>
                </c:pt>
                <c:pt idx="32">
                  <c:v>-580437.05857956631</c:v>
                </c:pt>
                <c:pt idx="33">
                  <c:v>-555450.27499272407</c:v>
                </c:pt>
                <c:pt idx="34">
                  <c:v>-526871.9916107161</c:v>
                </c:pt>
                <c:pt idx="35">
                  <c:v>-597339.43864435412</c:v>
                </c:pt>
                <c:pt idx="36">
                  <c:v>-597339.43864435412</c:v>
                </c:pt>
                <c:pt idx="37">
                  <c:v>-597339.43864435412</c:v>
                </c:pt>
                <c:pt idx="38">
                  <c:v>-597339.43864435412</c:v>
                </c:pt>
                <c:pt idx="39">
                  <c:v>-597339.43864435412</c:v>
                </c:pt>
                <c:pt idx="40">
                  <c:v>-597339.43864435412</c:v>
                </c:pt>
                <c:pt idx="41">
                  <c:v>-597339.43864435412</c:v>
                </c:pt>
                <c:pt idx="42">
                  <c:v>-597339.43864435412</c:v>
                </c:pt>
                <c:pt idx="43">
                  <c:v>-597339.43864435412</c:v>
                </c:pt>
                <c:pt idx="44">
                  <c:v>-597339.43864435412</c:v>
                </c:pt>
                <c:pt idx="45">
                  <c:v>-597339.43864435412</c:v>
                </c:pt>
                <c:pt idx="46">
                  <c:v>-597339.43864435412</c:v>
                </c:pt>
                <c:pt idx="47">
                  <c:v>-597339.43864435412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7-43B5-A3C6-388A326A10F2}"/>
            </c:ext>
          </c:extLst>
        </c:ser>
        <c:ser>
          <c:idx val="1"/>
          <c:order val="1"/>
          <c:tx>
            <c:strRef>
              <c:f>'MONTHLY FORECAST'!$AM$3</c:f>
              <c:strCache>
                <c:ptCount val="1"/>
                <c:pt idx="0">
                  <c:v>Reserve
Fund Bal</c:v>
                </c:pt>
              </c:strCache>
            </c:strRef>
          </c:tx>
          <c:spPr>
            <a:ln w="20000">
              <a:solidFill>
                <a:srgbClr val="BF360C"/>
              </a:solidFill>
              <a:prstDash val="solid"/>
            </a:ln>
          </c:spPr>
          <c:marker>
            <c:symbol val="none"/>
          </c:marker>
          <c:cat>
            <c:strRef>
              <c:f>'MONTHLY FORECAST'!$B$4:$B$51</c:f>
              <c:strCache>
                <c:ptCount val="48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</c:strCache>
            </c:strRef>
          </c:cat>
          <c:val>
            <c:numRef>
              <c:f>'MONTHLY FORECAST'!$AM$4:$AM$51</c:f>
              <c:numCache>
                <c:formatCode>\R\ #\ ##0;[Red]\(\R\ #\ ##0\)</c:formatCode>
                <c:ptCount val="48"/>
                <c:pt idx="0">
                  <c:v>10580.083333333334</c:v>
                </c:pt>
                <c:pt idx="1">
                  <c:v>21160.166666666668</c:v>
                </c:pt>
                <c:pt idx="2">
                  <c:v>31740.25</c:v>
                </c:pt>
                <c:pt idx="3">
                  <c:v>42320.333333333336</c:v>
                </c:pt>
                <c:pt idx="4">
                  <c:v>52900.416666666672</c:v>
                </c:pt>
                <c:pt idx="5">
                  <c:v>63480.500000000007</c:v>
                </c:pt>
                <c:pt idx="6">
                  <c:v>74060.583333333343</c:v>
                </c:pt>
                <c:pt idx="7">
                  <c:v>84640.666666666672</c:v>
                </c:pt>
                <c:pt idx="8">
                  <c:v>95220.75</c:v>
                </c:pt>
                <c:pt idx="9">
                  <c:v>105800.83333333333</c:v>
                </c:pt>
                <c:pt idx="10">
                  <c:v>116380.91666666666</c:v>
                </c:pt>
                <c:pt idx="11">
                  <c:v>126960.99999999999</c:v>
                </c:pt>
                <c:pt idx="12">
                  <c:v>137541.08333333331</c:v>
                </c:pt>
                <c:pt idx="13">
                  <c:v>148121.16666666666</c:v>
                </c:pt>
                <c:pt idx="14">
                  <c:v>158701.25</c:v>
                </c:pt>
                <c:pt idx="15">
                  <c:v>169281.33333333334</c:v>
                </c:pt>
                <c:pt idx="16">
                  <c:v>179861.41666666669</c:v>
                </c:pt>
                <c:pt idx="17">
                  <c:v>190441.50000000003</c:v>
                </c:pt>
                <c:pt idx="18">
                  <c:v>201021.58333333337</c:v>
                </c:pt>
                <c:pt idx="19">
                  <c:v>211601.66666666672</c:v>
                </c:pt>
                <c:pt idx="20">
                  <c:v>222181.75000000006</c:v>
                </c:pt>
                <c:pt idx="21">
                  <c:v>232761.8333333334</c:v>
                </c:pt>
                <c:pt idx="22">
                  <c:v>243341.91666666674</c:v>
                </c:pt>
                <c:pt idx="23">
                  <c:v>253922.00000000009</c:v>
                </c:pt>
                <c:pt idx="24">
                  <c:v>264502.08333333343</c:v>
                </c:pt>
                <c:pt idx="25">
                  <c:v>275082.16666666674</c:v>
                </c:pt>
                <c:pt idx="26">
                  <c:v>285662.25000000006</c:v>
                </c:pt>
                <c:pt idx="27">
                  <c:v>296242.33333333337</c:v>
                </c:pt>
                <c:pt idx="28">
                  <c:v>306822.41666666669</c:v>
                </c:pt>
                <c:pt idx="29">
                  <c:v>317402.5</c:v>
                </c:pt>
                <c:pt idx="30">
                  <c:v>327982.58333333331</c:v>
                </c:pt>
                <c:pt idx="31">
                  <c:v>338562.66666666663</c:v>
                </c:pt>
                <c:pt idx="32">
                  <c:v>349142.74999999994</c:v>
                </c:pt>
                <c:pt idx="33">
                  <c:v>359722.83333333326</c:v>
                </c:pt>
                <c:pt idx="34">
                  <c:v>370302.91666666657</c:v>
                </c:pt>
                <c:pt idx="35">
                  <c:v>380882.99999999988</c:v>
                </c:pt>
                <c:pt idx="36">
                  <c:v>357040.93894803966</c:v>
                </c:pt>
                <c:pt idx="37">
                  <c:v>333685.72654334252</c:v>
                </c:pt>
                <c:pt idx="38">
                  <c:v>310824.94537344022</c:v>
                </c:pt>
                <c:pt idx="39">
                  <c:v>288466.23526744486</c:v>
                </c:pt>
                <c:pt idx="40">
                  <c:v>266617.2937283846</c:v>
                </c:pt>
                <c:pt idx="41">
                  <c:v>245285.87636880655</c:v>
                </c:pt>
                <c:pt idx="42">
                  <c:v>224479.79734967143</c:v>
                </c:pt>
                <c:pt idx="43">
                  <c:v>204206.92982256479</c:v>
                </c:pt>
                <c:pt idx="44">
                  <c:v>184475.2063752503</c:v>
                </c:pt>
                <c:pt idx="45">
                  <c:v>165292.61948058958</c:v>
                </c:pt>
                <c:pt idx="46">
                  <c:v>146667.22194885503</c:v>
                </c:pt>
                <c:pt idx="47">
                  <c:v>0.11358176037902012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7-43B5-A3C6-388A326A1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ZAR</a:t>
                </a:r>
              </a:p>
            </c:rich>
          </c:tx>
          <c:overlay val="1"/>
        </c:title>
        <c:numFmt formatCode="\R\ #\ ##0;[Red]\(\R\ #\ 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1008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10080000" cy="50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227"/>
  </sheetPr>
  <dimension ref="A1:C64"/>
  <sheetViews>
    <sheetView showGridLines="0" workbookViewId="0">
      <selection activeCell="B10" sqref="B10"/>
    </sheetView>
  </sheetViews>
  <sheetFormatPr defaultRowHeight="12" x14ac:dyDescent="0.2"/>
  <cols>
    <col min="1" max="1" width="52" style="2" customWidth="1"/>
    <col min="2" max="2" width="22" style="2" customWidth="1"/>
    <col min="3" max="3" width="75.5703125" style="2" bestFit="1" customWidth="1"/>
    <col min="4" max="16384" width="9.140625" style="2"/>
  </cols>
  <sheetData>
    <row r="1" spans="1:3" ht="30" customHeight="1" x14ac:dyDescent="0.2">
      <c r="A1" s="33" t="s">
        <v>0</v>
      </c>
      <c r="B1" s="30"/>
      <c r="C1" s="30"/>
    </row>
    <row r="2" spans="1:3" x14ac:dyDescent="0.2">
      <c r="A2" s="36" t="s">
        <v>1</v>
      </c>
      <c r="B2" s="30"/>
      <c r="C2" s="30"/>
    </row>
    <row r="4" spans="1:3" ht="18" customHeight="1" x14ac:dyDescent="0.2">
      <c r="A4" s="32" t="s">
        <v>2</v>
      </c>
      <c r="B4" s="30"/>
      <c r="C4" s="30"/>
    </row>
    <row r="5" spans="1:3" x14ac:dyDescent="0.2">
      <c r="A5" s="3" t="s">
        <v>3</v>
      </c>
      <c r="B5" s="4">
        <v>0.4</v>
      </c>
      <c r="C5" s="1" t="s">
        <v>117</v>
      </c>
    </row>
    <row r="6" spans="1:3" x14ac:dyDescent="0.2">
      <c r="A6" s="3" t="s">
        <v>4</v>
      </c>
      <c r="B6" s="4">
        <v>0.1</v>
      </c>
      <c r="C6" s="1" t="s">
        <v>118</v>
      </c>
    </row>
    <row r="7" spans="1:3" x14ac:dyDescent="0.2">
      <c r="A7" s="3" t="s">
        <v>5</v>
      </c>
      <c r="B7" s="5">
        <v>37</v>
      </c>
      <c r="C7" s="1" t="s">
        <v>6</v>
      </c>
    </row>
    <row r="8" spans="1:3" x14ac:dyDescent="0.2">
      <c r="A8" s="3" t="s">
        <v>7</v>
      </c>
      <c r="B8" s="5">
        <v>3</v>
      </c>
      <c r="C8" s="1" t="s">
        <v>8</v>
      </c>
    </row>
    <row r="9" spans="1:3" x14ac:dyDescent="0.2">
      <c r="A9" s="3" t="s">
        <v>9</v>
      </c>
      <c r="B9" s="6">
        <f>380883/36</f>
        <v>10580.083333333334</v>
      </c>
      <c r="C9" s="1" t="s">
        <v>10</v>
      </c>
    </row>
    <row r="11" spans="1:3" ht="18" customHeight="1" thickBot="1" x14ac:dyDescent="0.25">
      <c r="A11" s="32" t="s">
        <v>11</v>
      </c>
      <c r="B11" s="30"/>
      <c r="C11" s="30"/>
    </row>
    <row r="12" spans="1:3" ht="12.75" thickBot="1" x14ac:dyDescent="0.25">
      <c r="A12" s="3" t="s">
        <v>12</v>
      </c>
      <c r="B12" s="6">
        <f>50000*1.15</f>
        <v>57499.999999999993</v>
      </c>
      <c r="C12" s="1" t="s">
        <v>13</v>
      </c>
    </row>
    <row r="13" spans="1:3" ht="12.75" thickBot="1" x14ac:dyDescent="0.25">
      <c r="A13" s="3" t="s">
        <v>14</v>
      </c>
      <c r="B13" s="6">
        <f>20000*1.15</f>
        <v>23000</v>
      </c>
      <c r="C13" s="1" t="s">
        <v>15</v>
      </c>
    </row>
    <row r="14" spans="1:3" x14ac:dyDescent="0.2">
      <c r="A14" s="3" t="s">
        <v>16</v>
      </c>
      <c r="B14" s="6">
        <f>30000*1.15</f>
        <v>34500</v>
      </c>
      <c r="C14" s="1" t="s">
        <v>15</v>
      </c>
    </row>
    <row r="15" spans="1:3" x14ac:dyDescent="0.2">
      <c r="A15" s="3" t="s">
        <v>17</v>
      </c>
      <c r="B15" s="6">
        <f>40000*1.15</f>
        <v>46000</v>
      </c>
      <c r="C15" s="1" t="s">
        <v>18</v>
      </c>
    </row>
    <row r="16" spans="1:3" x14ac:dyDescent="0.2">
      <c r="A16" s="3" t="s">
        <v>19</v>
      </c>
      <c r="B16" s="4">
        <v>2.5000000000000001E-3</v>
      </c>
      <c r="C16" s="1" t="s">
        <v>20</v>
      </c>
    </row>
    <row r="17" spans="1:3" x14ac:dyDescent="0.2">
      <c r="A17" s="3" t="s">
        <v>21</v>
      </c>
      <c r="B17" s="6">
        <v>5000</v>
      </c>
      <c r="C17" s="1" t="s">
        <v>113</v>
      </c>
    </row>
    <row r="18" spans="1:3" x14ac:dyDescent="0.2">
      <c r="A18" s="3" t="s">
        <v>22</v>
      </c>
      <c r="B18" s="6">
        <v>3000</v>
      </c>
      <c r="C18" s="1" t="s">
        <v>23</v>
      </c>
    </row>
    <row r="20" spans="1:3" ht="18" customHeight="1" x14ac:dyDescent="0.2">
      <c r="A20" s="31" t="s">
        <v>24</v>
      </c>
      <c r="B20" s="30"/>
      <c r="C20" s="30"/>
    </row>
    <row r="21" spans="1:3" x14ac:dyDescent="0.2">
      <c r="A21" s="3" t="s">
        <v>25</v>
      </c>
      <c r="B21" s="5">
        <v>1</v>
      </c>
      <c r="C21" s="1" t="s">
        <v>26</v>
      </c>
    </row>
    <row r="22" spans="1:3" x14ac:dyDescent="0.2">
      <c r="A22" s="3" t="s">
        <v>27</v>
      </c>
      <c r="B22" s="6">
        <v>300000</v>
      </c>
      <c r="C22" s="1"/>
    </row>
    <row r="23" spans="1:3" x14ac:dyDescent="0.2">
      <c r="A23" s="3" t="s">
        <v>28</v>
      </c>
      <c r="B23" s="6">
        <v>200000</v>
      </c>
      <c r="C23" s="1" t="s">
        <v>29</v>
      </c>
    </row>
    <row r="24" spans="1:3" x14ac:dyDescent="0.2">
      <c r="A24" s="3" t="s">
        <v>30</v>
      </c>
      <c r="B24" s="4">
        <v>7.4999999999999997E-3</v>
      </c>
      <c r="C24" s="1" t="s">
        <v>31</v>
      </c>
    </row>
    <row r="25" spans="1:3" x14ac:dyDescent="0.2">
      <c r="A25" s="3" t="s">
        <v>32</v>
      </c>
      <c r="B25" s="4">
        <v>2.5000000000000001E-2</v>
      </c>
      <c r="C25" s="1" t="s">
        <v>33</v>
      </c>
    </row>
    <row r="27" spans="1:3" ht="18" customHeight="1" x14ac:dyDescent="0.2">
      <c r="A27" s="31" t="s">
        <v>34</v>
      </c>
      <c r="B27" s="30"/>
      <c r="C27" s="30"/>
    </row>
    <row r="28" spans="1:3" x14ac:dyDescent="0.2">
      <c r="A28" s="3" t="s">
        <v>25</v>
      </c>
      <c r="B28" s="5">
        <v>2</v>
      </c>
      <c r="C28" s="1" t="s">
        <v>35</v>
      </c>
    </row>
    <row r="29" spans="1:3" x14ac:dyDescent="0.2">
      <c r="A29" s="3" t="s">
        <v>27</v>
      </c>
      <c r="B29" s="6">
        <v>0</v>
      </c>
      <c r="C29" s="1"/>
    </row>
    <row r="30" spans="1:3" x14ac:dyDescent="0.2">
      <c r="A30" s="3" t="s">
        <v>28</v>
      </c>
      <c r="B30" s="6">
        <v>40000</v>
      </c>
      <c r="C30" s="1"/>
    </row>
    <row r="31" spans="1:3" x14ac:dyDescent="0.2">
      <c r="A31" s="3" t="s">
        <v>30</v>
      </c>
      <c r="B31" s="4">
        <v>7.4999999999999997E-3</v>
      </c>
      <c r="C31" s="1"/>
    </row>
    <row r="32" spans="1:3" x14ac:dyDescent="0.2">
      <c r="A32" s="3" t="s">
        <v>32</v>
      </c>
      <c r="B32" s="4">
        <v>0.1</v>
      </c>
      <c r="C32" s="1" t="s">
        <v>36</v>
      </c>
    </row>
    <row r="34" spans="1:3" ht="18" customHeight="1" x14ac:dyDescent="0.2">
      <c r="A34" s="31" t="s">
        <v>37</v>
      </c>
      <c r="B34" s="30"/>
      <c r="C34" s="30"/>
    </row>
    <row r="35" spans="1:3" x14ac:dyDescent="0.2">
      <c r="A35" s="3" t="s">
        <v>25</v>
      </c>
      <c r="B35" s="5">
        <v>2</v>
      </c>
      <c r="C35" s="1" t="s">
        <v>35</v>
      </c>
    </row>
    <row r="36" spans="1:3" x14ac:dyDescent="0.2">
      <c r="A36" s="3" t="s">
        <v>27</v>
      </c>
      <c r="B36" s="6">
        <v>5000000</v>
      </c>
      <c r="C36" s="1"/>
    </row>
    <row r="37" spans="1:3" x14ac:dyDescent="0.2">
      <c r="A37" s="3" t="s">
        <v>28</v>
      </c>
      <c r="B37" s="6">
        <v>0</v>
      </c>
      <c r="C37" s="1" t="s">
        <v>38</v>
      </c>
    </row>
    <row r="38" spans="1:3" x14ac:dyDescent="0.2">
      <c r="A38" s="3" t="s">
        <v>30</v>
      </c>
      <c r="B38" s="4">
        <v>7.4999999999999997E-3</v>
      </c>
      <c r="C38" s="1" t="s">
        <v>39</v>
      </c>
    </row>
    <row r="39" spans="1:3" x14ac:dyDescent="0.2">
      <c r="A39" s="3" t="s">
        <v>32</v>
      </c>
      <c r="B39" s="4">
        <v>0.1</v>
      </c>
      <c r="C39" s="1" t="s">
        <v>36</v>
      </c>
    </row>
    <row r="41" spans="1:3" ht="18" customHeight="1" x14ac:dyDescent="0.2">
      <c r="A41" s="31" t="s">
        <v>114</v>
      </c>
      <c r="B41" s="30"/>
      <c r="C41" s="30"/>
    </row>
    <row r="42" spans="1:3" x14ac:dyDescent="0.2">
      <c r="A42" s="3" t="s">
        <v>25</v>
      </c>
      <c r="B42" s="5">
        <v>2</v>
      </c>
      <c r="C42" s="1" t="s">
        <v>35</v>
      </c>
    </row>
    <row r="43" spans="1:3" x14ac:dyDescent="0.2">
      <c r="A43" s="3" t="s">
        <v>27</v>
      </c>
      <c r="B43" s="6">
        <v>0</v>
      </c>
      <c r="C43" s="1"/>
    </row>
    <row r="44" spans="1:3" x14ac:dyDescent="0.2">
      <c r="A44" s="3" t="s">
        <v>28</v>
      </c>
      <c r="B44" s="6">
        <v>20000</v>
      </c>
      <c r="C44" s="1"/>
    </row>
    <row r="45" spans="1:3" x14ac:dyDescent="0.2">
      <c r="A45" s="3" t="s">
        <v>30</v>
      </c>
      <c r="B45" s="4">
        <v>7.4999999999999997E-3</v>
      </c>
      <c r="C45" s="1"/>
    </row>
    <row r="46" spans="1:3" x14ac:dyDescent="0.2">
      <c r="A46" s="3" t="s">
        <v>32</v>
      </c>
      <c r="B46" s="4">
        <v>2.5000000000000001E-2</v>
      </c>
      <c r="C46" s="1" t="s">
        <v>40</v>
      </c>
    </row>
    <row r="48" spans="1:3" ht="18" customHeight="1" x14ac:dyDescent="0.2">
      <c r="A48" s="35" t="s">
        <v>41</v>
      </c>
      <c r="B48" s="30"/>
      <c r="C48" s="30"/>
    </row>
    <row r="49" spans="1:3" x14ac:dyDescent="0.2">
      <c r="A49" s="3" t="s">
        <v>42</v>
      </c>
      <c r="B49" s="5">
        <v>48</v>
      </c>
      <c r="C49" s="1" t="s">
        <v>43</v>
      </c>
    </row>
    <row r="50" spans="1:3" x14ac:dyDescent="0.2">
      <c r="A50" s="3" t="s">
        <v>44</v>
      </c>
      <c r="B50" s="5">
        <v>3</v>
      </c>
      <c r="C50" s="1" t="s">
        <v>115</v>
      </c>
    </row>
    <row r="51" spans="1:3" x14ac:dyDescent="0.2">
      <c r="A51" s="3" t="s">
        <v>45</v>
      </c>
      <c r="B51" s="5">
        <v>1</v>
      </c>
      <c r="C51" s="1" t="s">
        <v>116</v>
      </c>
    </row>
    <row r="52" spans="1:3" x14ac:dyDescent="0.2">
      <c r="A52" s="3" t="s">
        <v>46</v>
      </c>
      <c r="B52" s="5">
        <v>1</v>
      </c>
      <c r="C52" s="1" t="s">
        <v>47</v>
      </c>
    </row>
    <row r="53" spans="1:3" x14ac:dyDescent="0.2">
      <c r="A53" s="3" t="s">
        <v>48</v>
      </c>
      <c r="B53" s="6">
        <v>50000</v>
      </c>
      <c r="C53" s="1" t="s">
        <v>49</v>
      </c>
    </row>
    <row r="54" spans="1:3" x14ac:dyDescent="0.2">
      <c r="A54" s="3" t="s">
        <v>50</v>
      </c>
      <c r="B54" s="6">
        <v>5000</v>
      </c>
      <c r="C54" s="1" t="s">
        <v>51</v>
      </c>
    </row>
    <row r="55" spans="1:3" x14ac:dyDescent="0.2">
      <c r="A55" s="3" t="s">
        <v>52</v>
      </c>
      <c r="B55" s="4">
        <v>7.4999999999999997E-3</v>
      </c>
      <c r="C55" s="1" t="s">
        <v>53</v>
      </c>
    </row>
    <row r="56" spans="1:3" x14ac:dyDescent="0.2">
      <c r="A56" s="3" t="s">
        <v>54</v>
      </c>
      <c r="B56" s="4">
        <v>0.1</v>
      </c>
      <c r="C56" s="1" t="s">
        <v>36</v>
      </c>
    </row>
    <row r="58" spans="1:3" ht="18" customHeight="1" x14ac:dyDescent="0.2">
      <c r="A58" s="34" t="s">
        <v>55</v>
      </c>
      <c r="B58" s="30"/>
      <c r="C58" s="30"/>
    </row>
    <row r="59" spans="1:3" x14ac:dyDescent="0.2">
      <c r="A59" s="3" t="s">
        <v>56</v>
      </c>
      <c r="B59" s="5">
        <v>48</v>
      </c>
      <c r="C59" s="1" t="s">
        <v>57</v>
      </c>
    </row>
    <row r="60" spans="1:3" x14ac:dyDescent="0.2">
      <c r="A60" s="3" t="s">
        <v>58</v>
      </c>
      <c r="B60" s="7">
        <v>2026</v>
      </c>
      <c r="C60" s="1" t="s">
        <v>59</v>
      </c>
    </row>
    <row r="61" spans="1:3" x14ac:dyDescent="0.2">
      <c r="A61" s="3" t="s">
        <v>60</v>
      </c>
      <c r="B61" s="8">
        <v>6</v>
      </c>
      <c r="C61" s="1" t="s">
        <v>61</v>
      </c>
    </row>
    <row r="64" spans="1:3" ht="48" customHeight="1" x14ac:dyDescent="0.2">
      <c r="A64" s="29" t="s">
        <v>62</v>
      </c>
      <c r="B64" s="30"/>
      <c r="C64" s="30"/>
    </row>
  </sheetData>
  <mergeCells count="11">
    <mergeCell ref="A64:C64"/>
    <mergeCell ref="A41:C41"/>
    <mergeCell ref="A11:C11"/>
    <mergeCell ref="A1:C1"/>
    <mergeCell ref="A58:C58"/>
    <mergeCell ref="A27:C27"/>
    <mergeCell ref="A34:C34"/>
    <mergeCell ref="A4:C4"/>
    <mergeCell ref="A48:C48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064"/>
  </sheetPr>
  <dimension ref="A1:AM54"/>
  <sheetViews>
    <sheetView showGridLines="0" tabSelected="1" workbookViewId="0">
      <pane xSplit="2" ySplit="3" topLeftCell="E4" activePane="bottomRight" state="frozen"/>
      <selection pane="topRight"/>
      <selection pane="bottomLeft"/>
      <selection pane="bottomRight" sqref="A1:AM1"/>
    </sheetView>
  </sheetViews>
  <sheetFormatPr defaultRowHeight="12" outlineLevelCol="1" x14ac:dyDescent="0.2"/>
  <cols>
    <col min="1" max="1" width="6" style="2" customWidth="1"/>
    <col min="2" max="2" width="9" style="2" customWidth="1"/>
    <col min="3" max="3" width="8" style="2" customWidth="1"/>
    <col min="4" max="4" width="13" style="2" customWidth="1" outlineLevel="1"/>
    <col min="5" max="6" width="12" style="2" customWidth="1" outlineLevel="1"/>
    <col min="7" max="7" width="14" style="2" customWidth="1" outlineLevel="1"/>
    <col min="8" max="8" width="13" style="2" customWidth="1" outlineLevel="1"/>
    <col min="9" max="10" width="12" style="2" customWidth="1" outlineLevel="1"/>
    <col min="11" max="11" width="14" style="2" customWidth="1" outlineLevel="1"/>
    <col min="12" max="12" width="13" style="2" customWidth="1" outlineLevel="1"/>
    <col min="13" max="14" width="12" style="2" customWidth="1" outlineLevel="1"/>
    <col min="15" max="15" width="14" style="2" customWidth="1" outlineLevel="1"/>
    <col min="16" max="16" width="13" style="2" customWidth="1" outlineLevel="1"/>
    <col min="17" max="18" width="12" style="2" customWidth="1" outlineLevel="1"/>
    <col min="19" max="19" width="14" style="2" customWidth="1" outlineLevel="1"/>
    <col min="20" max="20" width="8" style="2" customWidth="1" outlineLevel="1"/>
    <col min="21" max="21" width="14" style="2" customWidth="1" outlineLevel="1"/>
    <col min="22" max="23" width="12" style="2" customWidth="1" outlineLevel="1"/>
    <col min="24" max="24" width="14" style="2" customWidth="1" outlineLevel="1"/>
    <col min="25" max="27" width="14" style="2" customWidth="1"/>
    <col min="28" max="28" width="15" style="2" customWidth="1"/>
    <col min="29" max="29" width="16" style="2" customWidth="1"/>
    <col min="30" max="30" width="14" style="2" customWidth="1"/>
    <col min="31" max="31" width="13" style="2" customWidth="1"/>
    <col min="32" max="32" width="14" style="2" customWidth="1"/>
    <col min="33" max="34" width="11" style="2" customWidth="1"/>
    <col min="35" max="35" width="13" style="2" customWidth="1"/>
    <col min="36" max="37" width="14" style="2" customWidth="1"/>
    <col min="38" max="39" width="16" style="2" customWidth="1"/>
    <col min="40" max="16384" width="9.140625" style="2"/>
  </cols>
  <sheetData>
    <row r="1" spans="1:39" ht="21.95" customHeight="1" x14ac:dyDescent="0.2">
      <c r="A1" s="33" t="s">
        <v>63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</row>
    <row r="2" spans="1:39" x14ac:dyDescent="0.2">
      <c r="A2" s="40" t="s">
        <v>64</v>
      </c>
      <c r="B2" s="30"/>
      <c r="C2" s="30"/>
      <c r="D2" s="39" t="s">
        <v>65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44" t="s">
        <v>66</v>
      </c>
      <c r="U2" s="30"/>
      <c r="V2" s="30"/>
      <c r="W2" s="30"/>
      <c r="X2" s="30"/>
      <c r="Y2" s="44" t="s">
        <v>67</v>
      </c>
      <c r="Z2" s="30"/>
      <c r="AA2" s="30"/>
      <c r="AB2" s="30"/>
      <c r="AC2" s="42" t="s">
        <v>68</v>
      </c>
      <c r="AD2" s="41" t="s">
        <v>69</v>
      </c>
      <c r="AE2" s="30"/>
      <c r="AF2" s="30"/>
      <c r="AG2" s="30"/>
      <c r="AH2" s="30"/>
      <c r="AI2" s="30"/>
      <c r="AJ2" s="38" t="s">
        <v>70</v>
      </c>
      <c r="AK2" s="42" t="s">
        <v>71</v>
      </c>
      <c r="AL2" s="30"/>
      <c r="AM2" s="30"/>
    </row>
    <row r="3" spans="1:39" ht="42" customHeight="1" x14ac:dyDescent="0.2">
      <c r="A3" s="9" t="s">
        <v>72</v>
      </c>
      <c r="B3" s="9" t="s">
        <v>73</v>
      </c>
      <c r="C3" s="9" t="s">
        <v>74</v>
      </c>
      <c r="D3" s="10" t="s">
        <v>75</v>
      </c>
      <c r="E3" s="10" t="s">
        <v>76</v>
      </c>
      <c r="F3" s="10" t="s">
        <v>77</v>
      </c>
      <c r="G3" s="10" t="s">
        <v>78</v>
      </c>
      <c r="H3" s="10" t="s">
        <v>79</v>
      </c>
      <c r="I3" s="10" t="s">
        <v>80</v>
      </c>
      <c r="J3" s="10" t="s">
        <v>81</v>
      </c>
      <c r="K3" s="10" t="s">
        <v>82</v>
      </c>
      <c r="L3" s="10" t="s">
        <v>83</v>
      </c>
      <c r="M3" s="10" t="s">
        <v>84</v>
      </c>
      <c r="N3" s="10" t="s">
        <v>85</v>
      </c>
      <c r="O3" s="10" t="s">
        <v>86</v>
      </c>
      <c r="P3" s="10" t="s">
        <v>87</v>
      </c>
      <c r="Q3" s="10" t="s">
        <v>88</v>
      </c>
      <c r="R3" s="10" t="s">
        <v>89</v>
      </c>
      <c r="S3" s="10" t="s">
        <v>90</v>
      </c>
      <c r="T3" s="10" t="s">
        <v>91</v>
      </c>
      <c r="U3" s="10" t="s">
        <v>92</v>
      </c>
      <c r="V3" s="10" t="s">
        <v>93</v>
      </c>
      <c r="W3" s="10" t="s">
        <v>94</v>
      </c>
      <c r="X3" s="10" t="s">
        <v>95</v>
      </c>
      <c r="Y3" s="11" t="s">
        <v>96</v>
      </c>
      <c r="Z3" s="11" t="s">
        <v>97</v>
      </c>
      <c r="AA3" s="11" t="s">
        <v>98</v>
      </c>
      <c r="AB3" s="11" t="s">
        <v>99</v>
      </c>
      <c r="AC3" s="9" t="s">
        <v>100</v>
      </c>
      <c r="AD3" s="12" t="s">
        <v>101</v>
      </c>
      <c r="AE3" s="12" t="s">
        <v>102</v>
      </c>
      <c r="AF3" s="12" t="s">
        <v>103</v>
      </c>
      <c r="AG3" s="12" t="s">
        <v>104</v>
      </c>
      <c r="AH3" s="12" t="s">
        <v>105</v>
      </c>
      <c r="AI3" s="12" t="s">
        <v>106</v>
      </c>
      <c r="AJ3" s="13" t="s">
        <v>107</v>
      </c>
      <c r="AK3" s="9" t="s">
        <v>108</v>
      </c>
      <c r="AL3" s="9" t="s">
        <v>109</v>
      </c>
      <c r="AM3" s="9" t="s">
        <v>110</v>
      </c>
    </row>
    <row r="4" spans="1:39" x14ac:dyDescent="0.2">
      <c r="A4" s="14">
        <v>1</v>
      </c>
      <c r="B4" s="14" t="str">
        <f>TEXT(DATE(VARIABLES!$B$60+INT((VARIABLES!$B$61+A4-2)/12),MOD(VARIABLES!$B$61+A4-2,12)+1,1),"mmm-yy")</f>
        <v>Jun-26</v>
      </c>
      <c r="C4" s="15">
        <f>IF($A4&lt;VARIABLES!$B$7,VARIABLES!$B$5/12,VARIABLES!$B$6/12)</f>
        <v>3.3333333333333333E-2</v>
      </c>
      <c r="D4" s="7">
        <f>IF($A4&lt;VARIABLES!$B$21,0,IF($A4=VARIABLES!$B$21,VARIABLES!$B$22+VARIABLES!$B$23,VARIABLES!$B$23))</f>
        <v>500000</v>
      </c>
      <c r="E4" s="7">
        <f>D4*VARIABLES!$B$24</f>
        <v>3750</v>
      </c>
      <c r="F4" s="7">
        <f>IF($A4&lt;VARIABLES!$B$21,0,(IF($A4=VARIABLES!$B$21,0,G3)+D4)*C4*VARIABLES!$B$25)</f>
        <v>416.66666666666674</v>
      </c>
      <c r="G4" s="7">
        <f>IF($A4&lt;VARIABLES!$B$21,0,(IF($A4=VARIABLES!$B$21,0,G3)+D4)*(1+C4)-F4)</f>
        <v>516250.00000000006</v>
      </c>
      <c r="H4" s="7">
        <f>IF($A4&lt;VARIABLES!$B$28,0,IF($A4=VARIABLES!$B$28,VARIABLES!$B$29+VARIABLES!$B$30,VARIABLES!$B$30))</f>
        <v>0</v>
      </c>
      <c r="I4" s="7">
        <f>H4*VARIABLES!$B$31</f>
        <v>0</v>
      </c>
      <c r="J4" s="7">
        <f>IF($A4&lt;VARIABLES!$B$28,0,(IF($A4=VARIABLES!$B$28,0,K3)+H4)*C4*VARIABLES!$B$32)</f>
        <v>0</v>
      </c>
      <c r="K4" s="7">
        <f>IF($A4&lt;VARIABLES!$B$28,0,(IF($A4=VARIABLES!$B$28,0,K3)+H4)*(1+C4)-J4)</f>
        <v>0</v>
      </c>
      <c r="L4" s="7">
        <f>IF($A4&lt;VARIABLES!$B$35,0,IF($A4=VARIABLES!$B$35,VARIABLES!$B$36+VARIABLES!$B$37,VARIABLES!$B$37))</f>
        <v>0</v>
      </c>
      <c r="M4" s="7">
        <f>L4*VARIABLES!$B$38</f>
        <v>0</v>
      </c>
      <c r="N4" s="7">
        <f>IF($A4&lt;VARIABLES!$B$35,0,(IF($A4=VARIABLES!$B$35,0,O3)+L4)*C4*VARIABLES!$B$39)</f>
        <v>0</v>
      </c>
      <c r="O4" s="7">
        <f>IF($A4&lt;VARIABLES!$B$35,0,(IF($A4=VARIABLES!$B$35,0,O3)+L4)*(1+C4)-N4)</f>
        <v>0</v>
      </c>
      <c r="P4" s="7">
        <f>IF($A4&lt;VARIABLES!$B$42,0,IF($A4=VARIABLES!$B$42,VARIABLES!$B$43+VARIABLES!$B$44,VARIABLES!$B$44))</f>
        <v>0</v>
      </c>
      <c r="Q4" s="7">
        <f>P4*VARIABLES!$B$45</f>
        <v>0</v>
      </c>
      <c r="R4" s="7">
        <f>IF($A4&lt;VARIABLES!$B$42,0,(IF($A4=VARIABLES!$B$42,0,S3)+P4)*C4*VARIABLES!$B$46)</f>
        <v>0</v>
      </c>
      <c r="S4" s="7">
        <f>IF($A4&lt;VARIABLES!$B$42,0,(IF($A4=VARIABLES!$B$42,0,S3)+P4)*(1+C4)-R4)</f>
        <v>0</v>
      </c>
      <c r="T4" s="16">
        <f>IF($A4&lt;VARIABLES!$B$50,0,MIN(VARIABLES!$B$49,INT(($A4-VARIABLES!$B$50)/VARIABLES!$B$51)+1)*VARIABLES!$B$52)</f>
        <v>0</v>
      </c>
      <c r="U4" s="7">
        <f>T4*VARIABLES!$B$54+IF(AND($A4&gt;=VARIABLES!$B$50,MOD($A4-VARIABLES!$B$50,VARIABLES!$B$51)=0,INT(($A4-VARIABLES!$B$50)/VARIABLES!$B$51)&lt;VARIABLES!$B$49),VARIABLES!$B$52*VARIABLES!$B$53,0)</f>
        <v>0</v>
      </c>
      <c r="V4" s="7">
        <f>U4*VARIABLES!$B$55</f>
        <v>0</v>
      </c>
      <c r="W4" s="7">
        <f>IF($A4&lt;VARIABLES!$B$50,0,(IF($A4&lt;VARIABLES!$B$50+1,0,X3)+U4)*C4*VARIABLES!$B$56)</f>
        <v>0</v>
      </c>
      <c r="X4" s="7">
        <f>IF($A4&lt;VARIABLES!$B$50,0,(IF($A4&lt;VARIABLES!$B$50+1,0,X3)+U4)*(1+C4)-W4)</f>
        <v>0</v>
      </c>
      <c r="Y4" s="7">
        <f t="shared" ref="Y4:Y51" si="0">D4+H4+L4+P4+U4</f>
        <v>500000</v>
      </c>
      <c r="Z4" s="7">
        <f t="shared" ref="Z4:Z51" si="1">E4+I4+M4+Q4+V4</f>
        <v>3750</v>
      </c>
      <c r="AA4" s="7">
        <f t="shared" ref="AA4:AA51" si="2">F4+J4+N4+R4+W4</f>
        <v>416.66666666666674</v>
      </c>
      <c r="AB4" s="17">
        <f t="shared" ref="AB4:AB51" si="3">Z4+AA4</f>
        <v>4166.666666666667</v>
      </c>
      <c r="AC4" s="18">
        <f t="shared" ref="AC4:AC51" si="4">G4+K4+O4+S4+X4</f>
        <v>516250.00000000006</v>
      </c>
      <c r="AD4" s="7">
        <f>IF($A4=1,VARIABLES!$B$12,0)</f>
        <v>57499.999999999993</v>
      </c>
      <c r="AE4" s="7">
        <f>IF($A4&lt;=3,VARIABLES!$B$13,IF($A4&lt;=6,VARIABLES!$B$14,VARIABLES!$B$15))</f>
        <v>23000</v>
      </c>
      <c r="AF4" s="7">
        <f>IF(MOD($A4,12)=0,AC4*VARIABLES!$B$16,0)</f>
        <v>0</v>
      </c>
      <c r="AG4" s="7">
        <f>VARIABLES!$B$17</f>
        <v>5000</v>
      </c>
      <c r="AH4" s="7">
        <f>IF(MOD($A4,12)=0,VARIABLES!$B$18,0)</f>
        <v>0</v>
      </c>
      <c r="AI4" s="19">
        <f t="shared" ref="AI4:AI51" si="5">AD4+AE4+AF4+AG4+AH4</f>
        <v>85500</v>
      </c>
      <c r="AJ4" s="20">
        <f>IF($A4&lt;VARIABLES!$B$7,VARIABLES!$B$9,0)</f>
        <v>10580.083333333334</v>
      </c>
      <c r="AK4" s="21">
        <f t="shared" ref="AK4:AK51" si="6">AB4-AI4-AJ4</f>
        <v>-91913.416666666657</v>
      </c>
      <c r="AL4" s="21">
        <f>AK4</f>
        <v>-91913.416666666657</v>
      </c>
      <c r="AM4" s="22">
        <f>AJ4</f>
        <v>10580.083333333334</v>
      </c>
    </row>
    <row r="5" spans="1:39" x14ac:dyDescent="0.2">
      <c r="A5" s="23">
        <v>2</v>
      </c>
      <c r="B5" s="23" t="str">
        <f>TEXT(DATE(VARIABLES!$B$60+INT((VARIABLES!$B$61+A5-2)/12),MOD(VARIABLES!$B$61+A5-2,12)+1,1),"mmm-yy")</f>
        <v>Jul-26</v>
      </c>
      <c r="C5" s="24">
        <f>IF($A5&lt;VARIABLES!$B$7,VARIABLES!$B$5/12,VARIABLES!$B$6/12)</f>
        <v>3.3333333333333333E-2</v>
      </c>
      <c r="D5" s="25">
        <f>IF($A5&lt;VARIABLES!$B$21,0,IF($A5=VARIABLES!$B$21,VARIABLES!$B$22+VARIABLES!$B$23,VARIABLES!$B$23))</f>
        <v>200000</v>
      </c>
      <c r="E5" s="25">
        <f>D5*VARIABLES!$B$24</f>
        <v>1500</v>
      </c>
      <c r="F5" s="25">
        <f>IF($A5&lt;VARIABLES!$B$21,0,(IF($A5=VARIABLES!$B$21,0,G4)+D5)*C5*VARIABLES!$B$25)</f>
        <v>596.875</v>
      </c>
      <c r="G5" s="25">
        <f>IF($A5&lt;VARIABLES!$B$21,0,(IF($A5=VARIABLES!$B$21,0,G4)+D5)*(1+C5)-F5)</f>
        <v>739528.12500000012</v>
      </c>
      <c r="H5" s="25">
        <f>IF($A5&lt;VARIABLES!$B$28,0,IF($A5=VARIABLES!$B$28,VARIABLES!$B$29+VARIABLES!$B$30,VARIABLES!$B$30))</f>
        <v>40000</v>
      </c>
      <c r="I5" s="25">
        <f>H5*VARIABLES!$B$31</f>
        <v>300</v>
      </c>
      <c r="J5" s="25">
        <f>IF($A5&lt;VARIABLES!$B$28,0,(IF($A5=VARIABLES!$B$28,0,K4)+H5)*C5*VARIABLES!$B$32)</f>
        <v>133.33333333333334</v>
      </c>
      <c r="K5" s="25">
        <f>IF($A5&lt;VARIABLES!$B$28,0,(IF($A5=VARIABLES!$B$28,0,K4)+H5)*(1+C5)-J5)</f>
        <v>41200</v>
      </c>
      <c r="L5" s="25">
        <f>IF($A5&lt;VARIABLES!$B$35,0,IF($A5=VARIABLES!$B$35,VARIABLES!$B$36+VARIABLES!$B$37,VARIABLES!$B$37))</f>
        <v>5000000</v>
      </c>
      <c r="M5" s="25">
        <f>L5*VARIABLES!$B$38</f>
        <v>37500</v>
      </c>
      <c r="N5" s="25">
        <f>IF($A5&lt;VARIABLES!$B$35,0,(IF($A5=VARIABLES!$B$35,0,O4)+L5)*C5*VARIABLES!$B$39)</f>
        <v>16666.666666666668</v>
      </c>
      <c r="O5" s="25">
        <f>IF($A5&lt;VARIABLES!$B$35,0,(IF($A5=VARIABLES!$B$35,0,O4)+L5)*(1+C5)-N5)</f>
        <v>5150000</v>
      </c>
      <c r="P5" s="25">
        <f>IF($A5&lt;VARIABLES!$B$42,0,IF($A5=VARIABLES!$B$42,VARIABLES!$B$43+VARIABLES!$B$44,VARIABLES!$B$44))</f>
        <v>20000</v>
      </c>
      <c r="Q5" s="25">
        <f>P5*VARIABLES!$B$45</f>
        <v>150</v>
      </c>
      <c r="R5" s="25">
        <f>IF($A5&lt;VARIABLES!$B$42,0,(IF($A5=VARIABLES!$B$42,0,S4)+P5)*C5*VARIABLES!$B$46)</f>
        <v>16.666666666666668</v>
      </c>
      <c r="S5" s="25">
        <f>IF($A5&lt;VARIABLES!$B$42,0,(IF($A5=VARIABLES!$B$42,0,S4)+P5)*(1+C5)-R5)</f>
        <v>20650</v>
      </c>
      <c r="T5" s="26">
        <f>IF($A5&lt;VARIABLES!$B$50,0,MIN(VARIABLES!$B$49,INT(($A5-VARIABLES!$B$50)/VARIABLES!$B$51)+1)*VARIABLES!$B$52)</f>
        <v>0</v>
      </c>
      <c r="U5" s="25">
        <f>T5*VARIABLES!$B$54+IF(AND($A5&gt;=VARIABLES!$B$50,MOD($A5-VARIABLES!$B$50,VARIABLES!$B$51)=0,INT(($A5-VARIABLES!$B$50)/VARIABLES!$B$51)&lt;VARIABLES!$B$49),VARIABLES!$B$52*VARIABLES!$B$53,0)</f>
        <v>0</v>
      </c>
      <c r="V5" s="25">
        <f>U5*VARIABLES!$B$55</f>
        <v>0</v>
      </c>
      <c r="W5" s="25">
        <f>IF($A5&lt;VARIABLES!$B$50,0,(IF($A5&lt;VARIABLES!$B$50+1,0,X4)+U5)*C5*VARIABLES!$B$56)</f>
        <v>0</v>
      </c>
      <c r="X5" s="25">
        <f>IF($A5&lt;VARIABLES!$B$50,0,(IF($A5&lt;VARIABLES!$B$50+1,0,X4)+U5)*(1+C5)-W5)</f>
        <v>0</v>
      </c>
      <c r="Y5" s="25">
        <f t="shared" si="0"/>
        <v>5260000</v>
      </c>
      <c r="Z5" s="25">
        <f t="shared" si="1"/>
        <v>39450</v>
      </c>
      <c r="AA5" s="25">
        <f t="shared" si="2"/>
        <v>17413.541666666668</v>
      </c>
      <c r="AB5" s="17">
        <f t="shared" si="3"/>
        <v>56863.541666666672</v>
      </c>
      <c r="AC5" s="18">
        <f t="shared" si="4"/>
        <v>5951378.125</v>
      </c>
      <c r="AD5" s="25">
        <f>IF($A5=1,VARIABLES!$B$12,0)</f>
        <v>0</v>
      </c>
      <c r="AE5" s="25">
        <f>IF($A5&lt;=3,VARIABLES!$B$13,IF($A5&lt;=6,VARIABLES!$B$14,VARIABLES!$B$15))</f>
        <v>23000</v>
      </c>
      <c r="AF5" s="25">
        <f>IF(MOD($A5,12)=0,AC5*VARIABLES!$B$16,0)</f>
        <v>0</v>
      </c>
      <c r="AG5" s="25">
        <f>VARIABLES!$B$17</f>
        <v>5000</v>
      </c>
      <c r="AH5" s="25">
        <f>IF(MOD($A5,12)=0,VARIABLES!$B$18,0)</f>
        <v>0</v>
      </c>
      <c r="AI5" s="19">
        <f t="shared" si="5"/>
        <v>28000</v>
      </c>
      <c r="AJ5" s="20">
        <f>IF($A5&lt;VARIABLES!$B$7,VARIABLES!$B$9,0)</f>
        <v>10580.083333333334</v>
      </c>
      <c r="AK5" s="27">
        <f t="shared" si="6"/>
        <v>18283.458333333336</v>
      </c>
      <c r="AL5" s="27">
        <f t="shared" ref="AL5:AL51" si="7">IF(AJ5&gt;0,AL4+AK5,AL4)</f>
        <v>-73629.958333333314</v>
      </c>
      <c r="AM5" s="22">
        <f t="shared" ref="AM5:AM51" si="8">IF(AJ5&gt;0,AM4+AJ5,AM4+AK5)</f>
        <v>21160.166666666668</v>
      </c>
    </row>
    <row r="6" spans="1:39" x14ac:dyDescent="0.2">
      <c r="A6" s="14">
        <v>3</v>
      </c>
      <c r="B6" s="14" t="str">
        <f>TEXT(DATE(VARIABLES!$B$60+INT((VARIABLES!$B$61+A6-2)/12),MOD(VARIABLES!$B$61+A6-2,12)+1,1),"mmm-yy")</f>
        <v>Aug-26</v>
      </c>
      <c r="C6" s="15">
        <f>IF($A6&lt;VARIABLES!$B$7,VARIABLES!$B$5/12,VARIABLES!$B$6/12)</f>
        <v>3.3333333333333333E-2</v>
      </c>
      <c r="D6" s="7">
        <f>IF($A6&lt;VARIABLES!$B$21,0,IF($A6=VARIABLES!$B$21,VARIABLES!$B$22+VARIABLES!$B$23,VARIABLES!$B$23))</f>
        <v>200000</v>
      </c>
      <c r="E6" s="7">
        <f>D6*VARIABLES!$B$24</f>
        <v>1500</v>
      </c>
      <c r="F6" s="7">
        <f>IF($A6&lt;VARIABLES!$B$21,0,(IF($A6=VARIABLES!$B$21,0,G5)+D6)*C6*VARIABLES!$B$25)</f>
        <v>782.94010416666686</v>
      </c>
      <c r="G6" s="7">
        <f>IF($A6&lt;VARIABLES!$B$21,0,(IF($A6=VARIABLES!$B$21,0,G5)+D6)*(1+C6)-F6)</f>
        <v>970062.78906250023</v>
      </c>
      <c r="H6" s="7">
        <f>IF($A6&lt;VARIABLES!$B$28,0,IF($A6=VARIABLES!$B$28,VARIABLES!$B$29+VARIABLES!$B$30,VARIABLES!$B$30))</f>
        <v>40000</v>
      </c>
      <c r="I6" s="7">
        <f>H6*VARIABLES!$B$31</f>
        <v>300</v>
      </c>
      <c r="J6" s="7">
        <f>IF($A6&lt;VARIABLES!$B$28,0,(IF($A6=VARIABLES!$B$28,0,K5)+H6)*C6*VARIABLES!$B$32)</f>
        <v>270.66666666666669</v>
      </c>
      <c r="K6" s="7">
        <f>IF($A6&lt;VARIABLES!$B$28,0,(IF($A6=VARIABLES!$B$28,0,K5)+H6)*(1+C6)-J6)</f>
        <v>83636</v>
      </c>
      <c r="L6" s="7">
        <f>IF($A6&lt;VARIABLES!$B$35,0,IF($A6=VARIABLES!$B$35,VARIABLES!$B$36+VARIABLES!$B$37,VARIABLES!$B$37))</f>
        <v>0</v>
      </c>
      <c r="M6" s="7">
        <f>L6*VARIABLES!$B$38</f>
        <v>0</v>
      </c>
      <c r="N6" s="7">
        <f>IF($A6&lt;VARIABLES!$B$35,0,(IF($A6=VARIABLES!$B$35,0,O5)+L6)*C6*VARIABLES!$B$39)</f>
        <v>17166.666666666668</v>
      </c>
      <c r="O6" s="7">
        <f>IF($A6&lt;VARIABLES!$B$35,0,(IF($A6=VARIABLES!$B$35,0,O5)+L6)*(1+C6)-N6)</f>
        <v>5304500</v>
      </c>
      <c r="P6" s="7">
        <f>IF($A6&lt;VARIABLES!$B$42,0,IF($A6=VARIABLES!$B$42,VARIABLES!$B$43+VARIABLES!$B$44,VARIABLES!$B$44))</f>
        <v>20000</v>
      </c>
      <c r="Q6" s="7">
        <f>P6*VARIABLES!$B$45</f>
        <v>150</v>
      </c>
      <c r="R6" s="7">
        <f>IF($A6&lt;VARIABLES!$B$42,0,(IF($A6=VARIABLES!$B$42,0,S5)+P6)*C6*VARIABLES!$B$46)</f>
        <v>33.875</v>
      </c>
      <c r="S6" s="7">
        <f>IF($A6&lt;VARIABLES!$B$42,0,(IF($A6=VARIABLES!$B$42,0,S5)+P6)*(1+C6)-R6)</f>
        <v>41971.125000000007</v>
      </c>
      <c r="T6" s="16">
        <f>IF($A6&lt;VARIABLES!$B$50,0,MIN(VARIABLES!$B$49,INT(($A6-VARIABLES!$B$50)/VARIABLES!$B$51)+1)*VARIABLES!$B$52)</f>
        <v>1</v>
      </c>
      <c r="U6" s="7">
        <f>T6*VARIABLES!$B$54+IF(AND($A6&gt;=VARIABLES!$B$50,MOD($A6-VARIABLES!$B$50,VARIABLES!$B$51)=0,INT(($A6-VARIABLES!$B$50)/VARIABLES!$B$51)&lt;VARIABLES!$B$49),VARIABLES!$B$52*VARIABLES!$B$53,0)</f>
        <v>55000</v>
      </c>
      <c r="V6" s="7">
        <f>U6*VARIABLES!$B$55</f>
        <v>412.5</v>
      </c>
      <c r="W6" s="7">
        <f>IF($A6&lt;VARIABLES!$B$50,0,(IF($A6&lt;VARIABLES!$B$50+1,0,X5)+U6)*C6*VARIABLES!$B$56)</f>
        <v>183.33333333333334</v>
      </c>
      <c r="X6" s="7">
        <f>IF($A6&lt;VARIABLES!$B$50,0,(IF($A6&lt;VARIABLES!$B$50+1,0,X5)+U6)*(1+C6)-W6)</f>
        <v>56650</v>
      </c>
      <c r="Y6" s="7">
        <f t="shared" si="0"/>
        <v>315000</v>
      </c>
      <c r="Z6" s="7">
        <f t="shared" si="1"/>
        <v>2362.5</v>
      </c>
      <c r="AA6" s="7">
        <f t="shared" si="2"/>
        <v>18437.481770833332</v>
      </c>
      <c r="AB6" s="17">
        <f t="shared" si="3"/>
        <v>20799.981770833332</v>
      </c>
      <c r="AC6" s="18">
        <f t="shared" si="4"/>
        <v>6456819.9140625</v>
      </c>
      <c r="AD6" s="7">
        <f>IF($A6=1,VARIABLES!$B$12,0)</f>
        <v>0</v>
      </c>
      <c r="AE6" s="7">
        <f>IF($A6&lt;=3,VARIABLES!$B$13,IF($A6&lt;=6,VARIABLES!$B$14,VARIABLES!$B$15))</f>
        <v>23000</v>
      </c>
      <c r="AF6" s="7">
        <f>IF(MOD($A6,12)=0,AC6*VARIABLES!$B$16,0)</f>
        <v>0</v>
      </c>
      <c r="AG6" s="7">
        <f>VARIABLES!$B$17</f>
        <v>5000</v>
      </c>
      <c r="AH6" s="7">
        <f>IF(MOD($A6,12)=0,VARIABLES!$B$18,0)</f>
        <v>0</v>
      </c>
      <c r="AI6" s="19">
        <f t="shared" si="5"/>
        <v>28000</v>
      </c>
      <c r="AJ6" s="20">
        <f>IF($A6&lt;VARIABLES!$B$7,VARIABLES!$B$9,0)</f>
        <v>10580.083333333334</v>
      </c>
      <c r="AK6" s="21">
        <f t="shared" si="6"/>
        <v>-17780.1015625</v>
      </c>
      <c r="AL6" s="21">
        <f t="shared" si="7"/>
        <v>-91410.059895833314</v>
      </c>
      <c r="AM6" s="22">
        <f t="shared" si="8"/>
        <v>31740.25</v>
      </c>
    </row>
    <row r="7" spans="1:39" x14ac:dyDescent="0.2">
      <c r="A7" s="23">
        <v>4</v>
      </c>
      <c r="B7" s="23" t="str">
        <f>TEXT(DATE(VARIABLES!$B$60+INT((VARIABLES!$B$61+A7-2)/12),MOD(VARIABLES!$B$61+A7-2,12)+1,1),"mmm-yy")</f>
        <v>Sept-26</v>
      </c>
      <c r="C7" s="24">
        <f>IF($A7&lt;VARIABLES!$B$7,VARIABLES!$B$5/12,VARIABLES!$B$6/12)</f>
        <v>3.3333333333333333E-2</v>
      </c>
      <c r="D7" s="25">
        <f>IF($A7&lt;VARIABLES!$B$21,0,IF($A7=VARIABLES!$B$21,VARIABLES!$B$22+VARIABLES!$B$23,VARIABLES!$B$23))</f>
        <v>200000</v>
      </c>
      <c r="E7" s="25">
        <f>D7*VARIABLES!$B$24</f>
        <v>1500</v>
      </c>
      <c r="F7" s="25">
        <f>IF($A7&lt;VARIABLES!$B$21,0,(IF($A7=VARIABLES!$B$21,0,G6)+D7)*C7*VARIABLES!$B$25)</f>
        <v>975.0523242187503</v>
      </c>
      <c r="G7" s="25">
        <f>IF($A7&lt;VARIABLES!$B$21,0,(IF($A7=VARIABLES!$B$21,0,G6)+D7)*(1+C7)-F7)</f>
        <v>1208089.8297070316</v>
      </c>
      <c r="H7" s="25">
        <f>IF($A7&lt;VARIABLES!$B$28,0,IF($A7=VARIABLES!$B$28,VARIABLES!$B$29+VARIABLES!$B$30,VARIABLES!$B$30))</f>
        <v>40000</v>
      </c>
      <c r="I7" s="25">
        <f>H7*VARIABLES!$B$31</f>
        <v>300</v>
      </c>
      <c r="J7" s="25">
        <f>IF($A7&lt;VARIABLES!$B$28,0,(IF($A7=VARIABLES!$B$28,0,K6)+H7)*C7*VARIABLES!$B$32)</f>
        <v>412.12</v>
      </c>
      <c r="K7" s="25">
        <f>IF($A7&lt;VARIABLES!$B$28,0,(IF($A7=VARIABLES!$B$28,0,K6)+H7)*(1+C7)-J7)</f>
        <v>127345.08000000002</v>
      </c>
      <c r="L7" s="25">
        <f>IF($A7&lt;VARIABLES!$B$35,0,IF($A7=VARIABLES!$B$35,VARIABLES!$B$36+VARIABLES!$B$37,VARIABLES!$B$37))</f>
        <v>0</v>
      </c>
      <c r="M7" s="25">
        <f>L7*VARIABLES!$B$38</f>
        <v>0</v>
      </c>
      <c r="N7" s="25">
        <f>IF($A7&lt;VARIABLES!$B$35,0,(IF($A7=VARIABLES!$B$35,0,O6)+L7)*C7*VARIABLES!$B$39)</f>
        <v>17681.666666666668</v>
      </c>
      <c r="O7" s="25">
        <f>IF($A7&lt;VARIABLES!$B$35,0,(IF($A7=VARIABLES!$B$35,0,O6)+L7)*(1+C7)-N7)</f>
        <v>5463635</v>
      </c>
      <c r="P7" s="25">
        <f>IF($A7&lt;VARIABLES!$B$42,0,IF($A7=VARIABLES!$B$42,VARIABLES!$B$43+VARIABLES!$B$44,VARIABLES!$B$44))</f>
        <v>20000</v>
      </c>
      <c r="Q7" s="25">
        <f>P7*VARIABLES!$B$45</f>
        <v>150</v>
      </c>
      <c r="R7" s="25">
        <f>IF($A7&lt;VARIABLES!$B$42,0,(IF($A7=VARIABLES!$B$42,0,S6)+P7)*C7*VARIABLES!$B$46)</f>
        <v>51.642604166666672</v>
      </c>
      <c r="S7" s="25">
        <f>IF($A7&lt;VARIABLES!$B$42,0,(IF($A7=VARIABLES!$B$42,0,S6)+P7)*(1+C7)-R7)</f>
        <v>63985.186562500014</v>
      </c>
      <c r="T7" s="26">
        <f>IF($A7&lt;VARIABLES!$B$50,0,MIN(VARIABLES!$B$49,INT(($A7-VARIABLES!$B$50)/VARIABLES!$B$51)+1)*VARIABLES!$B$52)</f>
        <v>2</v>
      </c>
      <c r="U7" s="25">
        <f>T7*VARIABLES!$B$54+IF(AND($A7&gt;=VARIABLES!$B$50,MOD($A7-VARIABLES!$B$50,VARIABLES!$B$51)=0,INT(($A7-VARIABLES!$B$50)/VARIABLES!$B$51)&lt;VARIABLES!$B$49),VARIABLES!$B$52*VARIABLES!$B$53,0)</f>
        <v>60000</v>
      </c>
      <c r="V7" s="25">
        <f>U7*VARIABLES!$B$55</f>
        <v>450</v>
      </c>
      <c r="W7" s="25">
        <f>IF($A7&lt;VARIABLES!$B$50,0,(IF($A7&lt;VARIABLES!$B$50+1,0,X6)+U7)*C7*VARIABLES!$B$56)</f>
        <v>388.83333333333337</v>
      </c>
      <c r="X7" s="25">
        <f>IF($A7&lt;VARIABLES!$B$50,0,(IF($A7&lt;VARIABLES!$B$50+1,0,X6)+U7)*(1+C7)-W7)</f>
        <v>120149.50000000001</v>
      </c>
      <c r="Y7" s="25">
        <f t="shared" si="0"/>
        <v>320000</v>
      </c>
      <c r="Z7" s="25">
        <f t="shared" si="1"/>
        <v>2400</v>
      </c>
      <c r="AA7" s="25">
        <f t="shared" si="2"/>
        <v>19509.314928385418</v>
      </c>
      <c r="AB7" s="17">
        <f t="shared" si="3"/>
        <v>21909.314928385418</v>
      </c>
      <c r="AC7" s="18">
        <f t="shared" si="4"/>
        <v>6983204.5962695321</v>
      </c>
      <c r="AD7" s="25">
        <f>IF($A7=1,VARIABLES!$B$12,0)</f>
        <v>0</v>
      </c>
      <c r="AE7" s="25">
        <f>IF($A7&lt;=3,VARIABLES!$B$13,IF($A7&lt;=6,VARIABLES!$B$14,VARIABLES!$B$15))</f>
        <v>34500</v>
      </c>
      <c r="AF7" s="25">
        <f>IF(MOD($A7,12)=0,AC7*VARIABLES!$B$16,0)</f>
        <v>0</v>
      </c>
      <c r="AG7" s="25">
        <f>VARIABLES!$B$17</f>
        <v>5000</v>
      </c>
      <c r="AH7" s="25">
        <f>IF(MOD($A7,12)=0,VARIABLES!$B$18,0)</f>
        <v>0</v>
      </c>
      <c r="AI7" s="19">
        <f t="shared" si="5"/>
        <v>39500</v>
      </c>
      <c r="AJ7" s="20">
        <f>IF($A7&lt;VARIABLES!$B$7,VARIABLES!$B$9,0)</f>
        <v>10580.083333333334</v>
      </c>
      <c r="AK7" s="27">
        <f t="shared" si="6"/>
        <v>-28170.768404947914</v>
      </c>
      <c r="AL7" s="27">
        <f t="shared" si="7"/>
        <v>-119580.82830078123</v>
      </c>
      <c r="AM7" s="22">
        <f t="shared" si="8"/>
        <v>42320.333333333336</v>
      </c>
    </row>
    <row r="8" spans="1:39" x14ac:dyDescent="0.2">
      <c r="A8" s="14">
        <v>5</v>
      </c>
      <c r="B8" s="14" t="str">
        <f>TEXT(DATE(VARIABLES!$B$60+INT((VARIABLES!$B$61+A8-2)/12),MOD(VARIABLES!$B$61+A8-2,12)+1,1),"mmm-yy")</f>
        <v>Oct-26</v>
      </c>
      <c r="C8" s="15">
        <f>IF($A8&lt;VARIABLES!$B$7,VARIABLES!$B$5/12,VARIABLES!$B$6/12)</f>
        <v>3.3333333333333333E-2</v>
      </c>
      <c r="D8" s="7">
        <f>IF($A8&lt;VARIABLES!$B$21,0,IF($A8=VARIABLES!$B$21,VARIABLES!$B$22+VARIABLES!$B$23,VARIABLES!$B$23))</f>
        <v>200000</v>
      </c>
      <c r="E8" s="7">
        <f>D8*VARIABLES!$B$24</f>
        <v>1500</v>
      </c>
      <c r="F8" s="7">
        <f>IF($A8&lt;VARIABLES!$B$21,0,(IF($A8=VARIABLES!$B$21,0,G7)+D8)*C8*VARIABLES!$B$25)</f>
        <v>1173.4081914225264</v>
      </c>
      <c r="G8" s="7">
        <f>IF($A8&lt;VARIABLES!$B$21,0,(IF($A8=VARIABLES!$B$21,0,G7)+D8)*(1+C8)-F8)</f>
        <v>1453852.7491725103</v>
      </c>
      <c r="H8" s="7">
        <f>IF($A8&lt;VARIABLES!$B$28,0,IF($A8=VARIABLES!$B$28,VARIABLES!$B$29+VARIABLES!$B$30,VARIABLES!$B$30))</f>
        <v>40000</v>
      </c>
      <c r="I8" s="7">
        <f>H8*VARIABLES!$B$31</f>
        <v>300</v>
      </c>
      <c r="J8" s="7">
        <f>IF($A8&lt;VARIABLES!$B$28,0,(IF($A8=VARIABLES!$B$28,0,K7)+H8)*C8*VARIABLES!$B$32)</f>
        <v>557.8169333333334</v>
      </c>
      <c r="K8" s="7">
        <f>IF($A8&lt;VARIABLES!$B$28,0,(IF($A8=VARIABLES!$B$28,0,K7)+H8)*(1+C8)-J8)</f>
        <v>172365.43240000005</v>
      </c>
      <c r="L8" s="7">
        <f>IF($A8&lt;VARIABLES!$B$35,0,IF($A8=VARIABLES!$B$35,VARIABLES!$B$36+VARIABLES!$B$37,VARIABLES!$B$37))</f>
        <v>0</v>
      </c>
      <c r="M8" s="7">
        <f>L8*VARIABLES!$B$38</f>
        <v>0</v>
      </c>
      <c r="N8" s="7">
        <f>IF($A8&lt;VARIABLES!$B$35,0,(IF($A8=VARIABLES!$B$35,0,O7)+L8)*C8*VARIABLES!$B$39)</f>
        <v>18212.116666666665</v>
      </c>
      <c r="O8" s="7">
        <f>IF($A8&lt;VARIABLES!$B$35,0,(IF($A8=VARIABLES!$B$35,0,O7)+L8)*(1+C8)-N8)</f>
        <v>5627544.0500000007</v>
      </c>
      <c r="P8" s="7">
        <f>IF($A8&lt;VARIABLES!$B$42,0,IF($A8=VARIABLES!$B$42,VARIABLES!$B$43+VARIABLES!$B$44,VARIABLES!$B$44))</f>
        <v>20000</v>
      </c>
      <c r="Q8" s="7">
        <f>P8*VARIABLES!$B$45</f>
        <v>150</v>
      </c>
      <c r="R8" s="7">
        <f>IF($A8&lt;VARIABLES!$B$42,0,(IF($A8=VARIABLES!$B$42,0,S7)+P8)*C8*VARIABLES!$B$46)</f>
        <v>69.98765546875002</v>
      </c>
      <c r="S8" s="7">
        <f>IF($A8&lt;VARIABLES!$B$42,0,(IF($A8=VARIABLES!$B$42,0,S7)+P8)*(1+C8)-R8)</f>
        <v>86714.705125781285</v>
      </c>
      <c r="T8" s="16">
        <f>IF($A8&lt;VARIABLES!$B$50,0,MIN(VARIABLES!$B$49,INT(($A8-VARIABLES!$B$50)/VARIABLES!$B$51)+1)*VARIABLES!$B$52)</f>
        <v>3</v>
      </c>
      <c r="U8" s="7">
        <f>T8*VARIABLES!$B$54+IF(AND($A8&gt;=VARIABLES!$B$50,MOD($A8-VARIABLES!$B$50,VARIABLES!$B$51)=0,INT(($A8-VARIABLES!$B$50)/VARIABLES!$B$51)&lt;VARIABLES!$B$49),VARIABLES!$B$52*VARIABLES!$B$53,0)</f>
        <v>65000</v>
      </c>
      <c r="V8" s="7">
        <f>U8*VARIABLES!$B$55</f>
        <v>487.5</v>
      </c>
      <c r="W8" s="7">
        <f>IF($A8&lt;VARIABLES!$B$50,0,(IF($A8&lt;VARIABLES!$B$50+1,0,X7)+U8)*C8*VARIABLES!$B$56)</f>
        <v>617.16499999999996</v>
      </c>
      <c r="X8" s="7">
        <f>IF($A8&lt;VARIABLES!$B$50,0,(IF($A8&lt;VARIABLES!$B$50+1,0,X7)+U8)*(1+C8)-W8)</f>
        <v>190703.98500000002</v>
      </c>
      <c r="Y8" s="7">
        <f t="shared" si="0"/>
        <v>325000</v>
      </c>
      <c r="Z8" s="7">
        <f t="shared" si="1"/>
        <v>2437.5</v>
      </c>
      <c r="AA8" s="7">
        <f t="shared" si="2"/>
        <v>20630.494446891276</v>
      </c>
      <c r="AB8" s="17">
        <f t="shared" si="3"/>
        <v>23067.994446891276</v>
      </c>
      <c r="AC8" s="18">
        <f t="shared" si="4"/>
        <v>7531180.9216982927</v>
      </c>
      <c r="AD8" s="7">
        <f>IF($A8=1,VARIABLES!$B$12,0)</f>
        <v>0</v>
      </c>
      <c r="AE8" s="7">
        <f>IF($A8&lt;=3,VARIABLES!$B$13,IF($A8&lt;=6,VARIABLES!$B$14,VARIABLES!$B$15))</f>
        <v>34500</v>
      </c>
      <c r="AF8" s="7">
        <f>IF(MOD($A8,12)=0,AC8*VARIABLES!$B$16,0)</f>
        <v>0</v>
      </c>
      <c r="AG8" s="7">
        <f>VARIABLES!$B$17</f>
        <v>5000</v>
      </c>
      <c r="AH8" s="7">
        <f>IF(MOD($A8,12)=0,VARIABLES!$B$18,0)</f>
        <v>0</v>
      </c>
      <c r="AI8" s="19">
        <f t="shared" si="5"/>
        <v>39500</v>
      </c>
      <c r="AJ8" s="20">
        <f>IF($A8&lt;VARIABLES!$B$7,VARIABLES!$B$9,0)</f>
        <v>10580.083333333334</v>
      </c>
      <c r="AK8" s="21">
        <f t="shared" si="6"/>
        <v>-27012.088886442056</v>
      </c>
      <c r="AL8" s="21">
        <f t="shared" si="7"/>
        <v>-146592.91718722327</v>
      </c>
      <c r="AM8" s="22">
        <f t="shared" si="8"/>
        <v>52900.416666666672</v>
      </c>
    </row>
    <row r="9" spans="1:39" x14ac:dyDescent="0.2">
      <c r="A9" s="23">
        <v>6</v>
      </c>
      <c r="B9" s="23" t="str">
        <f>TEXT(DATE(VARIABLES!$B$60+INT((VARIABLES!$B$61+A9-2)/12),MOD(VARIABLES!$B$61+A9-2,12)+1,1),"mmm-yy")</f>
        <v>Nov-26</v>
      </c>
      <c r="C9" s="24">
        <f>IF($A9&lt;VARIABLES!$B$7,VARIABLES!$B$5/12,VARIABLES!$B$6/12)</f>
        <v>3.3333333333333333E-2</v>
      </c>
      <c r="D9" s="25">
        <f>IF($A9&lt;VARIABLES!$B$21,0,IF($A9=VARIABLES!$B$21,VARIABLES!$B$22+VARIABLES!$B$23,VARIABLES!$B$23))</f>
        <v>200000</v>
      </c>
      <c r="E9" s="25">
        <f>D9*VARIABLES!$B$24</f>
        <v>1500</v>
      </c>
      <c r="F9" s="25">
        <f>IF($A9&lt;VARIABLES!$B$21,0,(IF($A9=VARIABLES!$B$21,0,G8)+D9)*C9*VARIABLES!$B$25)</f>
        <v>1378.2106243104254</v>
      </c>
      <c r="G9" s="25">
        <f>IF($A9&lt;VARIABLES!$B$21,0,(IF($A9=VARIABLES!$B$21,0,G8)+D9)*(1+C9)-F9)</f>
        <v>1707602.9635206172</v>
      </c>
      <c r="H9" s="25">
        <f>IF($A9&lt;VARIABLES!$B$28,0,IF($A9=VARIABLES!$B$28,VARIABLES!$B$29+VARIABLES!$B$30,VARIABLES!$B$30))</f>
        <v>40000</v>
      </c>
      <c r="I9" s="25">
        <f>H9*VARIABLES!$B$31</f>
        <v>300</v>
      </c>
      <c r="J9" s="25">
        <f>IF($A9&lt;VARIABLES!$B$28,0,(IF($A9=VARIABLES!$B$28,0,K8)+H9)*C9*VARIABLES!$B$32)</f>
        <v>707.88477466666689</v>
      </c>
      <c r="K9" s="25">
        <f>IF($A9&lt;VARIABLES!$B$28,0,(IF($A9=VARIABLES!$B$28,0,K8)+H9)*(1+C9)-J9)</f>
        <v>218736.39537200009</v>
      </c>
      <c r="L9" s="25">
        <f>IF($A9&lt;VARIABLES!$B$35,0,IF($A9=VARIABLES!$B$35,VARIABLES!$B$36+VARIABLES!$B$37,VARIABLES!$B$37))</f>
        <v>0</v>
      </c>
      <c r="M9" s="25">
        <f>L9*VARIABLES!$B$38</f>
        <v>0</v>
      </c>
      <c r="N9" s="25">
        <f>IF($A9&lt;VARIABLES!$B$35,0,(IF($A9=VARIABLES!$B$35,0,O8)+L9)*C9*VARIABLES!$B$39)</f>
        <v>18758.480166666672</v>
      </c>
      <c r="O9" s="25">
        <f>IF($A9&lt;VARIABLES!$B$35,0,(IF($A9=VARIABLES!$B$35,0,O8)+L9)*(1+C9)-N9)</f>
        <v>5796370.3715000022</v>
      </c>
      <c r="P9" s="25">
        <f>IF($A9&lt;VARIABLES!$B$42,0,IF($A9=VARIABLES!$B$42,VARIABLES!$B$43+VARIABLES!$B$44,VARIABLES!$B$44))</f>
        <v>20000</v>
      </c>
      <c r="Q9" s="25">
        <f>P9*VARIABLES!$B$45</f>
        <v>150</v>
      </c>
      <c r="R9" s="25">
        <f>IF($A9&lt;VARIABLES!$B$42,0,(IF($A9=VARIABLES!$B$42,0,S8)+P9)*C9*VARIABLES!$B$46)</f>
        <v>88.928920938151066</v>
      </c>
      <c r="S9" s="25">
        <f>IF($A9&lt;VARIABLES!$B$42,0,(IF($A9=VARIABLES!$B$42,0,S8)+P9)*(1+C9)-R9)</f>
        <v>110182.93304236919</v>
      </c>
      <c r="T9" s="26">
        <f>IF($A9&lt;VARIABLES!$B$50,0,MIN(VARIABLES!$B$49,INT(($A9-VARIABLES!$B$50)/VARIABLES!$B$51)+1)*VARIABLES!$B$52)</f>
        <v>4</v>
      </c>
      <c r="U9" s="25">
        <f>T9*VARIABLES!$B$54+IF(AND($A9&gt;=VARIABLES!$B$50,MOD($A9-VARIABLES!$B$50,VARIABLES!$B$51)=0,INT(($A9-VARIABLES!$B$50)/VARIABLES!$B$51)&lt;VARIABLES!$B$49),VARIABLES!$B$52*VARIABLES!$B$53,0)</f>
        <v>70000</v>
      </c>
      <c r="V9" s="25">
        <f>U9*VARIABLES!$B$55</f>
        <v>525</v>
      </c>
      <c r="W9" s="25">
        <f>IF($A9&lt;VARIABLES!$B$50,0,(IF($A9&lt;VARIABLES!$B$50+1,0,X8)+U9)*C9*VARIABLES!$B$56)</f>
        <v>869.01328333333333</v>
      </c>
      <c r="X9" s="25">
        <f>IF($A9&lt;VARIABLES!$B$50,0,(IF($A9&lt;VARIABLES!$B$50+1,0,X8)+U9)*(1+C9)-W9)</f>
        <v>268525.10455000005</v>
      </c>
      <c r="Y9" s="25">
        <f t="shared" si="0"/>
        <v>330000</v>
      </c>
      <c r="Z9" s="25">
        <f t="shared" si="1"/>
        <v>2475</v>
      </c>
      <c r="AA9" s="25">
        <f t="shared" si="2"/>
        <v>21802.517769915248</v>
      </c>
      <c r="AB9" s="17">
        <f t="shared" si="3"/>
        <v>24277.517769915248</v>
      </c>
      <c r="AC9" s="18">
        <f t="shared" si="4"/>
        <v>8101417.7679849891</v>
      </c>
      <c r="AD9" s="25">
        <f>IF($A9=1,VARIABLES!$B$12,0)</f>
        <v>0</v>
      </c>
      <c r="AE9" s="25">
        <f>IF($A9&lt;=3,VARIABLES!$B$13,IF($A9&lt;=6,VARIABLES!$B$14,VARIABLES!$B$15))</f>
        <v>34500</v>
      </c>
      <c r="AF9" s="25">
        <f>IF(MOD($A9,12)=0,AC9*VARIABLES!$B$16,0)</f>
        <v>0</v>
      </c>
      <c r="AG9" s="25">
        <f>VARIABLES!$B$17</f>
        <v>5000</v>
      </c>
      <c r="AH9" s="25">
        <f>IF(MOD($A9,12)=0,VARIABLES!$B$18,0)</f>
        <v>0</v>
      </c>
      <c r="AI9" s="19">
        <f t="shared" si="5"/>
        <v>39500</v>
      </c>
      <c r="AJ9" s="20">
        <f>IF($A9&lt;VARIABLES!$B$7,VARIABLES!$B$9,0)</f>
        <v>10580.083333333334</v>
      </c>
      <c r="AK9" s="27">
        <f t="shared" si="6"/>
        <v>-25802.565563418088</v>
      </c>
      <c r="AL9" s="27">
        <f t="shared" si="7"/>
        <v>-172395.48275064136</v>
      </c>
      <c r="AM9" s="22">
        <f t="shared" si="8"/>
        <v>63480.500000000007</v>
      </c>
    </row>
    <row r="10" spans="1:39" x14ac:dyDescent="0.2">
      <c r="A10" s="14">
        <v>7</v>
      </c>
      <c r="B10" s="14" t="str">
        <f>TEXT(DATE(VARIABLES!$B$60+INT((VARIABLES!$B$61+A10-2)/12),MOD(VARIABLES!$B$61+A10-2,12)+1,1),"mmm-yy")</f>
        <v>Dec-26</v>
      </c>
      <c r="C10" s="15">
        <f>IF($A10&lt;VARIABLES!$B$7,VARIABLES!$B$5/12,VARIABLES!$B$6/12)</f>
        <v>3.3333333333333333E-2</v>
      </c>
      <c r="D10" s="7">
        <f>IF($A10&lt;VARIABLES!$B$21,0,IF($A10=VARIABLES!$B$21,VARIABLES!$B$22+VARIABLES!$B$23,VARIABLES!$B$23))</f>
        <v>200000</v>
      </c>
      <c r="E10" s="7">
        <f>D10*VARIABLES!$B$24</f>
        <v>1500</v>
      </c>
      <c r="F10" s="7">
        <f>IF($A10&lt;VARIABLES!$B$21,0,(IF($A10=VARIABLES!$B$21,0,G9)+D10)*C10*VARIABLES!$B$25)</f>
        <v>1589.6691362671811</v>
      </c>
      <c r="G10" s="7">
        <f>IF($A10&lt;VARIABLES!$B$21,0,(IF($A10=VARIABLES!$B$21,0,G9)+D10)*(1+C10)-F10)</f>
        <v>1969600.0598350374</v>
      </c>
      <c r="H10" s="7">
        <f>IF($A10&lt;VARIABLES!$B$28,0,IF($A10=VARIABLES!$B$28,VARIABLES!$B$29+VARIABLES!$B$30,VARIABLES!$B$30))</f>
        <v>40000</v>
      </c>
      <c r="I10" s="7">
        <f>H10*VARIABLES!$B$31</f>
        <v>300</v>
      </c>
      <c r="J10" s="7">
        <f>IF($A10&lt;VARIABLES!$B$28,0,(IF($A10=VARIABLES!$B$28,0,K9)+H10)*C10*VARIABLES!$B$32)</f>
        <v>862.4546512400002</v>
      </c>
      <c r="K10" s="7">
        <f>IF($A10&lt;VARIABLES!$B$28,0,(IF($A10=VARIABLES!$B$28,0,K9)+H10)*(1+C10)-J10)</f>
        <v>266498.48723316006</v>
      </c>
      <c r="L10" s="7">
        <f>IF($A10&lt;VARIABLES!$B$35,0,IF($A10=VARIABLES!$B$35,VARIABLES!$B$36+VARIABLES!$B$37,VARIABLES!$B$37))</f>
        <v>0</v>
      </c>
      <c r="M10" s="7">
        <f>L10*VARIABLES!$B$38</f>
        <v>0</v>
      </c>
      <c r="N10" s="7">
        <f>IF($A10&lt;VARIABLES!$B$35,0,(IF($A10=VARIABLES!$B$35,0,O9)+L10)*C10*VARIABLES!$B$39)</f>
        <v>19321.234571666675</v>
      </c>
      <c r="O10" s="7">
        <f>IF($A10&lt;VARIABLES!$B$35,0,(IF($A10=VARIABLES!$B$35,0,O9)+L10)*(1+C10)-N10)</f>
        <v>5970261.4826450031</v>
      </c>
      <c r="P10" s="7">
        <f>IF($A10&lt;VARIABLES!$B$42,0,IF($A10=VARIABLES!$B$42,VARIABLES!$B$43+VARIABLES!$B$44,VARIABLES!$B$44))</f>
        <v>20000</v>
      </c>
      <c r="Q10" s="7">
        <f>P10*VARIABLES!$B$45</f>
        <v>150</v>
      </c>
      <c r="R10" s="7">
        <f>IF($A10&lt;VARIABLES!$B$42,0,(IF($A10=VARIABLES!$B$42,0,S9)+P10)*C10*VARIABLES!$B$46)</f>
        <v>108.48577753530765</v>
      </c>
      <c r="S10" s="7">
        <f>IF($A10&lt;VARIABLES!$B$42,0,(IF($A10=VARIABLES!$B$42,0,S9)+P10)*(1+C10)-R10)</f>
        <v>134413.87836624621</v>
      </c>
      <c r="T10" s="16">
        <f>IF($A10&lt;VARIABLES!$B$50,0,MIN(VARIABLES!$B$49,INT(($A10-VARIABLES!$B$50)/VARIABLES!$B$51)+1)*VARIABLES!$B$52)</f>
        <v>5</v>
      </c>
      <c r="U10" s="7">
        <f>T10*VARIABLES!$B$54+IF(AND($A10&gt;=VARIABLES!$B$50,MOD($A10-VARIABLES!$B$50,VARIABLES!$B$51)=0,INT(($A10-VARIABLES!$B$50)/VARIABLES!$B$51)&lt;VARIABLES!$B$49),VARIABLES!$B$52*VARIABLES!$B$53,0)</f>
        <v>75000</v>
      </c>
      <c r="V10" s="7">
        <f>U10*VARIABLES!$B$55</f>
        <v>562.5</v>
      </c>
      <c r="W10" s="7">
        <f>IF($A10&lt;VARIABLES!$B$50,0,(IF($A10&lt;VARIABLES!$B$50+1,0,X9)+U10)*C10*VARIABLES!$B$56)</f>
        <v>1145.0836818333335</v>
      </c>
      <c r="X10" s="7">
        <f>IF($A10&lt;VARIABLES!$B$50,0,(IF($A10&lt;VARIABLES!$B$50+1,0,X9)+U10)*(1+C10)-W10)</f>
        <v>353830.85768650007</v>
      </c>
      <c r="Y10" s="7">
        <f t="shared" si="0"/>
        <v>335000</v>
      </c>
      <c r="Z10" s="7">
        <f t="shared" si="1"/>
        <v>2512.5</v>
      </c>
      <c r="AA10" s="7">
        <f t="shared" si="2"/>
        <v>23026.927818542499</v>
      </c>
      <c r="AB10" s="17">
        <f t="shared" si="3"/>
        <v>25539.427818542499</v>
      </c>
      <c r="AC10" s="18">
        <f t="shared" si="4"/>
        <v>8694604.7657659464</v>
      </c>
      <c r="AD10" s="7">
        <f>IF($A10=1,VARIABLES!$B$12,0)</f>
        <v>0</v>
      </c>
      <c r="AE10" s="7">
        <f>IF($A10&lt;=3,VARIABLES!$B$13,IF($A10&lt;=6,VARIABLES!$B$14,VARIABLES!$B$15))</f>
        <v>46000</v>
      </c>
      <c r="AF10" s="7">
        <f>IF(MOD($A10,12)=0,AC10*VARIABLES!$B$16,0)</f>
        <v>0</v>
      </c>
      <c r="AG10" s="7">
        <f>VARIABLES!$B$17</f>
        <v>5000</v>
      </c>
      <c r="AH10" s="7">
        <f>IF(MOD($A10,12)=0,VARIABLES!$B$18,0)</f>
        <v>0</v>
      </c>
      <c r="AI10" s="19">
        <f t="shared" si="5"/>
        <v>51000</v>
      </c>
      <c r="AJ10" s="20">
        <f>IF($A10&lt;VARIABLES!$B$7,VARIABLES!$B$9,0)</f>
        <v>10580.083333333334</v>
      </c>
      <c r="AK10" s="21">
        <f t="shared" si="6"/>
        <v>-36040.655514790837</v>
      </c>
      <c r="AL10" s="21">
        <f t="shared" si="7"/>
        <v>-208436.13826543221</v>
      </c>
      <c r="AM10" s="22">
        <f t="shared" si="8"/>
        <v>74060.583333333343</v>
      </c>
    </row>
    <row r="11" spans="1:39" x14ac:dyDescent="0.2">
      <c r="A11" s="23">
        <v>8</v>
      </c>
      <c r="B11" s="23" t="str">
        <f>TEXT(DATE(VARIABLES!$B$60+INT((VARIABLES!$B$61+A11-2)/12),MOD(VARIABLES!$B$61+A11-2,12)+1,1),"mmm-yy")</f>
        <v>Jan-27</v>
      </c>
      <c r="C11" s="24">
        <f>IF($A11&lt;VARIABLES!$B$7,VARIABLES!$B$5/12,VARIABLES!$B$6/12)</f>
        <v>3.3333333333333333E-2</v>
      </c>
      <c r="D11" s="25">
        <f>IF($A11&lt;VARIABLES!$B$21,0,IF($A11=VARIABLES!$B$21,VARIABLES!$B$22+VARIABLES!$B$23,VARIABLES!$B$23))</f>
        <v>200000</v>
      </c>
      <c r="E11" s="25">
        <f>D11*VARIABLES!$B$24</f>
        <v>1500</v>
      </c>
      <c r="F11" s="25">
        <f>IF($A11&lt;VARIABLES!$B$21,0,(IF($A11=VARIABLES!$B$21,0,G10)+D11)*C11*VARIABLES!$B$25)</f>
        <v>1808.0000498625313</v>
      </c>
      <c r="G11" s="25">
        <f>IF($A11&lt;VARIABLES!$B$21,0,(IF($A11=VARIABLES!$B$21,0,G10)+D11)*(1+C11)-F11)</f>
        <v>2240112.061779676</v>
      </c>
      <c r="H11" s="25">
        <f>IF($A11&lt;VARIABLES!$B$28,0,IF($A11=VARIABLES!$B$28,VARIABLES!$B$29+VARIABLES!$B$30,VARIABLES!$B$30))</f>
        <v>40000</v>
      </c>
      <c r="I11" s="25">
        <f>H11*VARIABLES!$B$31</f>
        <v>300</v>
      </c>
      <c r="J11" s="25">
        <f>IF($A11&lt;VARIABLES!$B$28,0,(IF($A11=VARIABLES!$B$28,0,K10)+H11)*C11*VARIABLES!$B$32)</f>
        <v>1021.6616241105336</v>
      </c>
      <c r="K11" s="25">
        <f>IF($A11&lt;VARIABLES!$B$28,0,(IF($A11=VARIABLES!$B$28,0,K10)+H11)*(1+C11)-J11)</f>
        <v>315693.44185015489</v>
      </c>
      <c r="L11" s="25">
        <f>IF($A11&lt;VARIABLES!$B$35,0,IF($A11=VARIABLES!$B$35,VARIABLES!$B$36+VARIABLES!$B$37,VARIABLES!$B$37))</f>
        <v>0</v>
      </c>
      <c r="M11" s="25">
        <f>L11*VARIABLES!$B$38</f>
        <v>0</v>
      </c>
      <c r="N11" s="25">
        <f>IF($A11&lt;VARIABLES!$B$35,0,(IF($A11=VARIABLES!$B$35,0,O10)+L11)*C11*VARIABLES!$B$39)</f>
        <v>19900.87160881668</v>
      </c>
      <c r="O11" s="25">
        <f>IF($A11&lt;VARIABLES!$B$35,0,(IF($A11=VARIABLES!$B$35,0,O10)+L11)*(1+C11)-N11)</f>
        <v>6149369.3271243535</v>
      </c>
      <c r="P11" s="25">
        <f>IF($A11&lt;VARIABLES!$B$42,0,IF($A11=VARIABLES!$B$42,VARIABLES!$B$43+VARIABLES!$B$44,VARIABLES!$B$44))</f>
        <v>20000</v>
      </c>
      <c r="Q11" s="25">
        <f>P11*VARIABLES!$B$45</f>
        <v>150</v>
      </c>
      <c r="R11" s="25">
        <f>IF($A11&lt;VARIABLES!$B$42,0,(IF($A11=VARIABLES!$B$42,0,S10)+P11)*C11*VARIABLES!$B$46)</f>
        <v>128.67823197187184</v>
      </c>
      <c r="S11" s="25">
        <f>IF($A11&lt;VARIABLES!$B$42,0,(IF($A11=VARIABLES!$B$42,0,S10)+P11)*(1+C11)-R11)</f>
        <v>159432.32941314924</v>
      </c>
      <c r="T11" s="26">
        <f>IF($A11&lt;VARIABLES!$B$50,0,MIN(VARIABLES!$B$49,INT(($A11-VARIABLES!$B$50)/VARIABLES!$B$51)+1)*VARIABLES!$B$52)</f>
        <v>6</v>
      </c>
      <c r="U11" s="25">
        <f>T11*VARIABLES!$B$54+IF(AND($A11&gt;=VARIABLES!$B$50,MOD($A11-VARIABLES!$B$50,VARIABLES!$B$51)=0,INT(($A11-VARIABLES!$B$50)/VARIABLES!$B$51)&lt;VARIABLES!$B$49),VARIABLES!$B$52*VARIABLES!$B$53,0)</f>
        <v>80000</v>
      </c>
      <c r="V11" s="25">
        <f>U11*VARIABLES!$B$55</f>
        <v>600</v>
      </c>
      <c r="W11" s="25">
        <f>IF($A11&lt;VARIABLES!$B$50,0,(IF($A11&lt;VARIABLES!$B$50+1,0,X10)+U11)*C11*VARIABLES!$B$56)</f>
        <v>1446.1028589550003</v>
      </c>
      <c r="X11" s="25">
        <f>IF($A11&lt;VARIABLES!$B$50,0,(IF($A11&lt;VARIABLES!$B$50+1,0,X10)+U11)*(1+C11)-W11)</f>
        <v>446845.78341709514</v>
      </c>
      <c r="Y11" s="25">
        <f t="shared" si="0"/>
        <v>340000</v>
      </c>
      <c r="Z11" s="25">
        <f t="shared" si="1"/>
        <v>2550</v>
      </c>
      <c r="AA11" s="25">
        <f t="shared" si="2"/>
        <v>24305.314373716617</v>
      </c>
      <c r="AB11" s="17">
        <f t="shared" si="3"/>
        <v>26855.314373716617</v>
      </c>
      <c r="AC11" s="18">
        <f t="shared" si="4"/>
        <v>9311452.9435844272</v>
      </c>
      <c r="AD11" s="25">
        <f>IF($A11=1,VARIABLES!$B$12,0)</f>
        <v>0</v>
      </c>
      <c r="AE11" s="25">
        <f>IF($A11&lt;=3,VARIABLES!$B$13,IF($A11&lt;=6,VARIABLES!$B$14,VARIABLES!$B$15))</f>
        <v>46000</v>
      </c>
      <c r="AF11" s="25">
        <f>IF(MOD($A11,12)=0,AC11*VARIABLES!$B$16,0)</f>
        <v>0</v>
      </c>
      <c r="AG11" s="25">
        <f>VARIABLES!$B$17</f>
        <v>5000</v>
      </c>
      <c r="AH11" s="25">
        <f>IF(MOD($A11,12)=0,VARIABLES!$B$18,0)</f>
        <v>0</v>
      </c>
      <c r="AI11" s="19">
        <f t="shared" si="5"/>
        <v>51000</v>
      </c>
      <c r="AJ11" s="20">
        <f>IF($A11&lt;VARIABLES!$B$7,VARIABLES!$B$9,0)</f>
        <v>10580.083333333334</v>
      </c>
      <c r="AK11" s="27">
        <f t="shared" si="6"/>
        <v>-34724.768959616718</v>
      </c>
      <c r="AL11" s="27">
        <f t="shared" si="7"/>
        <v>-243160.90722504893</v>
      </c>
      <c r="AM11" s="22">
        <f t="shared" si="8"/>
        <v>84640.666666666672</v>
      </c>
    </row>
    <row r="12" spans="1:39" x14ac:dyDescent="0.2">
      <c r="A12" s="14">
        <v>9</v>
      </c>
      <c r="B12" s="14" t="str">
        <f>TEXT(DATE(VARIABLES!$B$60+INT((VARIABLES!$B$61+A12-2)/12),MOD(VARIABLES!$B$61+A12-2,12)+1,1),"mmm-yy")</f>
        <v>Feb-27</v>
      </c>
      <c r="C12" s="15">
        <f>IF($A12&lt;VARIABLES!$B$7,VARIABLES!$B$5/12,VARIABLES!$B$6/12)</f>
        <v>3.3333333333333333E-2</v>
      </c>
      <c r="D12" s="7">
        <f>IF($A12&lt;VARIABLES!$B$21,0,IF($A12=VARIABLES!$B$21,VARIABLES!$B$22+VARIABLES!$B$23,VARIABLES!$B$23))</f>
        <v>200000</v>
      </c>
      <c r="E12" s="7">
        <f>D12*VARIABLES!$B$24</f>
        <v>1500</v>
      </c>
      <c r="F12" s="7">
        <f>IF($A12&lt;VARIABLES!$B$21,0,(IF($A12=VARIABLES!$B$21,0,G11)+D12)*C12*VARIABLES!$B$25)</f>
        <v>2033.42671814973</v>
      </c>
      <c r="G12" s="7">
        <f>IF($A12&lt;VARIABLES!$B$21,0,(IF($A12=VARIABLES!$B$21,0,G11)+D12)*(1+C12)-F12)</f>
        <v>2519415.7037875159</v>
      </c>
      <c r="H12" s="7">
        <f>IF($A12&lt;VARIABLES!$B$28,0,IF($A12=VARIABLES!$B$28,VARIABLES!$B$29+VARIABLES!$B$30,VARIABLES!$B$30))</f>
        <v>40000</v>
      </c>
      <c r="I12" s="7">
        <f>H12*VARIABLES!$B$31</f>
        <v>300</v>
      </c>
      <c r="J12" s="7">
        <f>IF($A12&lt;VARIABLES!$B$28,0,(IF($A12=VARIABLES!$B$28,0,K11)+H12)*C12*VARIABLES!$B$32)</f>
        <v>1185.6448061671831</v>
      </c>
      <c r="K12" s="7">
        <f>IF($A12&lt;VARIABLES!$B$28,0,(IF($A12=VARIABLES!$B$28,0,K11)+H12)*(1+C12)-J12)</f>
        <v>366364.24510565959</v>
      </c>
      <c r="L12" s="7">
        <f>IF($A12&lt;VARIABLES!$B$35,0,IF($A12=VARIABLES!$B$35,VARIABLES!$B$36+VARIABLES!$B$37,VARIABLES!$B$37))</f>
        <v>0</v>
      </c>
      <c r="M12" s="7">
        <f>L12*VARIABLES!$B$38</f>
        <v>0</v>
      </c>
      <c r="N12" s="7">
        <f>IF($A12&lt;VARIABLES!$B$35,0,(IF($A12=VARIABLES!$B$35,0,O11)+L12)*C12*VARIABLES!$B$39)</f>
        <v>20497.89775708118</v>
      </c>
      <c r="O12" s="7">
        <f>IF($A12&lt;VARIABLES!$B$35,0,(IF($A12=VARIABLES!$B$35,0,O11)+L12)*(1+C12)-N12)</f>
        <v>6333850.4069380844</v>
      </c>
      <c r="P12" s="7">
        <f>IF($A12&lt;VARIABLES!$B$42,0,IF($A12=VARIABLES!$B$42,VARIABLES!$B$43+VARIABLES!$B$44,VARIABLES!$B$44))</f>
        <v>20000</v>
      </c>
      <c r="Q12" s="7">
        <f>P12*VARIABLES!$B$45</f>
        <v>150</v>
      </c>
      <c r="R12" s="7">
        <f>IF($A12&lt;VARIABLES!$B$42,0,(IF($A12=VARIABLES!$B$42,0,S11)+P12)*C12*VARIABLES!$B$46)</f>
        <v>149.52694117762437</v>
      </c>
      <c r="S12" s="7">
        <f>IF($A12&lt;VARIABLES!$B$42,0,(IF($A12=VARIABLES!$B$42,0,S11)+P12)*(1+C12)-R12)</f>
        <v>185263.88011907664</v>
      </c>
      <c r="T12" s="16">
        <f>IF($A12&lt;VARIABLES!$B$50,0,MIN(VARIABLES!$B$49,INT(($A12-VARIABLES!$B$50)/VARIABLES!$B$51)+1)*VARIABLES!$B$52)</f>
        <v>7</v>
      </c>
      <c r="U12" s="7">
        <f>T12*VARIABLES!$B$54+IF(AND($A12&gt;=VARIABLES!$B$50,MOD($A12-VARIABLES!$B$50,VARIABLES!$B$51)=0,INT(($A12-VARIABLES!$B$50)/VARIABLES!$B$51)&lt;VARIABLES!$B$49),VARIABLES!$B$52*VARIABLES!$B$53,0)</f>
        <v>85000</v>
      </c>
      <c r="V12" s="7">
        <f>U12*VARIABLES!$B$55</f>
        <v>637.5</v>
      </c>
      <c r="W12" s="7">
        <f>IF($A12&lt;VARIABLES!$B$50,0,(IF($A12&lt;VARIABLES!$B$50+1,0,X11)+U12)*C12*VARIABLES!$B$56)</f>
        <v>1772.8192780569841</v>
      </c>
      <c r="X12" s="7">
        <f>IF($A12&lt;VARIABLES!$B$50,0,(IF($A12&lt;VARIABLES!$B$50+1,0,X11)+U12)*(1+C12)-W12)</f>
        <v>547801.15691960813</v>
      </c>
      <c r="Y12" s="7">
        <f t="shared" si="0"/>
        <v>345000</v>
      </c>
      <c r="Z12" s="7">
        <f t="shared" si="1"/>
        <v>2587.5</v>
      </c>
      <c r="AA12" s="7">
        <f t="shared" si="2"/>
        <v>25639.315500632703</v>
      </c>
      <c r="AB12" s="17">
        <f t="shared" si="3"/>
        <v>28226.815500632703</v>
      </c>
      <c r="AC12" s="18">
        <f t="shared" si="4"/>
        <v>9952695.3928699438</v>
      </c>
      <c r="AD12" s="7">
        <f>IF($A12=1,VARIABLES!$B$12,0)</f>
        <v>0</v>
      </c>
      <c r="AE12" s="7">
        <f>IF($A12&lt;=3,VARIABLES!$B$13,IF($A12&lt;=6,VARIABLES!$B$14,VARIABLES!$B$15))</f>
        <v>46000</v>
      </c>
      <c r="AF12" s="7">
        <f>IF(MOD($A12,12)=0,AC12*VARIABLES!$B$16,0)</f>
        <v>0</v>
      </c>
      <c r="AG12" s="7">
        <f>VARIABLES!$B$17</f>
        <v>5000</v>
      </c>
      <c r="AH12" s="7">
        <f>IF(MOD($A12,12)=0,VARIABLES!$B$18,0)</f>
        <v>0</v>
      </c>
      <c r="AI12" s="19">
        <f t="shared" si="5"/>
        <v>51000</v>
      </c>
      <c r="AJ12" s="20">
        <f>IF($A12&lt;VARIABLES!$B$7,VARIABLES!$B$9,0)</f>
        <v>10580.083333333334</v>
      </c>
      <c r="AK12" s="21">
        <f t="shared" si="6"/>
        <v>-33353.267832700629</v>
      </c>
      <c r="AL12" s="21">
        <f t="shared" si="7"/>
        <v>-276514.17505774955</v>
      </c>
      <c r="AM12" s="22">
        <f t="shared" si="8"/>
        <v>95220.75</v>
      </c>
    </row>
    <row r="13" spans="1:39" x14ac:dyDescent="0.2">
      <c r="A13" s="23">
        <v>10</v>
      </c>
      <c r="B13" s="23" t="str">
        <f>TEXT(DATE(VARIABLES!$B$60+INT((VARIABLES!$B$61+A13-2)/12),MOD(VARIABLES!$B$61+A13-2,12)+1,1),"mmm-yy")</f>
        <v>Mar-27</v>
      </c>
      <c r="C13" s="24">
        <f>IF($A13&lt;VARIABLES!$B$7,VARIABLES!$B$5/12,VARIABLES!$B$6/12)</f>
        <v>3.3333333333333333E-2</v>
      </c>
      <c r="D13" s="25">
        <f>IF($A13&lt;VARIABLES!$B$21,0,IF($A13=VARIABLES!$B$21,VARIABLES!$B$22+VARIABLES!$B$23,VARIABLES!$B$23))</f>
        <v>200000</v>
      </c>
      <c r="E13" s="25">
        <f>D13*VARIABLES!$B$24</f>
        <v>1500</v>
      </c>
      <c r="F13" s="25">
        <f>IF($A13&lt;VARIABLES!$B$21,0,(IF($A13=VARIABLES!$B$21,0,G12)+D13)*C13*VARIABLES!$B$25)</f>
        <v>2266.1797531562634</v>
      </c>
      <c r="G13" s="25">
        <f>IF($A13&lt;VARIABLES!$B$21,0,(IF($A13=VARIABLES!$B$21,0,G12)+D13)*(1+C13)-F13)</f>
        <v>2807796.7141606105</v>
      </c>
      <c r="H13" s="25">
        <f>IF($A13&lt;VARIABLES!$B$28,0,IF($A13=VARIABLES!$B$28,VARIABLES!$B$29+VARIABLES!$B$30,VARIABLES!$B$30))</f>
        <v>40000</v>
      </c>
      <c r="I13" s="25">
        <f>H13*VARIABLES!$B$31</f>
        <v>300</v>
      </c>
      <c r="J13" s="25">
        <f>IF($A13&lt;VARIABLES!$B$28,0,(IF($A13=VARIABLES!$B$28,0,K12)+H13)*C13*VARIABLES!$B$32)</f>
        <v>1354.5474836855319</v>
      </c>
      <c r="K13" s="25">
        <f>IF($A13&lt;VARIABLES!$B$28,0,(IF($A13=VARIABLES!$B$28,0,K12)+H13)*(1+C13)-J13)</f>
        <v>418555.17245882942</v>
      </c>
      <c r="L13" s="25">
        <f>IF($A13&lt;VARIABLES!$B$35,0,IF($A13=VARIABLES!$B$35,VARIABLES!$B$36+VARIABLES!$B$37,VARIABLES!$B$37))</f>
        <v>0</v>
      </c>
      <c r="M13" s="25">
        <f>L13*VARIABLES!$B$38</f>
        <v>0</v>
      </c>
      <c r="N13" s="25">
        <f>IF($A13&lt;VARIABLES!$B$35,0,(IF($A13=VARIABLES!$B$35,0,O12)+L13)*C13*VARIABLES!$B$39)</f>
        <v>21112.834689793614</v>
      </c>
      <c r="O13" s="25">
        <f>IF($A13&lt;VARIABLES!$B$35,0,(IF($A13=VARIABLES!$B$35,0,O12)+L13)*(1+C13)-N13)</f>
        <v>6523865.9191462277</v>
      </c>
      <c r="P13" s="25">
        <f>IF($A13&lt;VARIABLES!$B$42,0,IF($A13=VARIABLES!$B$42,VARIABLES!$B$43+VARIABLES!$B$44,VARIABLES!$B$44))</f>
        <v>20000</v>
      </c>
      <c r="Q13" s="25">
        <f>P13*VARIABLES!$B$45</f>
        <v>150</v>
      </c>
      <c r="R13" s="25">
        <f>IF($A13&lt;VARIABLES!$B$42,0,(IF($A13=VARIABLES!$B$42,0,S12)+P13)*C13*VARIABLES!$B$46)</f>
        <v>171.05323343256387</v>
      </c>
      <c r="S13" s="25">
        <f>IF($A13&lt;VARIABLES!$B$42,0,(IF($A13=VARIABLES!$B$42,0,S12)+P13)*(1+C13)-R13)</f>
        <v>211934.95622294667</v>
      </c>
      <c r="T13" s="26">
        <f>IF($A13&lt;VARIABLES!$B$50,0,MIN(VARIABLES!$B$49,INT(($A13-VARIABLES!$B$50)/VARIABLES!$B$51)+1)*VARIABLES!$B$52)</f>
        <v>8</v>
      </c>
      <c r="U13" s="25">
        <f>T13*VARIABLES!$B$54+IF(AND($A13&gt;=VARIABLES!$B$50,MOD($A13-VARIABLES!$B$50,VARIABLES!$B$51)=0,INT(($A13-VARIABLES!$B$50)/VARIABLES!$B$51)&lt;VARIABLES!$B$49),VARIABLES!$B$52*VARIABLES!$B$53,0)</f>
        <v>90000</v>
      </c>
      <c r="V13" s="25">
        <f>U13*VARIABLES!$B$55</f>
        <v>675</v>
      </c>
      <c r="W13" s="25">
        <f>IF($A13&lt;VARIABLES!$B$50,0,(IF($A13&lt;VARIABLES!$B$50+1,0,X12)+U13)*C13*VARIABLES!$B$56)</f>
        <v>2126.0038563986941</v>
      </c>
      <c r="X13" s="25">
        <f>IF($A13&lt;VARIABLES!$B$50,0,(IF($A13&lt;VARIABLES!$B$50+1,0,X12)+U13)*(1+C13)-W13)</f>
        <v>656935.19162719639</v>
      </c>
      <c r="Y13" s="25">
        <f t="shared" si="0"/>
        <v>350000</v>
      </c>
      <c r="Z13" s="25">
        <f t="shared" si="1"/>
        <v>2625</v>
      </c>
      <c r="AA13" s="25">
        <f t="shared" si="2"/>
        <v>27030.619016466666</v>
      </c>
      <c r="AB13" s="17">
        <f t="shared" si="3"/>
        <v>29655.619016466666</v>
      </c>
      <c r="AC13" s="18">
        <f t="shared" si="4"/>
        <v>10619087.953615811</v>
      </c>
      <c r="AD13" s="25">
        <f>IF($A13=1,VARIABLES!$B$12,0)</f>
        <v>0</v>
      </c>
      <c r="AE13" s="25">
        <f>IF($A13&lt;=3,VARIABLES!$B$13,IF($A13&lt;=6,VARIABLES!$B$14,VARIABLES!$B$15))</f>
        <v>46000</v>
      </c>
      <c r="AF13" s="25">
        <f>IF(MOD($A13,12)=0,AC13*VARIABLES!$B$16,0)</f>
        <v>0</v>
      </c>
      <c r="AG13" s="25">
        <f>VARIABLES!$B$17</f>
        <v>5000</v>
      </c>
      <c r="AH13" s="25">
        <f>IF(MOD($A13,12)=0,VARIABLES!$B$18,0)</f>
        <v>0</v>
      </c>
      <c r="AI13" s="19">
        <f t="shared" si="5"/>
        <v>51000</v>
      </c>
      <c r="AJ13" s="20">
        <f>IF($A13&lt;VARIABLES!$B$7,VARIABLES!$B$9,0)</f>
        <v>10580.083333333334</v>
      </c>
      <c r="AK13" s="27">
        <f t="shared" si="6"/>
        <v>-31924.464316866666</v>
      </c>
      <c r="AL13" s="27">
        <f t="shared" si="7"/>
        <v>-308438.63937461621</v>
      </c>
      <c r="AM13" s="22">
        <f t="shared" si="8"/>
        <v>105800.83333333333</v>
      </c>
    </row>
    <row r="14" spans="1:39" x14ac:dyDescent="0.2">
      <c r="A14" s="14">
        <v>11</v>
      </c>
      <c r="B14" s="14" t="str">
        <f>TEXT(DATE(VARIABLES!$B$60+INT((VARIABLES!$B$61+A14-2)/12),MOD(VARIABLES!$B$61+A14-2,12)+1,1),"mmm-yy")</f>
        <v>Apr-27</v>
      </c>
      <c r="C14" s="15">
        <f>IF($A14&lt;VARIABLES!$B$7,VARIABLES!$B$5/12,VARIABLES!$B$6/12)</f>
        <v>3.3333333333333333E-2</v>
      </c>
      <c r="D14" s="7">
        <f>IF($A14&lt;VARIABLES!$B$21,0,IF($A14=VARIABLES!$B$21,VARIABLES!$B$22+VARIABLES!$B$23,VARIABLES!$B$23))</f>
        <v>200000</v>
      </c>
      <c r="E14" s="7">
        <f>D14*VARIABLES!$B$24</f>
        <v>1500</v>
      </c>
      <c r="F14" s="7">
        <f>IF($A14&lt;VARIABLES!$B$21,0,(IF($A14=VARIABLES!$B$21,0,G13)+D14)*C14*VARIABLES!$B$25)</f>
        <v>2506.4972618005086</v>
      </c>
      <c r="G14" s="7">
        <f>IF($A14&lt;VARIABLES!$B$21,0,(IF($A14=VARIABLES!$B$21,0,G13)+D14)*(1+C14)-F14)</f>
        <v>3105550.1073708306</v>
      </c>
      <c r="H14" s="7">
        <f>IF($A14&lt;VARIABLES!$B$28,0,IF($A14=VARIABLES!$B$28,VARIABLES!$B$29+VARIABLES!$B$30,VARIABLES!$B$30))</f>
        <v>40000</v>
      </c>
      <c r="I14" s="7">
        <f>H14*VARIABLES!$B$31</f>
        <v>300</v>
      </c>
      <c r="J14" s="7">
        <f>IF($A14&lt;VARIABLES!$B$28,0,(IF($A14=VARIABLES!$B$28,0,K13)+H14)*C14*VARIABLES!$B$32)</f>
        <v>1528.5172415294314</v>
      </c>
      <c r="K14" s="7">
        <f>IF($A14&lt;VARIABLES!$B$28,0,(IF($A14=VARIABLES!$B$28,0,K13)+H14)*(1+C14)-J14)</f>
        <v>472311.82763259433</v>
      </c>
      <c r="L14" s="7">
        <f>IF($A14&lt;VARIABLES!$B$35,0,IF($A14=VARIABLES!$B$35,VARIABLES!$B$36+VARIABLES!$B$37,VARIABLES!$B$37))</f>
        <v>0</v>
      </c>
      <c r="M14" s="7">
        <f>L14*VARIABLES!$B$38</f>
        <v>0</v>
      </c>
      <c r="N14" s="7">
        <f>IF($A14&lt;VARIABLES!$B$35,0,(IF($A14=VARIABLES!$B$35,0,O13)+L14)*C14*VARIABLES!$B$39)</f>
        <v>21746.219730487428</v>
      </c>
      <c r="O14" s="7">
        <f>IF($A14&lt;VARIABLES!$B$35,0,(IF($A14=VARIABLES!$B$35,0,O13)+L14)*(1+C14)-N14)</f>
        <v>6719581.8967206152</v>
      </c>
      <c r="P14" s="7">
        <f>IF($A14&lt;VARIABLES!$B$42,0,IF($A14=VARIABLES!$B$42,VARIABLES!$B$43+VARIABLES!$B$44,VARIABLES!$B$44))</f>
        <v>20000</v>
      </c>
      <c r="Q14" s="7">
        <f>P14*VARIABLES!$B$45</f>
        <v>150</v>
      </c>
      <c r="R14" s="7">
        <f>IF($A14&lt;VARIABLES!$B$42,0,(IF($A14=VARIABLES!$B$42,0,S13)+P14)*C14*VARIABLES!$B$46)</f>
        <v>193.27913018578889</v>
      </c>
      <c r="S14" s="7">
        <f>IF($A14&lt;VARIABLES!$B$42,0,(IF($A14=VARIABLES!$B$42,0,S13)+P14)*(1+C14)-R14)</f>
        <v>239472.84230019248</v>
      </c>
      <c r="T14" s="16">
        <f>IF($A14&lt;VARIABLES!$B$50,0,MIN(VARIABLES!$B$49,INT(($A14-VARIABLES!$B$50)/VARIABLES!$B$51)+1)*VARIABLES!$B$52)</f>
        <v>9</v>
      </c>
      <c r="U14" s="7">
        <f>T14*VARIABLES!$B$54+IF(AND($A14&gt;=VARIABLES!$B$50,MOD($A14-VARIABLES!$B$50,VARIABLES!$B$51)=0,INT(($A14-VARIABLES!$B$50)/VARIABLES!$B$51)&lt;VARIABLES!$B$49),VARIABLES!$B$52*VARIABLES!$B$53,0)</f>
        <v>95000</v>
      </c>
      <c r="V14" s="7">
        <f>U14*VARIABLES!$B$55</f>
        <v>712.5</v>
      </c>
      <c r="W14" s="7">
        <f>IF($A14&lt;VARIABLES!$B$50,0,(IF($A14&lt;VARIABLES!$B$50+1,0,X13)+U14)*C14*VARIABLES!$B$56)</f>
        <v>2506.4506387573215</v>
      </c>
      <c r="X14" s="7">
        <f>IF($A14&lt;VARIABLES!$B$50,0,(IF($A14&lt;VARIABLES!$B$50+1,0,X13)+U14)*(1+C14)-W14)</f>
        <v>774493.24737601238</v>
      </c>
      <c r="Y14" s="7">
        <f t="shared" si="0"/>
        <v>355000</v>
      </c>
      <c r="Z14" s="7">
        <f t="shared" si="1"/>
        <v>2662.5</v>
      </c>
      <c r="AA14" s="7">
        <f t="shared" si="2"/>
        <v>28480.96400276048</v>
      </c>
      <c r="AB14" s="17">
        <f t="shared" si="3"/>
        <v>31143.46400276048</v>
      </c>
      <c r="AC14" s="18">
        <f t="shared" si="4"/>
        <v>11311409.921400245</v>
      </c>
      <c r="AD14" s="7">
        <f>IF($A14=1,VARIABLES!$B$12,0)</f>
        <v>0</v>
      </c>
      <c r="AE14" s="7">
        <f>IF($A14&lt;=3,VARIABLES!$B$13,IF($A14&lt;=6,VARIABLES!$B$14,VARIABLES!$B$15))</f>
        <v>46000</v>
      </c>
      <c r="AF14" s="7">
        <f>IF(MOD($A14,12)=0,AC14*VARIABLES!$B$16,0)</f>
        <v>0</v>
      </c>
      <c r="AG14" s="7">
        <f>VARIABLES!$B$17</f>
        <v>5000</v>
      </c>
      <c r="AH14" s="7">
        <f>IF(MOD($A14,12)=0,VARIABLES!$B$18,0)</f>
        <v>0</v>
      </c>
      <c r="AI14" s="19">
        <f t="shared" si="5"/>
        <v>51000</v>
      </c>
      <c r="AJ14" s="20">
        <f>IF($A14&lt;VARIABLES!$B$7,VARIABLES!$B$9,0)</f>
        <v>10580.083333333334</v>
      </c>
      <c r="AK14" s="21">
        <f t="shared" si="6"/>
        <v>-30436.619330572852</v>
      </c>
      <c r="AL14" s="21">
        <f t="shared" si="7"/>
        <v>-338875.25870518904</v>
      </c>
      <c r="AM14" s="22">
        <f t="shared" si="8"/>
        <v>116380.91666666666</v>
      </c>
    </row>
    <row r="15" spans="1:39" x14ac:dyDescent="0.2">
      <c r="A15" s="23">
        <v>12</v>
      </c>
      <c r="B15" s="23" t="str">
        <f>TEXT(DATE(VARIABLES!$B$60+INT((VARIABLES!$B$61+A15-2)/12),MOD(VARIABLES!$B$61+A15-2,12)+1,1),"mmm-yy")</f>
        <v>May-27</v>
      </c>
      <c r="C15" s="24">
        <f>IF($A15&lt;VARIABLES!$B$7,VARIABLES!$B$5/12,VARIABLES!$B$6/12)</f>
        <v>3.3333333333333333E-2</v>
      </c>
      <c r="D15" s="25">
        <f>IF($A15&lt;VARIABLES!$B$21,0,IF($A15=VARIABLES!$B$21,VARIABLES!$B$22+VARIABLES!$B$23,VARIABLES!$B$23))</f>
        <v>200000</v>
      </c>
      <c r="E15" s="25">
        <f>D15*VARIABLES!$B$24</f>
        <v>1500</v>
      </c>
      <c r="F15" s="25">
        <f>IF($A15&lt;VARIABLES!$B$21,0,(IF($A15=VARIABLES!$B$21,0,G14)+D15)*C15*VARIABLES!$B$25)</f>
        <v>2754.6250894756922</v>
      </c>
      <c r="G15" s="25">
        <f>IF($A15&lt;VARIABLES!$B$21,0,(IF($A15=VARIABLES!$B$21,0,G14)+D15)*(1+C15)-F15)</f>
        <v>3412980.4858603827</v>
      </c>
      <c r="H15" s="25">
        <f>IF($A15&lt;VARIABLES!$B$28,0,IF($A15=VARIABLES!$B$28,VARIABLES!$B$29+VARIABLES!$B$30,VARIABLES!$B$30))</f>
        <v>40000</v>
      </c>
      <c r="I15" s="25">
        <f>H15*VARIABLES!$B$31</f>
        <v>300</v>
      </c>
      <c r="J15" s="25">
        <f>IF($A15&lt;VARIABLES!$B$28,0,(IF($A15=VARIABLES!$B$28,0,K14)+H15)*C15*VARIABLES!$B$32)</f>
        <v>1707.7060921086479</v>
      </c>
      <c r="K15" s="25">
        <f>IF($A15&lt;VARIABLES!$B$28,0,(IF($A15=VARIABLES!$B$28,0,K14)+H15)*(1+C15)-J15)</f>
        <v>527681.18246157223</v>
      </c>
      <c r="L15" s="25">
        <f>IF($A15&lt;VARIABLES!$B$35,0,IF($A15=VARIABLES!$B$35,VARIABLES!$B$36+VARIABLES!$B$37,VARIABLES!$B$37))</f>
        <v>0</v>
      </c>
      <c r="M15" s="25">
        <f>L15*VARIABLES!$B$38</f>
        <v>0</v>
      </c>
      <c r="N15" s="25">
        <f>IF($A15&lt;VARIABLES!$B$35,0,(IF($A15=VARIABLES!$B$35,0,O14)+L15)*C15*VARIABLES!$B$39)</f>
        <v>22398.606322402051</v>
      </c>
      <c r="O15" s="25">
        <f>IF($A15&lt;VARIABLES!$B$35,0,(IF($A15=VARIABLES!$B$35,0,O14)+L15)*(1+C15)-N15)</f>
        <v>6921169.3536222344</v>
      </c>
      <c r="P15" s="25">
        <f>IF($A15&lt;VARIABLES!$B$42,0,IF($A15=VARIABLES!$B$42,VARIABLES!$B$43+VARIABLES!$B$44,VARIABLES!$B$44))</f>
        <v>20000</v>
      </c>
      <c r="Q15" s="25">
        <f>P15*VARIABLES!$B$45</f>
        <v>150</v>
      </c>
      <c r="R15" s="25">
        <f>IF($A15&lt;VARIABLES!$B$42,0,(IF($A15=VARIABLES!$B$42,0,S14)+P15)*C15*VARIABLES!$B$46)</f>
        <v>216.22736858349373</v>
      </c>
      <c r="S15" s="25">
        <f>IF($A15&lt;VARIABLES!$B$42,0,(IF($A15=VARIABLES!$B$42,0,S14)+P15)*(1+C15)-R15)</f>
        <v>267905.70967494877</v>
      </c>
      <c r="T15" s="26">
        <f>IF($A15&lt;VARIABLES!$B$50,0,MIN(VARIABLES!$B$49,INT(($A15-VARIABLES!$B$50)/VARIABLES!$B$51)+1)*VARIABLES!$B$52)</f>
        <v>10</v>
      </c>
      <c r="U15" s="25">
        <f>T15*VARIABLES!$B$54+IF(AND($A15&gt;=VARIABLES!$B$50,MOD($A15-VARIABLES!$B$50,VARIABLES!$B$51)=0,INT(($A15-VARIABLES!$B$50)/VARIABLES!$B$51)&lt;VARIABLES!$B$49),VARIABLES!$B$52*VARIABLES!$B$53,0)</f>
        <v>100000</v>
      </c>
      <c r="V15" s="25">
        <f>U15*VARIABLES!$B$55</f>
        <v>750</v>
      </c>
      <c r="W15" s="25">
        <f>IF($A15&lt;VARIABLES!$B$50,0,(IF($A15&lt;VARIABLES!$B$50+1,0,X14)+U15)*C15*VARIABLES!$B$56)</f>
        <v>2914.9774912533749</v>
      </c>
      <c r="X15" s="25">
        <f>IF($A15&lt;VARIABLES!$B$50,0,(IF($A15&lt;VARIABLES!$B$50+1,0,X14)+U15)*(1+C15)-W15)</f>
        <v>900728.04479729279</v>
      </c>
      <c r="Y15" s="25">
        <f t="shared" si="0"/>
        <v>360000</v>
      </c>
      <c r="Z15" s="25">
        <f t="shared" si="1"/>
        <v>2700</v>
      </c>
      <c r="AA15" s="25">
        <f t="shared" si="2"/>
        <v>29992.142363823263</v>
      </c>
      <c r="AB15" s="17">
        <f t="shared" si="3"/>
        <v>32692.142363823263</v>
      </c>
      <c r="AC15" s="18">
        <f t="shared" si="4"/>
        <v>12030464.77641643</v>
      </c>
      <c r="AD15" s="25">
        <f>IF($A15=1,VARIABLES!$B$12,0)</f>
        <v>0</v>
      </c>
      <c r="AE15" s="25">
        <f>IF($A15&lt;=3,VARIABLES!$B$13,IF($A15&lt;=6,VARIABLES!$B$14,VARIABLES!$B$15))</f>
        <v>46000</v>
      </c>
      <c r="AF15" s="25">
        <f>IF(MOD($A15,12)=0,AC15*VARIABLES!$B$16,0)</f>
        <v>30076.161941041075</v>
      </c>
      <c r="AG15" s="25">
        <f>VARIABLES!$B$17</f>
        <v>5000</v>
      </c>
      <c r="AH15" s="25">
        <f>IF(MOD($A15,12)=0,VARIABLES!$B$18,0)</f>
        <v>3000</v>
      </c>
      <c r="AI15" s="19">
        <f t="shared" si="5"/>
        <v>84076.161941041079</v>
      </c>
      <c r="AJ15" s="20">
        <f>IF($A15&lt;VARIABLES!$B$7,VARIABLES!$B$9,0)</f>
        <v>10580.083333333334</v>
      </c>
      <c r="AK15" s="27">
        <f t="shared" si="6"/>
        <v>-61964.102910551148</v>
      </c>
      <c r="AL15" s="27">
        <f t="shared" si="7"/>
        <v>-400839.36161574017</v>
      </c>
      <c r="AM15" s="22">
        <f t="shared" si="8"/>
        <v>126960.99999999999</v>
      </c>
    </row>
    <row r="16" spans="1:39" x14ac:dyDescent="0.2">
      <c r="A16" s="14">
        <v>13</v>
      </c>
      <c r="B16" s="14" t="str">
        <f>TEXT(DATE(VARIABLES!$B$60+INT((VARIABLES!$B$61+A16-2)/12),MOD(VARIABLES!$B$61+A16-2,12)+1,1),"mmm-yy")</f>
        <v>Jun-27</v>
      </c>
      <c r="C16" s="15">
        <f>IF($A16&lt;VARIABLES!$B$7,VARIABLES!$B$5/12,VARIABLES!$B$6/12)</f>
        <v>3.3333333333333333E-2</v>
      </c>
      <c r="D16" s="7">
        <f>IF($A16&lt;VARIABLES!$B$21,0,IF($A16=VARIABLES!$B$21,VARIABLES!$B$22+VARIABLES!$B$23,VARIABLES!$B$23))</f>
        <v>200000</v>
      </c>
      <c r="E16" s="7">
        <f>D16*VARIABLES!$B$24</f>
        <v>1500</v>
      </c>
      <c r="F16" s="7">
        <f>IF($A16&lt;VARIABLES!$B$21,0,(IF($A16=VARIABLES!$B$21,0,G15)+D16)*C16*VARIABLES!$B$25)</f>
        <v>3010.8170715503188</v>
      </c>
      <c r="G16" s="7">
        <f>IF($A16&lt;VARIABLES!$B$21,0,(IF($A16=VARIABLES!$B$21,0,G15)+D16)*(1+C16)-F16)</f>
        <v>3730402.3516508453</v>
      </c>
      <c r="H16" s="7">
        <f>IF($A16&lt;VARIABLES!$B$28,0,IF($A16=VARIABLES!$B$28,VARIABLES!$B$29+VARIABLES!$B$30,VARIABLES!$B$30))</f>
        <v>40000</v>
      </c>
      <c r="I16" s="7">
        <f>H16*VARIABLES!$B$31</f>
        <v>300</v>
      </c>
      <c r="J16" s="7">
        <f>IF($A16&lt;VARIABLES!$B$28,0,(IF($A16=VARIABLES!$B$28,0,K15)+H16)*C16*VARIABLES!$B$32)</f>
        <v>1892.2706082052407</v>
      </c>
      <c r="K16" s="7">
        <f>IF($A16&lt;VARIABLES!$B$28,0,(IF($A16=VARIABLES!$B$28,0,K15)+H16)*(1+C16)-J16)</f>
        <v>584711.61793541943</v>
      </c>
      <c r="L16" s="7">
        <f>IF($A16&lt;VARIABLES!$B$35,0,IF($A16=VARIABLES!$B$35,VARIABLES!$B$36+VARIABLES!$B$37,VARIABLES!$B$37))</f>
        <v>0</v>
      </c>
      <c r="M16" s="7">
        <f>L16*VARIABLES!$B$38</f>
        <v>0</v>
      </c>
      <c r="N16" s="7">
        <f>IF($A16&lt;VARIABLES!$B$35,0,(IF($A16=VARIABLES!$B$35,0,O15)+L16)*C16*VARIABLES!$B$39)</f>
        <v>23070.564512074114</v>
      </c>
      <c r="O16" s="7">
        <f>IF($A16&lt;VARIABLES!$B$35,0,(IF($A16=VARIABLES!$B$35,0,O15)+L16)*(1+C16)-N16)</f>
        <v>7128804.4342309022</v>
      </c>
      <c r="P16" s="7">
        <f>IF($A16&lt;VARIABLES!$B$42,0,IF($A16=VARIABLES!$B$42,VARIABLES!$B$43+VARIABLES!$B$44,VARIABLES!$B$44))</f>
        <v>20000</v>
      </c>
      <c r="Q16" s="7">
        <f>P16*VARIABLES!$B$45</f>
        <v>150</v>
      </c>
      <c r="R16" s="7">
        <f>IF($A16&lt;VARIABLES!$B$42,0,(IF($A16=VARIABLES!$B$42,0,S15)+P16)*C16*VARIABLES!$B$46)</f>
        <v>239.92142472912397</v>
      </c>
      <c r="S16" s="7">
        <f>IF($A16&lt;VARIABLES!$B$42,0,(IF($A16=VARIABLES!$B$42,0,S15)+P16)*(1+C16)-R16)</f>
        <v>297262.64523938467</v>
      </c>
      <c r="T16" s="16">
        <f>IF($A16&lt;VARIABLES!$B$50,0,MIN(VARIABLES!$B$49,INT(($A16-VARIABLES!$B$50)/VARIABLES!$B$51)+1)*VARIABLES!$B$52)</f>
        <v>11</v>
      </c>
      <c r="U16" s="7">
        <f>T16*VARIABLES!$B$54+IF(AND($A16&gt;=VARIABLES!$B$50,MOD($A16-VARIABLES!$B$50,VARIABLES!$B$51)=0,INT(($A16-VARIABLES!$B$50)/VARIABLES!$B$51)&lt;VARIABLES!$B$49),VARIABLES!$B$52*VARIABLES!$B$53,0)</f>
        <v>105000</v>
      </c>
      <c r="V16" s="7">
        <f>U16*VARIABLES!$B$55</f>
        <v>787.5</v>
      </c>
      <c r="W16" s="7">
        <f>IF($A16&lt;VARIABLES!$B$50,0,(IF($A16&lt;VARIABLES!$B$50+1,0,X15)+U16)*C16*VARIABLES!$B$56)</f>
        <v>3352.4268159909757</v>
      </c>
      <c r="X16" s="7">
        <f>IF($A16&lt;VARIABLES!$B$50,0,(IF($A16&lt;VARIABLES!$B$50+1,0,X15)+U16)*(1+C16)-W16)</f>
        <v>1035899.8861412117</v>
      </c>
      <c r="Y16" s="7">
        <f t="shared" si="0"/>
        <v>365000</v>
      </c>
      <c r="Z16" s="7">
        <f t="shared" si="1"/>
        <v>2737.5</v>
      </c>
      <c r="AA16" s="7">
        <f t="shared" si="2"/>
        <v>31566.000432549772</v>
      </c>
      <c r="AB16" s="17">
        <f t="shared" si="3"/>
        <v>34303.500432549772</v>
      </c>
      <c r="AC16" s="18">
        <f t="shared" si="4"/>
        <v>12777080.935197763</v>
      </c>
      <c r="AD16" s="7">
        <f>IF($A16=1,VARIABLES!$B$12,0)</f>
        <v>0</v>
      </c>
      <c r="AE16" s="7">
        <f>IF($A16&lt;=3,VARIABLES!$B$13,IF($A16&lt;=6,VARIABLES!$B$14,VARIABLES!$B$15))</f>
        <v>46000</v>
      </c>
      <c r="AF16" s="7">
        <f>IF(MOD($A16,12)=0,AC16*VARIABLES!$B$16,0)</f>
        <v>0</v>
      </c>
      <c r="AG16" s="7">
        <f>VARIABLES!$B$17</f>
        <v>5000</v>
      </c>
      <c r="AH16" s="7">
        <f>IF(MOD($A16,12)=0,VARIABLES!$B$18,0)</f>
        <v>0</v>
      </c>
      <c r="AI16" s="19">
        <f t="shared" si="5"/>
        <v>51000</v>
      </c>
      <c r="AJ16" s="20">
        <f>IF($A16&lt;VARIABLES!$B$7,VARIABLES!$B$9,0)</f>
        <v>10580.083333333334</v>
      </c>
      <c r="AK16" s="21">
        <f t="shared" si="6"/>
        <v>-27276.582900783564</v>
      </c>
      <c r="AL16" s="21">
        <f t="shared" si="7"/>
        <v>-428115.94451652374</v>
      </c>
      <c r="AM16" s="22">
        <f t="shared" si="8"/>
        <v>137541.08333333331</v>
      </c>
    </row>
    <row r="17" spans="1:39" x14ac:dyDescent="0.2">
      <c r="A17" s="23">
        <v>14</v>
      </c>
      <c r="B17" s="23" t="str">
        <f>TEXT(DATE(VARIABLES!$B$60+INT((VARIABLES!$B$61+A17-2)/12),MOD(VARIABLES!$B$61+A17-2,12)+1,1),"mmm-yy")</f>
        <v>Jul-27</v>
      </c>
      <c r="C17" s="24">
        <f>IF($A17&lt;VARIABLES!$B$7,VARIABLES!$B$5/12,VARIABLES!$B$6/12)</f>
        <v>3.3333333333333333E-2</v>
      </c>
      <c r="D17" s="25">
        <f>IF($A17&lt;VARIABLES!$B$21,0,IF($A17=VARIABLES!$B$21,VARIABLES!$B$22+VARIABLES!$B$23,VARIABLES!$B$23))</f>
        <v>200000</v>
      </c>
      <c r="E17" s="25">
        <f>D17*VARIABLES!$B$24</f>
        <v>1500</v>
      </c>
      <c r="F17" s="25">
        <f>IF($A17&lt;VARIABLES!$B$21,0,(IF($A17=VARIABLES!$B$21,0,G16)+D17)*C17*VARIABLES!$B$25)</f>
        <v>3275.3352930423712</v>
      </c>
      <c r="G17" s="25">
        <f>IF($A17&lt;VARIABLES!$B$21,0,(IF($A17=VARIABLES!$B$21,0,G16)+D17)*(1+C17)-F17)</f>
        <v>4058140.428079498</v>
      </c>
      <c r="H17" s="25">
        <f>IF($A17&lt;VARIABLES!$B$28,0,IF($A17=VARIABLES!$B$28,VARIABLES!$B$29+VARIABLES!$B$30,VARIABLES!$B$30))</f>
        <v>40000</v>
      </c>
      <c r="I17" s="25">
        <f>H17*VARIABLES!$B$31</f>
        <v>300</v>
      </c>
      <c r="J17" s="25">
        <f>IF($A17&lt;VARIABLES!$B$28,0,(IF($A17=VARIABLES!$B$28,0,K16)+H17)*C17*VARIABLES!$B$32)</f>
        <v>2082.3720597847314</v>
      </c>
      <c r="K17" s="25">
        <f>IF($A17&lt;VARIABLES!$B$28,0,(IF($A17=VARIABLES!$B$28,0,K16)+H17)*(1+C17)-J17)</f>
        <v>643452.96647348208</v>
      </c>
      <c r="L17" s="25">
        <f>IF($A17&lt;VARIABLES!$B$35,0,IF($A17=VARIABLES!$B$35,VARIABLES!$B$36+VARIABLES!$B$37,VARIABLES!$B$37))</f>
        <v>0</v>
      </c>
      <c r="M17" s="25">
        <f>L17*VARIABLES!$B$38</f>
        <v>0</v>
      </c>
      <c r="N17" s="25">
        <f>IF($A17&lt;VARIABLES!$B$35,0,(IF($A17=VARIABLES!$B$35,0,O16)+L17)*C17*VARIABLES!$B$39)</f>
        <v>23762.681447436342</v>
      </c>
      <c r="O17" s="25">
        <f>IF($A17&lt;VARIABLES!$B$35,0,(IF($A17=VARIABLES!$B$35,0,O16)+L17)*(1+C17)-N17)</f>
        <v>7342668.5672578299</v>
      </c>
      <c r="P17" s="25">
        <f>IF($A17&lt;VARIABLES!$B$42,0,IF($A17=VARIABLES!$B$42,VARIABLES!$B$43+VARIABLES!$B$44,VARIABLES!$B$44))</f>
        <v>20000</v>
      </c>
      <c r="Q17" s="25">
        <f>P17*VARIABLES!$B$45</f>
        <v>150</v>
      </c>
      <c r="R17" s="25">
        <f>IF($A17&lt;VARIABLES!$B$42,0,(IF($A17=VARIABLES!$B$42,0,S16)+P17)*C17*VARIABLES!$B$46)</f>
        <v>264.3855376994872</v>
      </c>
      <c r="S17" s="25">
        <f>IF($A17&lt;VARIABLES!$B$42,0,(IF($A17=VARIABLES!$B$42,0,S16)+P17)*(1+C17)-R17)</f>
        <v>327573.68120966468</v>
      </c>
      <c r="T17" s="26">
        <f>IF($A17&lt;VARIABLES!$B$50,0,MIN(VARIABLES!$B$49,INT(($A17-VARIABLES!$B$50)/VARIABLES!$B$51)+1)*VARIABLES!$B$52)</f>
        <v>12</v>
      </c>
      <c r="U17" s="25">
        <f>T17*VARIABLES!$B$54+IF(AND($A17&gt;=VARIABLES!$B$50,MOD($A17-VARIABLES!$B$50,VARIABLES!$B$51)=0,INT(($A17-VARIABLES!$B$50)/VARIABLES!$B$51)&lt;VARIABLES!$B$49),VARIABLES!$B$52*VARIABLES!$B$53,0)</f>
        <v>110000</v>
      </c>
      <c r="V17" s="25">
        <f>U17*VARIABLES!$B$55</f>
        <v>825</v>
      </c>
      <c r="W17" s="25">
        <f>IF($A17&lt;VARIABLES!$B$50,0,(IF($A17&lt;VARIABLES!$B$50+1,0,X16)+U17)*C17*VARIABLES!$B$56)</f>
        <v>3819.6662871373724</v>
      </c>
      <c r="X17" s="25">
        <f>IF($A17&lt;VARIABLES!$B$50,0,(IF($A17&lt;VARIABLES!$B$50+1,0,X16)+U17)*(1+C17)-W17)</f>
        <v>1180276.8827254481</v>
      </c>
      <c r="Y17" s="25">
        <f t="shared" si="0"/>
        <v>370000</v>
      </c>
      <c r="Z17" s="25">
        <f t="shared" si="1"/>
        <v>2775</v>
      </c>
      <c r="AA17" s="25">
        <f t="shared" si="2"/>
        <v>33204.440625100302</v>
      </c>
      <c r="AB17" s="17">
        <f t="shared" si="3"/>
        <v>35979.440625100302</v>
      </c>
      <c r="AC17" s="18">
        <f t="shared" si="4"/>
        <v>13552112.525745921</v>
      </c>
      <c r="AD17" s="25">
        <f>IF($A17=1,VARIABLES!$B$12,0)</f>
        <v>0</v>
      </c>
      <c r="AE17" s="25">
        <f>IF($A17&lt;=3,VARIABLES!$B$13,IF($A17&lt;=6,VARIABLES!$B$14,VARIABLES!$B$15))</f>
        <v>46000</v>
      </c>
      <c r="AF17" s="25">
        <f>IF(MOD($A17,12)=0,AC17*VARIABLES!$B$16,0)</f>
        <v>0</v>
      </c>
      <c r="AG17" s="25">
        <f>VARIABLES!$B$17</f>
        <v>5000</v>
      </c>
      <c r="AH17" s="25">
        <f>IF(MOD($A17,12)=0,VARIABLES!$B$18,0)</f>
        <v>0</v>
      </c>
      <c r="AI17" s="19">
        <f t="shared" si="5"/>
        <v>51000</v>
      </c>
      <c r="AJ17" s="20">
        <f>IF($A17&lt;VARIABLES!$B$7,VARIABLES!$B$9,0)</f>
        <v>10580.083333333334</v>
      </c>
      <c r="AK17" s="27">
        <f t="shared" si="6"/>
        <v>-25600.642708233034</v>
      </c>
      <c r="AL17" s="27">
        <f t="shared" si="7"/>
        <v>-453716.58722475677</v>
      </c>
      <c r="AM17" s="22">
        <f t="shared" si="8"/>
        <v>148121.16666666666</v>
      </c>
    </row>
    <row r="18" spans="1:39" x14ac:dyDescent="0.2">
      <c r="A18" s="14">
        <v>15</v>
      </c>
      <c r="B18" s="14" t="str">
        <f>TEXT(DATE(VARIABLES!$B$60+INT((VARIABLES!$B$61+A18-2)/12),MOD(VARIABLES!$B$61+A18-2,12)+1,1),"mmm-yy")</f>
        <v>Aug-27</v>
      </c>
      <c r="C18" s="15">
        <f>IF($A18&lt;VARIABLES!$B$7,VARIABLES!$B$5/12,VARIABLES!$B$6/12)</f>
        <v>3.3333333333333333E-2</v>
      </c>
      <c r="D18" s="7">
        <f>IF($A18&lt;VARIABLES!$B$21,0,IF($A18=VARIABLES!$B$21,VARIABLES!$B$22+VARIABLES!$B$23,VARIABLES!$B$23))</f>
        <v>200000</v>
      </c>
      <c r="E18" s="7">
        <f>D18*VARIABLES!$B$24</f>
        <v>1500</v>
      </c>
      <c r="F18" s="7">
        <f>IF($A18&lt;VARIABLES!$B$21,0,(IF($A18=VARIABLES!$B$21,0,G17)+D18)*C18*VARIABLES!$B$25)</f>
        <v>3548.4503567329152</v>
      </c>
      <c r="G18" s="7">
        <f>IF($A18&lt;VARIABLES!$B$21,0,(IF($A18=VARIABLES!$B$21,0,G17)+D18)*(1+C18)-F18)</f>
        <v>4396529.9919920824</v>
      </c>
      <c r="H18" s="7">
        <f>IF($A18&lt;VARIABLES!$B$28,0,IF($A18=VARIABLES!$B$28,VARIABLES!$B$29+VARIABLES!$B$30,VARIABLES!$B$30))</f>
        <v>40000</v>
      </c>
      <c r="I18" s="7">
        <f>H18*VARIABLES!$B$31</f>
        <v>300</v>
      </c>
      <c r="J18" s="7">
        <f>IF($A18&lt;VARIABLES!$B$28,0,(IF($A18=VARIABLES!$B$28,0,K17)+H18)*C18*VARIABLES!$B$32)</f>
        <v>2278.1765549116071</v>
      </c>
      <c r="K18" s="7">
        <f>IF($A18&lt;VARIABLES!$B$28,0,(IF($A18=VARIABLES!$B$28,0,K17)+H18)*(1+C18)-J18)</f>
        <v>703956.55546768662</v>
      </c>
      <c r="L18" s="7">
        <f>IF($A18&lt;VARIABLES!$B$35,0,IF($A18=VARIABLES!$B$35,VARIABLES!$B$36+VARIABLES!$B$37,VARIABLES!$B$37))</f>
        <v>0</v>
      </c>
      <c r="M18" s="7">
        <f>L18*VARIABLES!$B$38</f>
        <v>0</v>
      </c>
      <c r="N18" s="7">
        <f>IF($A18&lt;VARIABLES!$B$35,0,(IF($A18=VARIABLES!$B$35,0,O17)+L18)*C18*VARIABLES!$B$39)</f>
        <v>24475.561890859433</v>
      </c>
      <c r="O18" s="7">
        <f>IF($A18&lt;VARIABLES!$B$35,0,(IF($A18=VARIABLES!$B$35,0,O17)+L18)*(1+C18)-N18)</f>
        <v>7562948.6242755661</v>
      </c>
      <c r="P18" s="7">
        <f>IF($A18&lt;VARIABLES!$B$42,0,IF($A18=VARIABLES!$B$42,VARIABLES!$B$43+VARIABLES!$B$44,VARIABLES!$B$44))</f>
        <v>20000</v>
      </c>
      <c r="Q18" s="7">
        <f>P18*VARIABLES!$B$45</f>
        <v>150</v>
      </c>
      <c r="R18" s="7">
        <f>IF($A18&lt;VARIABLES!$B$42,0,(IF($A18=VARIABLES!$B$42,0,S17)+P18)*C18*VARIABLES!$B$46)</f>
        <v>289.64473434138722</v>
      </c>
      <c r="S18" s="7">
        <f>IF($A18&lt;VARIABLES!$B$42,0,(IF($A18=VARIABLES!$B$42,0,S17)+P18)*(1+C18)-R18)</f>
        <v>358869.82584897883</v>
      </c>
      <c r="T18" s="16">
        <f>IF($A18&lt;VARIABLES!$B$50,0,MIN(VARIABLES!$B$49,INT(($A18-VARIABLES!$B$50)/VARIABLES!$B$51)+1)*VARIABLES!$B$52)</f>
        <v>13</v>
      </c>
      <c r="U18" s="7">
        <f>T18*VARIABLES!$B$54+IF(AND($A18&gt;=VARIABLES!$B$50,MOD($A18-VARIABLES!$B$50,VARIABLES!$B$51)=0,INT(($A18-VARIABLES!$B$50)/VARIABLES!$B$51)&lt;VARIABLES!$B$49),VARIABLES!$B$52*VARIABLES!$B$53,0)</f>
        <v>115000</v>
      </c>
      <c r="V18" s="7">
        <f>U18*VARIABLES!$B$55</f>
        <v>862.5</v>
      </c>
      <c r="W18" s="7">
        <f>IF($A18&lt;VARIABLES!$B$50,0,(IF($A18&lt;VARIABLES!$B$50+1,0,X17)+U18)*C18*VARIABLES!$B$56)</f>
        <v>4317.5896090848273</v>
      </c>
      <c r="X18" s="7">
        <f>IF($A18&lt;VARIABLES!$B$50,0,(IF($A18&lt;VARIABLES!$B$50+1,0,X17)+U18)*(1+C18)-W18)</f>
        <v>1334135.1892072116</v>
      </c>
      <c r="Y18" s="7">
        <f t="shared" si="0"/>
        <v>375000</v>
      </c>
      <c r="Z18" s="7">
        <f t="shared" si="1"/>
        <v>2812.5</v>
      </c>
      <c r="AA18" s="7">
        <f t="shared" si="2"/>
        <v>34909.423145930166</v>
      </c>
      <c r="AB18" s="17">
        <f t="shared" si="3"/>
        <v>37721.923145930166</v>
      </c>
      <c r="AC18" s="18">
        <f t="shared" si="4"/>
        <v>14356440.186791524</v>
      </c>
      <c r="AD18" s="7">
        <f>IF($A18=1,VARIABLES!$B$12,0)</f>
        <v>0</v>
      </c>
      <c r="AE18" s="7">
        <f>IF($A18&lt;=3,VARIABLES!$B$13,IF($A18&lt;=6,VARIABLES!$B$14,VARIABLES!$B$15))</f>
        <v>46000</v>
      </c>
      <c r="AF18" s="7">
        <f>IF(MOD($A18,12)=0,AC18*VARIABLES!$B$16,0)</f>
        <v>0</v>
      </c>
      <c r="AG18" s="7">
        <f>VARIABLES!$B$17</f>
        <v>5000</v>
      </c>
      <c r="AH18" s="7">
        <f>IF(MOD($A18,12)=0,VARIABLES!$B$18,0)</f>
        <v>0</v>
      </c>
      <c r="AI18" s="19">
        <f t="shared" si="5"/>
        <v>51000</v>
      </c>
      <c r="AJ18" s="20">
        <f>IF($A18&lt;VARIABLES!$B$7,VARIABLES!$B$9,0)</f>
        <v>10580.083333333334</v>
      </c>
      <c r="AK18" s="21">
        <f t="shared" si="6"/>
        <v>-23858.160187403169</v>
      </c>
      <c r="AL18" s="21">
        <f t="shared" si="7"/>
        <v>-477574.74741215992</v>
      </c>
      <c r="AM18" s="22">
        <f t="shared" si="8"/>
        <v>158701.25</v>
      </c>
    </row>
    <row r="19" spans="1:39" x14ac:dyDescent="0.2">
      <c r="A19" s="23">
        <v>16</v>
      </c>
      <c r="B19" s="23" t="str">
        <f>TEXT(DATE(VARIABLES!$B$60+INT((VARIABLES!$B$61+A19-2)/12),MOD(VARIABLES!$B$61+A19-2,12)+1,1),"mmm-yy")</f>
        <v>Sept-27</v>
      </c>
      <c r="C19" s="24">
        <f>IF($A19&lt;VARIABLES!$B$7,VARIABLES!$B$5/12,VARIABLES!$B$6/12)</f>
        <v>3.3333333333333333E-2</v>
      </c>
      <c r="D19" s="25">
        <f>IF($A19&lt;VARIABLES!$B$21,0,IF($A19=VARIABLES!$B$21,VARIABLES!$B$22+VARIABLES!$B$23,VARIABLES!$B$23))</f>
        <v>200000</v>
      </c>
      <c r="E19" s="25">
        <f>D19*VARIABLES!$B$24</f>
        <v>1500</v>
      </c>
      <c r="F19" s="25">
        <f>IF($A19&lt;VARIABLES!$B$21,0,(IF($A19=VARIABLES!$B$21,0,G18)+D19)*C19*VARIABLES!$B$25)</f>
        <v>3830.441659993402</v>
      </c>
      <c r="G19" s="25">
        <f>IF($A19&lt;VARIABLES!$B$21,0,(IF($A19=VARIABLES!$B$21,0,G18)+D19)*(1+C19)-F19)</f>
        <v>4745917.2167318258</v>
      </c>
      <c r="H19" s="25">
        <f>IF($A19&lt;VARIABLES!$B$28,0,IF($A19=VARIABLES!$B$28,VARIABLES!$B$29+VARIABLES!$B$30,VARIABLES!$B$30))</f>
        <v>40000</v>
      </c>
      <c r="I19" s="25">
        <f>H19*VARIABLES!$B$31</f>
        <v>300</v>
      </c>
      <c r="J19" s="25">
        <f>IF($A19&lt;VARIABLES!$B$28,0,(IF($A19=VARIABLES!$B$28,0,K18)+H19)*C19*VARIABLES!$B$32)</f>
        <v>2479.8551848922889</v>
      </c>
      <c r="K19" s="25">
        <f>IF($A19&lt;VARIABLES!$B$28,0,(IF($A19=VARIABLES!$B$28,0,K18)+H19)*(1+C19)-J19)</f>
        <v>766275.25213171728</v>
      </c>
      <c r="L19" s="25">
        <f>IF($A19&lt;VARIABLES!$B$35,0,IF($A19=VARIABLES!$B$35,VARIABLES!$B$36+VARIABLES!$B$37,VARIABLES!$B$37))</f>
        <v>0</v>
      </c>
      <c r="M19" s="25">
        <f>L19*VARIABLES!$B$38</f>
        <v>0</v>
      </c>
      <c r="N19" s="25">
        <f>IF($A19&lt;VARIABLES!$B$35,0,(IF($A19=VARIABLES!$B$35,0,O18)+L19)*C19*VARIABLES!$B$39)</f>
        <v>25209.828747585223</v>
      </c>
      <c r="O19" s="25">
        <f>IF($A19&lt;VARIABLES!$B$35,0,(IF($A19=VARIABLES!$B$35,0,O18)+L19)*(1+C19)-N19)</f>
        <v>7789837.0830038339</v>
      </c>
      <c r="P19" s="25">
        <f>IF($A19&lt;VARIABLES!$B$42,0,IF($A19=VARIABLES!$B$42,VARIABLES!$B$43+VARIABLES!$B$44,VARIABLES!$B$44))</f>
        <v>20000</v>
      </c>
      <c r="Q19" s="25">
        <f>P19*VARIABLES!$B$45</f>
        <v>150</v>
      </c>
      <c r="R19" s="25">
        <f>IF($A19&lt;VARIABLES!$B$42,0,(IF($A19=VARIABLES!$B$42,0,S18)+P19)*C19*VARIABLES!$B$46)</f>
        <v>315.72485487414906</v>
      </c>
      <c r="S19" s="25">
        <f>IF($A19&lt;VARIABLES!$B$42,0,(IF($A19=VARIABLES!$B$42,0,S18)+P19)*(1+C19)-R19)</f>
        <v>391183.09518907068</v>
      </c>
      <c r="T19" s="26">
        <f>IF($A19&lt;VARIABLES!$B$50,0,MIN(VARIABLES!$B$49,INT(($A19-VARIABLES!$B$50)/VARIABLES!$B$51)+1)*VARIABLES!$B$52)</f>
        <v>14</v>
      </c>
      <c r="U19" s="25">
        <f>T19*VARIABLES!$B$54+IF(AND($A19&gt;=VARIABLES!$B$50,MOD($A19-VARIABLES!$B$50,VARIABLES!$B$51)=0,INT(($A19-VARIABLES!$B$50)/VARIABLES!$B$51)&lt;VARIABLES!$B$49),VARIABLES!$B$52*VARIABLES!$B$53,0)</f>
        <v>120000</v>
      </c>
      <c r="V19" s="25">
        <f>U19*VARIABLES!$B$55</f>
        <v>900</v>
      </c>
      <c r="W19" s="25">
        <f>IF($A19&lt;VARIABLES!$B$50,0,(IF($A19&lt;VARIABLES!$B$50+1,0,X18)+U19)*C19*VARIABLES!$B$56)</f>
        <v>4847.1172973573721</v>
      </c>
      <c r="X19" s="25">
        <f>IF($A19&lt;VARIABLES!$B$50,0,(IF($A19&lt;VARIABLES!$B$50+1,0,X18)+U19)*(1+C19)-W19)</f>
        <v>1497759.2448834281</v>
      </c>
      <c r="Y19" s="25">
        <f t="shared" si="0"/>
        <v>380000</v>
      </c>
      <c r="Z19" s="25">
        <f t="shared" si="1"/>
        <v>2850</v>
      </c>
      <c r="AA19" s="25">
        <f t="shared" si="2"/>
        <v>36682.967744702437</v>
      </c>
      <c r="AB19" s="17">
        <f t="shared" si="3"/>
        <v>39532.967744702437</v>
      </c>
      <c r="AC19" s="18">
        <f t="shared" si="4"/>
        <v>15190971.891939875</v>
      </c>
      <c r="AD19" s="25">
        <f>IF($A19=1,VARIABLES!$B$12,0)</f>
        <v>0</v>
      </c>
      <c r="AE19" s="25">
        <f>IF($A19&lt;=3,VARIABLES!$B$13,IF($A19&lt;=6,VARIABLES!$B$14,VARIABLES!$B$15))</f>
        <v>46000</v>
      </c>
      <c r="AF19" s="25">
        <f>IF(MOD($A19,12)=0,AC19*VARIABLES!$B$16,0)</f>
        <v>0</v>
      </c>
      <c r="AG19" s="25">
        <f>VARIABLES!$B$17</f>
        <v>5000</v>
      </c>
      <c r="AH19" s="25">
        <f>IF(MOD($A19,12)=0,VARIABLES!$B$18,0)</f>
        <v>0</v>
      </c>
      <c r="AI19" s="19">
        <f t="shared" si="5"/>
        <v>51000</v>
      </c>
      <c r="AJ19" s="20">
        <f>IF($A19&lt;VARIABLES!$B$7,VARIABLES!$B$9,0)</f>
        <v>10580.083333333334</v>
      </c>
      <c r="AK19" s="27">
        <f t="shared" si="6"/>
        <v>-22047.115588630899</v>
      </c>
      <c r="AL19" s="27">
        <f t="shared" si="7"/>
        <v>-499621.86300079082</v>
      </c>
      <c r="AM19" s="22">
        <f t="shared" si="8"/>
        <v>169281.33333333334</v>
      </c>
    </row>
    <row r="20" spans="1:39" x14ac:dyDescent="0.2">
      <c r="A20" s="14">
        <v>17</v>
      </c>
      <c r="B20" s="14" t="str">
        <f>TEXT(DATE(VARIABLES!$B$60+INT((VARIABLES!$B$61+A20-2)/12),MOD(VARIABLES!$B$61+A20-2,12)+1,1),"mmm-yy")</f>
        <v>Oct-27</v>
      </c>
      <c r="C20" s="15">
        <f>IF($A20&lt;VARIABLES!$B$7,VARIABLES!$B$5/12,VARIABLES!$B$6/12)</f>
        <v>3.3333333333333333E-2</v>
      </c>
      <c r="D20" s="7">
        <f>IF($A20&lt;VARIABLES!$B$21,0,IF($A20=VARIABLES!$B$21,VARIABLES!$B$22+VARIABLES!$B$23,VARIABLES!$B$23))</f>
        <v>200000</v>
      </c>
      <c r="E20" s="7">
        <f>D20*VARIABLES!$B$24</f>
        <v>1500</v>
      </c>
      <c r="F20" s="7">
        <f>IF($A20&lt;VARIABLES!$B$21,0,(IF($A20=VARIABLES!$B$21,0,G19)+D20)*C20*VARIABLES!$B$25)</f>
        <v>4121.5976806098552</v>
      </c>
      <c r="G20" s="7">
        <f>IF($A20&lt;VARIABLES!$B$21,0,(IF($A20=VARIABLES!$B$21,0,G19)+D20)*(1+C20)-F20)</f>
        <v>5106659.5262756106</v>
      </c>
      <c r="H20" s="7">
        <f>IF($A20&lt;VARIABLES!$B$28,0,IF($A20=VARIABLES!$B$28,VARIABLES!$B$29+VARIABLES!$B$30,VARIABLES!$B$30))</f>
        <v>40000</v>
      </c>
      <c r="I20" s="7">
        <f>H20*VARIABLES!$B$31</f>
        <v>300</v>
      </c>
      <c r="J20" s="7">
        <f>IF($A20&lt;VARIABLES!$B$28,0,(IF($A20=VARIABLES!$B$28,0,K19)+H20)*C20*VARIABLES!$B$32)</f>
        <v>2687.5841737723913</v>
      </c>
      <c r="K20" s="7">
        <f>IF($A20&lt;VARIABLES!$B$28,0,(IF($A20=VARIABLES!$B$28,0,K19)+H20)*(1+C20)-J20)</f>
        <v>830463.50969566894</v>
      </c>
      <c r="L20" s="7">
        <f>IF($A20&lt;VARIABLES!$B$35,0,IF($A20=VARIABLES!$B$35,VARIABLES!$B$36+VARIABLES!$B$37,VARIABLES!$B$37))</f>
        <v>0</v>
      </c>
      <c r="M20" s="7">
        <f>L20*VARIABLES!$B$38</f>
        <v>0</v>
      </c>
      <c r="N20" s="7">
        <f>IF($A20&lt;VARIABLES!$B$35,0,(IF($A20=VARIABLES!$B$35,0,O19)+L20)*C20*VARIABLES!$B$39)</f>
        <v>25966.123610012783</v>
      </c>
      <c r="O20" s="7">
        <f>IF($A20&lt;VARIABLES!$B$35,0,(IF($A20=VARIABLES!$B$35,0,O19)+L20)*(1+C20)-N20)</f>
        <v>8023532.1954939496</v>
      </c>
      <c r="P20" s="7">
        <f>IF($A20&lt;VARIABLES!$B$42,0,IF($A20=VARIABLES!$B$42,VARIABLES!$B$43+VARIABLES!$B$44,VARIABLES!$B$44))</f>
        <v>20000</v>
      </c>
      <c r="Q20" s="7">
        <f>P20*VARIABLES!$B$45</f>
        <v>150</v>
      </c>
      <c r="R20" s="7">
        <f>IF($A20&lt;VARIABLES!$B$42,0,(IF($A20=VARIABLES!$B$42,0,S19)+P20)*C20*VARIABLES!$B$46)</f>
        <v>342.6525793242256</v>
      </c>
      <c r="S20" s="7">
        <f>IF($A20&lt;VARIABLES!$B$42,0,(IF($A20=VARIABLES!$B$42,0,S19)+P20)*(1+C20)-R20)</f>
        <v>424546.54578271555</v>
      </c>
      <c r="T20" s="16">
        <f>IF($A20&lt;VARIABLES!$B$50,0,MIN(VARIABLES!$B$49,INT(($A20-VARIABLES!$B$50)/VARIABLES!$B$51)+1)*VARIABLES!$B$52)</f>
        <v>15</v>
      </c>
      <c r="U20" s="7">
        <f>T20*VARIABLES!$B$54+IF(AND($A20&gt;=VARIABLES!$B$50,MOD($A20-VARIABLES!$B$50,VARIABLES!$B$51)=0,INT(($A20-VARIABLES!$B$50)/VARIABLES!$B$51)&lt;VARIABLES!$B$49),VARIABLES!$B$52*VARIABLES!$B$53,0)</f>
        <v>125000</v>
      </c>
      <c r="V20" s="7">
        <f>U20*VARIABLES!$B$55</f>
        <v>937.5</v>
      </c>
      <c r="W20" s="7">
        <f>IF($A20&lt;VARIABLES!$B$50,0,(IF($A20&lt;VARIABLES!$B$50+1,0,X19)+U20)*C20*VARIABLES!$B$56)</f>
        <v>5409.1974829447608</v>
      </c>
      <c r="X20" s="7">
        <f>IF($A20&lt;VARIABLES!$B$50,0,(IF($A20&lt;VARIABLES!$B$50+1,0,X19)+U20)*(1+C20)-W20)</f>
        <v>1671442.0222299311</v>
      </c>
      <c r="Y20" s="7">
        <f t="shared" si="0"/>
        <v>385000</v>
      </c>
      <c r="Z20" s="7">
        <f t="shared" si="1"/>
        <v>2887.5</v>
      </c>
      <c r="AA20" s="7">
        <f t="shared" si="2"/>
        <v>38527.155526664021</v>
      </c>
      <c r="AB20" s="17">
        <f t="shared" si="3"/>
        <v>41414.655526664021</v>
      </c>
      <c r="AC20" s="18">
        <f t="shared" si="4"/>
        <v>16056643.799477873</v>
      </c>
      <c r="AD20" s="7">
        <f>IF($A20=1,VARIABLES!$B$12,0)</f>
        <v>0</v>
      </c>
      <c r="AE20" s="7">
        <f>IF($A20&lt;=3,VARIABLES!$B$13,IF($A20&lt;=6,VARIABLES!$B$14,VARIABLES!$B$15))</f>
        <v>46000</v>
      </c>
      <c r="AF20" s="7">
        <f>IF(MOD($A20,12)=0,AC20*VARIABLES!$B$16,0)</f>
        <v>0</v>
      </c>
      <c r="AG20" s="7">
        <f>VARIABLES!$B$17</f>
        <v>5000</v>
      </c>
      <c r="AH20" s="7">
        <f>IF(MOD($A20,12)=0,VARIABLES!$B$18,0)</f>
        <v>0</v>
      </c>
      <c r="AI20" s="19">
        <f t="shared" si="5"/>
        <v>51000</v>
      </c>
      <c r="AJ20" s="20">
        <f>IF($A20&lt;VARIABLES!$B$7,VARIABLES!$B$9,0)</f>
        <v>10580.083333333334</v>
      </c>
      <c r="AK20" s="21">
        <f t="shared" si="6"/>
        <v>-20165.427806669315</v>
      </c>
      <c r="AL20" s="21">
        <f t="shared" si="7"/>
        <v>-519787.29080746014</v>
      </c>
      <c r="AM20" s="22">
        <f t="shared" si="8"/>
        <v>179861.41666666669</v>
      </c>
    </row>
    <row r="21" spans="1:39" x14ac:dyDescent="0.2">
      <c r="A21" s="23">
        <v>18</v>
      </c>
      <c r="B21" s="23" t="str">
        <f>TEXT(DATE(VARIABLES!$B$60+INT((VARIABLES!$B$61+A21-2)/12),MOD(VARIABLES!$B$61+A21-2,12)+1,1),"mmm-yy")</f>
        <v>Nov-27</v>
      </c>
      <c r="C21" s="24">
        <f>IF($A21&lt;VARIABLES!$B$7,VARIABLES!$B$5/12,VARIABLES!$B$6/12)</f>
        <v>3.3333333333333333E-2</v>
      </c>
      <c r="D21" s="25">
        <f>IF($A21&lt;VARIABLES!$B$21,0,IF($A21=VARIABLES!$B$21,VARIABLES!$B$22+VARIABLES!$B$23,VARIABLES!$B$23))</f>
        <v>200000</v>
      </c>
      <c r="E21" s="25">
        <f>D21*VARIABLES!$B$24</f>
        <v>1500</v>
      </c>
      <c r="F21" s="25">
        <f>IF($A21&lt;VARIABLES!$B$21,0,(IF($A21=VARIABLES!$B$21,0,G20)+D21)*C21*VARIABLES!$B$25)</f>
        <v>4422.2162718963427</v>
      </c>
      <c r="G21" s="25">
        <f>IF($A21&lt;VARIABLES!$B$21,0,(IF($A21=VARIABLES!$B$21,0,G20)+D21)*(1+C21)-F21)</f>
        <v>5479125.9608795689</v>
      </c>
      <c r="H21" s="25">
        <f>IF($A21&lt;VARIABLES!$B$28,0,IF($A21=VARIABLES!$B$28,VARIABLES!$B$29+VARIABLES!$B$30,VARIABLES!$B$30))</f>
        <v>40000</v>
      </c>
      <c r="I21" s="25">
        <f>H21*VARIABLES!$B$31</f>
        <v>300</v>
      </c>
      <c r="J21" s="25">
        <f>IF($A21&lt;VARIABLES!$B$28,0,(IF($A21=VARIABLES!$B$28,0,K20)+H21)*C21*VARIABLES!$B$32)</f>
        <v>2901.5450323188966</v>
      </c>
      <c r="K21" s="25">
        <f>IF($A21&lt;VARIABLES!$B$28,0,(IF($A21=VARIABLES!$B$28,0,K20)+H21)*(1+C21)-J21)</f>
        <v>896577.41498653905</v>
      </c>
      <c r="L21" s="25">
        <f>IF($A21&lt;VARIABLES!$B$35,0,IF($A21=VARIABLES!$B$35,VARIABLES!$B$36+VARIABLES!$B$37,VARIABLES!$B$37))</f>
        <v>0</v>
      </c>
      <c r="M21" s="25">
        <f>L21*VARIABLES!$B$38</f>
        <v>0</v>
      </c>
      <c r="N21" s="25">
        <f>IF($A21&lt;VARIABLES!$B$35,0,(IF($A21=VARIABLES!$B$35,0,O20)+L21)*C21*VARIABLES!$B$39)</f>
        <v>26745.107318313167</v>
      </c>
      <c r="O21" s="25">
        <f>IF($A21&lt;VARIABLES!$B$35,0,(IF($A21=VARIABLES!$B$35,0,O20)+L21)*(1+C21)-N21)</f>
        <v>8264238.1613587691</v>
      </c>
      <c r="P21" s="25">
        <f>IF($A21&lt;VARIABLES!$B$42,0,IF($A21=VARIABLES!$B$42,VARIABLES!$B$43+VARIABLES!$B$44,VARIABLES!$B$44))</f>
        <v>20000</v>
      </c>
      <c r="Q21" s="25">
        <f>P21*VARIABLES!$B$45</f>
        <v>150</v>
      </c>
      <c r="R21" s="25">
        <f>IF($A21&lt;VARIABLES!$B$42,0,(IF($A21=VARIABLES!$B$42,0,S20)+P21)*C21*VARIABLES!$B$46)</f>
        <v>370.45545481892964</v>
      </c>
      <c r="S21" s="25">
        <f>IF($A21&lt;VARIABLES!$B$42,0,(IF($A21=VARIABLES!$B$42,0,S20)+P21)*(1+C21)-R21)</f>
        <v>458994.30852065387</v>
      </c>
      <c r="T21" s="26">
        <f>IF($A21&lt;VARIABLES!$B$50,0,MIN(VARIABLES!$B$49,INT(($A21-VARIABLES!$B$50)/VARIABLES!$B$51)+1)*VARIABLES!$B$52)</f>
        <v>16</v>
      </c>
      <c r="U21" s="25">
        <f>T21*VARIABLES!$B$54+IF(AND($A21&gt;=VARIABLES!$B$50,MOD($A21-VARIABLES!$B$50,VARIABLES!$B$51)=0,INT(($A21-VARIABLES!$B$50)/VARIABLES!$B$51)&lt;VARIABLES!$B$49),VARIABLES!$B$52*VARIABLES!$B$53,0)</f>
        <v>130000</v>
      </c>
      <c r="V21" s="25">
        <f>U21*VARIABLES!$B$55</f>
        <v>975</v>
      </c>
      <c r="W21" s="25">
        <f>IF($A21&lt;VARIABLES!$B$50,0,(IF($A21&lt;VARIABLES!$B$50+1,0,X20)+U21)*C21*VARIABLES!$B$56)</f>
        <v>6004.8067407664375</v>
      </c>
      <c r="X21" s="25">
        <f>IF($A21&lt;VARIABLES!$B$50,0,(IF($A21&lt;VARIABLES!$B$50+1,0,X20)+U21)*(1+C21)-W21)</f>
        <v>1855485.2828968293</v>
      </c>
      <c r="Y21" s="25">
        <f t="shared" si="0"/>
        <v>390000</v>
      </c>
      <c r="Z21" s="25">
        <f t="shared" si="1"/>
        <v>2925</v>
      </c>
      <c r="AA21" s="25">
        <f t="shared" si="2"/>
        <v>40444.130818113765</v>
      </c>
      <c r="AB21" s="17">
        <f t="shared" si="3"/>
        <v>43369.130818113765</v>
      </c>
      <c r="AC21" s="18">
        <f t="shared" si="4"/>
        <v>16954421.128642362</v>
      </c>
      <c r="AD21" s="25">
        <f>IF($A21=1,VARIABLES!$B$12,0)</f>
        <v>0</v>
      </c>
      <c r="AE21" s="25">
        <f>IF($A21&lt;=3,VARIABLES!$B$13,IF($A21&lt;=6,VARIABLES!$B$14,VARIABLES!$B$15))</f>
        <v>46000</v>
      </c>
      <c r="AF21" s="25">
        <f>IF(MOD($A21,12)=0,AC21*VARIABLES!$B$16,0)</f>
        <v>0</v>
      </c>
      <c r="AG21" s="25">
        <f>VARIABLES!$B$17</f>
        <v>5000</v>
      </c>
      <c r="AH21" s="25">
        <f>IF(MOD($A21,12)=0,VARIABLES!$B$18,0)</f>
        <v>0</v>
      </c>
      <c r="AI21" s="19">
        <f t="shared" si="5"/>
        <v>51000</v>
      </c>
      <c r="AJ21" s="20">
        <f>IF($A21&lt;VARIABLES!$B$7,VARIABLES!$B$9,0)</f>
        <v>10580.083333333334</v>
      </c>
      <c r="AK21" s="27">
        <f t="shared" si="6"/>
        <v>-18210.952515219571</v>
      </c>
      <c r="AL21" s="27">
        <f t="shared" si="7"/>
        <v>-537998.24332267977</v>
      </c>
      <c r="AM21" s="22">
        <f t="shared" si="8"/>
        <v>190441.50000000003</v>
      </c>
    </row>
    <row r="22" spans="1:39" x14ac:dyDescent="0.2">
      <c r="A22" s="14">
        <v>19</v>
      </c>
      <c r="B22" s="14" t="str">
        <f>TEXT(DATE(VARIABLES!$B$60+INT((VARIABLES!$B$61+A22-2)/12),MOD(VARIABLES!$B$61+A22-2,12)+1,1),"mmm-yy")</f>
        <v>Dec-27</v>
      </c>
      <c r="C22" s="15">
        <f>IF($A22&lt;VARIABLES!$B$7,VARIABLES!$B$5/12,VARIABLES!$B$6/12)</f>
        <v>3.3333333333333333E-2</v>
      </c>
      <c r="D22" s="7">
        <f>IF($A22&lt;VARIABLES!$B$21,0,IF($A22=VARIABLES!$B$21,VARIABLES!$B$22+VARIABLES!$B$23,VARIABLES!$B$23))</f>
        <v>200000</v>
      </c>
      <c r="E22" s="7">
        <f>D22*VARIABLES!$B$24</f>
        <v>1500</v>
      </c>
      <c r="F22" s="7">
        <f>IF($A22&lt;VARIABLES!$B$21,0,(IF($A22=VARIABLES!$B$21,0,G21)+D22)*C22*VARIABLES!$B$25)</f>
        <v>4732.6049673996413</v>
      </c>
      <c r="G22" s="7">
        <f>IF($A22&lt;VARIABLES!$B$21,0,(IF($A22=VARIABLES!$B$21,0,G21)+D22)*(1+C22)-F22)</f>
        <v>5863697.554608156</v>
      </c>
      <c r="H22" s="7">
        <f>IF($A22&lt;VARIABLES!$B$28,0,IF($A22=VARIABLES!$B$28,VARIABLES!$B$29+VARIABLES!$B$30,VARIABLES!$B$30))</f>
        <v>40000</v>
      </c>
      <c r="I22" s="7">
        <f>H22*VARIABLES!$B$31</f>
        <v>300</v>
      </c>
      <c r="J22" s="7">
        <f>IF($A22&lt;VARIABLES!$B$28,0,(IF($A22=VARIABLES!$B$28,0,K21)+H22)*C22*VARIABLES!$B$32)</f>
        <v>3121.924716621797</v>
      </c>
      <c r="K22" s="7">
        <f>IF($A22&lt;VARIABLES!$B$28,0,(IF($A22=VARIABLES!$B$28,0,K21)+H22)*(1+C22)-J22)</f>
        <v>964674.73743613542</v>
      </c>
      <c r="L22" s="7">
        <f>IF($A22&lt;VARIABLES!$B$35,0,IF($A22=VARIABLES!$B$35,VARIABLES!$B$36+VARIABLES!$B$37,VARIABLES!$B$37))</f>
        <v>0</v>
      </c>
      <c r="M22" s="7">
        <f>L22*VARIABLES!$B$38</f>
        <v>0</v>
      </c>
      <c r="N22" s="7">
        <f>IF($A22&lt;VARIABLES!$B$35,0,(IF($A22=VARIABLES!$B$35,0,O21)+L22)*C22*VARIABLES!$B$39)</f>
        <v>27547.460537862564</v>
      </c>
      <c r="O22" s="7">
        <f>IF($A22&lt;VARIABLES!$B$35,0,(IF($A22=VARIABLES!$B$35,0,O21)+L22)*(1+C22)-N22)</f>
        <v>8512165.3061995339</v>
      </c>
      <c r="P22" s="7">
        <f>IF($A22&lt;VARIABLES!$B$42,0,IF($A22=VARIABLES!$B$42,VARIABLES!$B$43+VARIABLES!$B$44,VARIABLES!$B$44))</f>
        <v>20000</v>
      </c>
      <c r="Q22" s="7">
        <f>P22*VARIABLES!$B$45</f>
        <v>150</v>
      </c>
      <c r="R22" s="7">
        <f>IF($A22&lt;VARIABLES!$B$42,0,(IF($A22=VARIABLES!$B$42,0,S21)+P22)*C22*VARIABLES!$B$46)</f>
        <v>399.16192376721159</v>
      </c>
      <c r="S22" s="7">
        <f>IF($A22&lt;VARIABLES!$B$42,0,(IF($A22=VARIABLES!$B$42,0,S21)+P22)*(1+C22)-R22)</f>
        <v>494561.6235475752</v>
      </c>
      <c r="T22" s="16">
        <f>IF($A22&lt;VARIABLES!$B$50,0,MIN(VARIABLES!$B$49,INT(($A22-VARIABLES!$B$50)/VARIABLES!$B$51)+1)*VARIABLES!$B$52)</f>
        <v>17</v>
      </c>
      <c r="U22" s="7">
        <f>T22*VARIABLES!$B$54+IF(AND($A22&gt;=VARIABLES!$B$50,MOD($A22-VARIABLES!$B$50,VARIABLES!$B$51)=0,INT(($A22-VARIABLES!$B$50)/VARIABLES!$B$51)&lt;VARIABLES!$B$49),VARIABLES!$B$52*VARIABLES!$B$53,0)</f>
        <v>135000</v>
      </c>
      <c r="V22" s="7">
        <f>U22*VARIABLES!$B$55</f>
        <v>1012.5</v>
      </c>
      <c r="W22" s="7">
        <f>IF($A22&lt;VARIABLES!$B$50,0,(IF($A22&lt;VARIABLES!$B$50+1,0,X21)+U22)*C22*VARIABLES!$B$56)</f>
        <v>6634.9509429894315</v>
      </c>
      <c r="X22" s="7">
        <f>IF($A22&lt;VARIABLES!$B$50,0,(IF($A22&lt;VARIABLES!$B$50+1,0,X21)+U22)*(1+C22)-W22)</f>
        <v>2050199.8413837345</v>
      </c>
      <c r="Y22" s="7">
        <f t="shared" si="0"/>
        <v>395000</v>
      </c>
      <c r="Z22" s="7">
        <f t="shared" si="1"/>
        <v>2962.5</v>
      </c>
      <c r="AA22" s="7">
        <f t="shared" si="2"/>
        <v>42436.103088640644</v>
      </c>
      <c r="AB22" s="17">
        <f t="shared" si="3"/>
        <v>45398.603088640644</v>
      </c>
      <c r="AC22" s="18">
        <f t="shared" si="4"/>
        <v>17885299.063175134</v>
      </c>
      <c r="AD22" s="7">
        <f>IF($A22=1,VARIABLES!$B$12,0)</f>
        <v>0</v>
      </c>
      <c r="AE22" s="7">
        <f>IF($A22&lt;=3,VARIABLES!$B$13,IF($A22&lt;=6,VARIABLES!$B$14,VARIABLES!$B$15))</f>
        <v>46000</v>
      </c>
      <c r="AF22" s="7">
        <f>IF(MOD($A22,12)=0,AC22*VARIABLES!$B$16,0)</f>
        <v>0</v>
      </c>
      <c r="AG22" s="7">
        <f>VARIABLES!$B$17</f>
        <v>5000</v>
      </c>
      <c r="AH22" s="7">
        <f>IF(MOD($A22,12)=0,VARIABLES!$B$18,0)</f>
        <v>0</v>
      </c>
      <c r="AI22" s="19">
        <f t="shared" si="5"/>
        <v>51000</v>
      </c>
      <c r="AJ22" s="20">
        <f>IF($A22&lt;VARIABLES!$B$7,VARIABLES!$B$9,0)</f>
        <v>10580.083333333334</v>
      </c>
      <c r="AK22" s="21">
        <f t="shared" si="6"/>
        <v>-16181.48024469269</v>
      </c>
      <c r="AL22" s="21">
        <f t="shared" si="7"/>
        <v>-554179.72356737242</v>
      </c>
      <c r="AM22" s="22">
        <f t="shared" si="8"/>
        <v>201021.58333333337</v>
      </c>
    </row>
    <row r="23" spans="1:39" x14ac:dyDescent="0.2">
      <c r="A23" s="23">
        <v>20</v>
      </c>
      <c r="B23" s="23" t="str">
        <f>TEXT(DATE(VARIABLES!$B$60+INT((VARIABLES!$B$61+A23-2)/12),MOD(VARIABLES!$B$61+A23-2,12)+1,1),"mmm-yy")</f>
        <v>Jan-28</v>
      </c>
      <c r="C23" s="24">
        <f>IF($A23&lt;VARIABLES!$B$7,VARIABLES!$B$5/12,VARIABLES!$B$6/12)</f>
        <v>3.3333333333333333E-2</v>
      </c>
      <c r="D23" s="25">
        <f>IF($A23&lt;VARIABLES!$B$21,0,IF($A23=VARIABLES!$B$21,VARIABLES!$B$22+VARIABLES!$B$23,VARIABLES!$B$23))</f>
        <v>200000</v>
      </c>
      <c r="E23" s="25">
        <f>D23*VARIABLES!$B$24</f>
        <v>1500</v>
      </c>
      <c r="F23" s="25">
        <f>IF($A23&lt;VARIABLES!$B$21,0,(IF($A23=VARIABLES!$B$21,0,G22)+D23)*C23*VARIABLES!$B$25)</f>
        <v>5053.0812955067968</v>
      </c>
      <c r="G23" s="25">
        <f>IF($A23&lt;VARIABLES!$B$21,0,(IF($A23=VARIABLES!$B$21,0,G22)+D23)*(1+C23)-F23)</f>
        <v>6260767.7251329217</v>
      </c>
      <c r="H23" s="25">
        <f>IF($A23&lt;VARIABLES!$B$28,0,IF($A23=VARIABLES!$B$28,VARIABLES!$B$29+VARIABLES!$B$30,VARIABLES!$B$30))</f>
        <v>40000</v>
      </c>
      <c r="I23" s="25">
        <f>H23*VARIABLES!$B$31</f>
        <v>300</v>
      </c>
      <c r="J23" s="25">
        <f>IF($A23&lt;VARIABLES!$B$28,0,(IF($A23=VARIABLES!$B$28,0,K22)+H23)*C23*VARIABLES!$B$32)</f>
        <v>3348.915791453785</v>
      </c>
      <c r="K23" s="25">
        <f>IF($A23&lt;VARIABLES!$B$28,0,(IF($A23=VARIABLES!$B$28,0,K22)+H23)*(1+C23)-J23)</f>
        <v>1034814.9795592196</v>
      </c>
      <c r="L23" s="25">
        <f>IF($A23&lt;VARIABLES!$B$35,0,IF($A23=VARIABLES!$B$35,VARIABLES!$B$36+VARIABLES!$B$37,VARIABLES!$B$37))</f>
        <v>0</v>
      </c>
      <c r="M23" s="25">
        <f>L23*VARIABLES!$B$38</f>
        <v>0</v>
      </c>
      <c r="N23" s="25">
        <f>IF($A23&lt;VARIABLES!$B$35,0,(IF($A23=VARIABLES!$B$35,0,O22)+L23)*C23*VARIABLES!$B$39)</f>
        <v>28373.884353998445</v>
      </c>
      <c r="O23" s="25">
        <f>IF($A23&lt;VARIABLES!$B$35,0,(IF($A23=VARIABLES!$B$35,0,O22)+L23)*(1+C23)-N23)</f>
        <v>8767530.2653855197</v>
      </c>
      <c r="P23" s="25">
        <f>IF($A23&lt;VARIABLES!$B$42,0,IF($A23=VARIABLES!$B$42,VARIABLES!$B$43+VARIABLES!$B$44,VARIABLES!$B$44))</f>
        <v>20000</v>
      </c>
      <c r="Q23" s="25">
        <f>P23*VARIABLES!$B$45</f>
        <v>150</v>
      </c>
      <c r="R23" s="25">
        <f>IF($A23&lt;VARIABLES!$B$42,0,(IF($A23=VARIABLES!$B$42,0,S22)+P23)*C23*VARIABLES!$B$46)</f>
        <v>428.80135295631266</v>
      </c>
      <c r="S23" s="25">
        <f>IF($A23&lt;VARIABLES!$B$42,0,(IF($A23=VARIABLES!$B$42,0,S22)+P23)*(1+C23)-R23)</f>
        <v>531284.87631287146</v>
      </c>
      <c r="T23" s="26">
        <f>IF($A23&lt;VARIABLES!$B$50,0,MIN(VARIABLES!$B$49,INT(($A23-VARIABLES!$B$50)/VARIABLES!$B$51)+1)*VARIABLES!$B$52)</f>
        <v>18</v>
      </c>
      <c r="U23" s="25">
        <f>T23*VARIABLES!$B$54+IF(AND($A23&gt;=VARIABLES!$B$50,MOD($A23-VARIABLES!$B$50,VARIABLES!$B$51)=0,INT(($A23-VARIABLES!$B$50)/VARIABLES!$B$51)&lt;VARIABLES!$B$49),VARIABLES!$B$52*VARIABLES!$B$53,0)</f>
        <v>140000</v>
      </c>
      <c r="V23" s="25">
        <f>U23*VARIABLES!$B$55</f>
        <v>1050</v>
      </c>
      <c r="W23" s="25">
        <f>IF($A23&lt;VARIABLES!$B$50,0,(IF($A23&lt;VARIABLES!$B$50+1,0,X22)+U23)*C23*VARIABLES!$B$56)</f>
        <v>7300.6661379457837</v>
      </c>
      <c r="X23" s="25">
        <f>IF($A23&lt;VARIABLES!$B$50,0,(IF($A23&lt;VARIABLES!$B$50+1,0,X22)+U23)*(1+C23)-W23)</f>
        <v>2255905.8366252468</v>
      </c>
      <c r="Y23" s="25">
        <f t="shared" si="0"/>
        <v>400000</v>
      </c>
      <c r="Z23" s="25">
        <f t="shared" si="1"/>
        <v>3000</v>
      </c>
      <c r="AA23" s="25">
        <f t="shared" si="2"/>
        <v>44505.348931861125</v>
      </c>
      <c r="AB23" s="17">
        <f t="shared" si="3"/>
        <v>47505.348931861125</v>
      </c>
      <c r="AC23" s="18">
        <f t="shared" si="4"/>
        <v>18850303.683015779</v>
      </c>
      <c r="AD23" s="25">
        <f>IF($A23=1,VARIABLES!$B$12,0)</f>
        <v>0</v>
      </c>
      <c r="AE23" s="25">
        <f>IF($A23&lt;=3,VARIABLES!$B$13,IF($A23&lt;=6,VARIABLES!$B$14,VARIABLES!$B$15))</f>
        <v>46000</v>
      </c>
      <c r="AF23" s="25">
        <f>IF(MOD($A23,12)=0,AC23*VARIABLES!$B$16,0)</f>
        <v>0</v>
      </c>
      <c r="AG23" s="25">
        <f>VARIABLES!$B$17</f>
        <v>5000</v>
      </c>
      <c r="AH23" s="25">
        <f>IF(MOD($A23,12)=0,VARIABLES!$B$18,0)</f>
        <v>0</v>
      </c>
      <c r="AI23" s="19">
        <f t="shared" si="5"/>
        <v>51000</v>
      </c>
      <c r="AJ23" s="20">
        <f>IF($A23&lt;VARIABLES!$B$7,VARIABLES!$B$9,0)</f>
        <v>10580.083333333334</v>
      </c>
      <c r="AK23" s="27">
        <f t="shared" si="6"/>
        <v>-14074.734401472209</v>
      </c>
      <c r="AL23" s="27">
        <f t="shared" si="7"/>
        <v>-568254.45796884468</v>
      </c>
      <c r="AM23" s="22">
        <f t="shared" si="8"/>
        <v>211601.66666666672</v>
      </c>
    </row>
    <row r="24" spans="1:39" x14ac:dyDescent="0.2">
      <c r="A24" s="14">
        <v>21</v>
      </c>
      <c r="B24" s="14" t="str">
        <f>TEXT(DATE(VARIABLES!$B$60+INT((VARIABLES!$B$61+A24-2)/12),MOD(VARIABLES!$B$61+A24-2,12)+1,1),"mmm-yy")</f>
        <v>Feb-28</v>
      </c>
      <c r="C24" s="15">
        <f>IF($A24&lt;VARIABLES!$B$7,VARIABLES!$B$5/12,VARIABLES!$B$6/12)</f>
        <v>3.3333333333333333E-2</v>
      </c>
      <c r="D24" s="7">
        <f>IF($A24&lt;VARIABLES!$B$21,0,IF($A24=VARIABLES!$B$21,VARIABLES!$B$22+VARIABLES!$B$23,VARIABLES!$B$23))</f>
        <v>200000</v>
      </c>
      <c r="E24" s="7">
        <f>D24*VARIABLES!$B$24</f>
        <v>1500</v>
      </c>
      <c r="F24" s="7">
        <f>IF($A24&lt;VARIABLES!$B$21,0,(IF($A24=VARIABLES!$B$21,0,G23)+D24)*C24*VARIABLES!$B$25)</f>
        <v>5383.9731042774347</v>
      </c>
      <c r="G24" s="7">
        <f>IF($A24&lt;VARIABLES!$B$21,0,(IF($A24=VARIABLES!$B$21,0,G23)+D24)*(1+C24)-F24)</f>
        <v>6670742.6761997426</v>
      </c>
      <c r="H24" s="7">
        <f>IF($A24&lt;VARIABLES!$B$28,0,IF($A24=VARIABLES!$B$28,VARIABLES!$B$29+VARIABLES!$B$30,VARIABLES!$B$30))</f>
        <v>40000</v>
      </c>
      <c r="I24" s="7">
        <f>H24*VARIABLES!$B$31</f>
        <v>300</v>
      </c>
      <c r="J24" s="7">
        <f>IF($A24&lt;VARIABLES!$B$28,0,(IF($A24=VARIABLES!$B$28,0,K23)+H24)*C24*VARIABLES!$B$32)</f>
        <v>3582.7165985307315</v>
      </c>
      <c r="K24" s="7">
        <f>IF($A24&lt;VARIABLES!$B$28,0,(IF($A24=VARIABLES!$B$28,0,K23)+H24)*(1+C24)-J24)</f>
        <v>1107059.4289459961</v>
      </c>
      <c r="L24" s="7">
        <f>IF($A24&lt;VARIABLES!$B$35,0,IF($A24=VARIABLES!$B$35,VARIABLES!$B$36+VARIABLES!$B$37,VARIABLES!$B$37))</f>
        <v>0</v>
      </c>
      <c r="M24" s="7">
        <f>L24*VARIABLES!$B$38</f>
        <v>0</v>
      </c>
      <c r="N24" s="7">
        <f>IF($A24&lt;VARIABLES!$B$35,0,(IF($A24=VARIABLES!$B$35,0,O23)+L24)*C24*VARIABLES!$B$39)</f>
        <v>29225.100884618401</v>
      </c>
      <c r="O24" s="7">
        <f>IF($A24&lt;VARIABLES!$B$35,0,(IF($A24=VARIABLES!$B$35,0,O23)+L24)*(1+C24)-N24)</f>
        <v>9030556.1733470857</v>
      </c>
      <c r="P24" s="7">
        <f>IF($A24&lt;VARIABLES!$B$42,0,IF($A24=VARIABLES!$B$42,VARIABLES!$B$43+VARIABLES!$B$44,VARIABLES!$B$44))</f>
        <v>20000</v>
      </c>
      <c r="Q24" s="7">
        <f>P24*VARIABLES!$B$45</f>
        <v>150</v>
      </c>
      <c r="R24" s="7">
        <f>IF($A24&lt;VARIABLES!$B$42,0,(IF($A24=VARIABLES!$B$42,0,S23)+P24)*C24*VARIABLES!$B$46)</f>
        <v>459.40406359405955</v>
      </c>
      <c r="S24" s="7">
        <f>IF($A24&lt;VARIABLES!$B$42,0,(IF($A24=VARIABLES!$B$42,0,S23)+P24)*(1+C24)-R24)</f>
        <v>569201.63479303988</v>
      </c>
      <c r="T24" s="16">
        <f>IF($A24&lt;VARIABLES!$B$50,0,MIN(VARIABLES!$B$49,INT(($A24-VARIABLES!$B$50)/VARIABLES!$B$51)+1)*VARIABLES!$B$52)</f>
        <v>19</v>
      </c>
      <c r="U24" s="7">
        <f>T24*VARIABLES!$B$54+IF(AND($A24&gt;=VARIABLES!$B$50,MOD($A24-VARIABLES!$B$50,VARIABLES!$B$51)=0,INT(($A24-VARIABLES!$B$50)/VARIABLES!$B$51)&lt;VARIABLES!$B$49),VARIABLES!$B$52*VARIABLES!$B$53,0)</f>
        <v>145000</v>
      </c>
      <c r="V24" s="7">
        <f>U24*VARIABLES!$B$55</f>
        <v>1087.5</v>
      </c>
      <c r="W24" s="7">
        <f>IF($A24&lt;VARIABLES!$B$50,0,(IF($A24&lt;VARIABLES!$B$50+1,0,X23)+U24)*C24*VARIABLES!$B$56)</f>
        <v>8003.0194554174886</v>
      </c>
      <c r="X24" s="7">
        <f>IF($A24&lt;VARIABLES!$B$50,0,(IF($A24&lt;VARIABLES!$B$50+1,0,X23)+U24)*(1+C24)-W24)</f>
        <v>2472933.0117240045</v>
      </c>
      <c r="Y24" s="7">
        <f t="shared" si="0"/>
        <v>405000</v>
      </c>
      <c r="Z24" s="7">
        <f t="shared" si="1"/>
        <v>3037.5</v>
      </c>
      <c r="AA24" s="7">
        <f t="shared" si="2"/>
        <v>46654.214106438121</v>
      </c>
      <c r="AB24" s="17">
        <f t="shared" si="3"/>
        <v>49691.714106438121</v>
      </c>
      <c r="AC24" s="18">
        <f t="shared" si="4"/>
        <v>19850492.925009869</v>
      </c>
      <c r="AD24" s="7">
        <f>IF($A24=1,VARIABLES!$B$12,0)</f>
        <v>0</v>
      </c>
      <c r="AE24" s="7">
        <f>IF($A24&lt;=3,VARIABLES!$B$13,IF($A24&lt;=6,VARIABLES!$B$14,VARIABLES!$B$15))</f>
        <v>46000</v>
      </c>
      <c r="AF24" s="7">
        <f>IF(MOD($A24,12)=0,AC24*VARIABLES!$B$16,0)</f>
        <v>0</v>
      </c>
      <c r="AG24" s="7">
        <f>VARIABLES!$B$17</f>
        <v>5000</v>
      </c>
      <c r="AH24" s="7">
        <f>IF(MOD($A24,12)=0,VARIABLES!$B$18,0)</f>
        <v>0</v>
      </c>
      <c r="AI24" s="19">
        <f t="shared" si="5"/>
        <v>51000</v>
      </c>
      <c r="AJ24" s="20">
        <f>IF($A24&lt;VARIABLES!$B$7,VARIABLES!$B$9,0)</f>
        <v>10580.083333333334</v>
      </c>
      <c r="AK24" s="21">
        <f t="shared" si="6"/>
        <v>-11888.369226895213</v>
      </c>
      <c r="AL24" s="21">
        <f t="shared" si="7"/>
        <v>-580142.82719573984</v>
      </c>
      <c r="AM24" s="22">
        <f t="shared" si="8"/>
        <v>222181.75000000006</v>
      </c>
    </row>
    <row r="25" spans="1:39" x14ac:dyDescent="0.2">
      <c r="A25" s="23">
        <v>22</v>
      </c>
      <c r="B25" s="23" t="str">
        <f>TEXT(DATE(VARIABLES!$B$60+INT((VARIABLES!$B$61+A25-2)/12),MOD(VARIABLES!$B$61+A25-2,12)+1,1),"mmm-yy")</f>
        <v>Mar-28</v>
      </c>
      <c r="C25" s="24">
        <f>IF($A25&lt;VARIABLES!$B$7,VARIABLES!$B$5/12,VARIABLES!$B$6/12)</f>
        <v>3.3333333333333333E-2</v>
      </c>
      <c r="D25" s="25">
        <f>IF($A25&lt;VARIABLES!$B$21,0,IF($A25=VARIABLES!$B$21,VARIABLES!$B$22+VARIABLES!$B$23,VARIABLES!$B$23))</f>
        <v>200000</v>
      </c>
      <c r="E25" s="25">
        <f>D25*VARIABLES!$B$24</f>
        <v>1500</v>
      </c>
      <c r="F25" s="25">
        <f>IF($A25&lt;VARIABLES!$B$21,0,(IF($A25=VARIABLES!$B$21,0,G24)+D25)*C25*VARIABLES!$B$25)</f>
        <v>5725.6188968331189</v>
      </c>
      <c r="G25" s="25">
        <f>IF($A25&lt;VARIABLES!$B$21,0,(IF($A25=VARIABLES!$B$21,0,G24)+D25)*(1+C25)-F25)</f>
        <v>7094041.8131762352</v>
      </c>
      <c r="H25" s="25">
        <f>IF($A25&lt;VARIABLES!$B$28,0,IF($A25=VARIABLES!$B$28,VARIABLES!$B$29+VARIABLES!$B$30,VARIABLES!$B$30))</f>
        <v>40000</v>
      </c>
      <c r="I25" s="25">
        <f>H25*VARIABLES!$B$31</f>
        <v>300</v>
      </c>
      <c r="J25" s="25">
        <f>IF($A25&lt;VARIABLES!$B$28,0,(IF($A25=VARIABLES!$B$28,0,K24)+H25)*C25*VARIABLES!$B$32)</f>
        <v>3823.5314298199869</v>
      </c>
      <c r="K25" s="25">
        <f>IF($A25&lt;VARIABLES!$B$28,0,(IF($A25=VARIABLES!$B$28,0,K24)+H25)*(1+C25)-J25)</f>
        <v>1181471.2118143761</v>
      </c>
      <c r="L25" s="25">
        <f>IF($A25&lt;VARIABLES!$B$35,0,IF($A25=VARIABLES!$B$35,VARIABLES!$B$36+VARIABLES!$B$37,VARIABLES!$B$37))</f>
        <v>0</v>
      </c>
      <c r="M25" s="25">
        <f>L25*VARIABLES!$B$38</f>
        <v>0</v>
      </c>
      <c r="N25" s="25">
        <f>IF($A25&lt;VARIABLES!$B$35,0,(IF($A25=VARIABLES!$B$35,0,O24)+L25)*C25*VARIABLES!$B$39)</f>
        <v>30101.853911156955</v>
      </c>
      <c r="O25" s="25">
        <f>IF($A25&lt;VARIABLES!$B$35,0,(IF($A25=VARIABLES!$B$35,0,O24)+L25)*(1+C25)-N25)</f>
        <v>9301472.8585474994</v>
      </c>
      <c r="P25" s="25">
        <f>IF($A25&lt;VARIABLES!$B$42,0,IF($A25=VARIABLES!$B$42,VARIABLES!$B$43+VARIABLES!$B$44,VARIABLES!$B$44))</f>
        <v>20000</v>
      </c>
      <c r="Q25" s="25">
        <f>P25*VARIABLES!$B$45</f>
        <v>150</v>
      </c>
      <c r="R25" s="25">
        <f>IF($A25&lt;VARIABLES!$B$42,0,(IF($A25=VARIABLES!$B$42,0,S24)+P25)*C25*VARIABLES!$B$46)</f>
        <v>491.00136232753323</v>
      </c>
      <c r="S25" s="25">
        <f>IF($A25&lt;VARIABLES!$B$42,0,(IF($A25=VARIABLES!$B$42,0,S24)+P25)*(1+C25)-R25)</f>
        <v>608350.68792381382</v>
      </c>
      <c r="T25" s="26">
        <f>IF($A25&lt;VARIABLES!$B$50,0,MIN(VARIABLES!$B$49,INT(($A25-VARIABLES!$B$50)/VARIABLES!$B$51)+1)*VARIABLES!$B$52)</f>
        <v>20</v>
      </c>
      <c r="U25" s="25">
        <f>T25*VARIABLES!$B$54+IF(AND($A25&gt;=VARIABLES!$B$50,MOD($A25-VARIABLES!$B$50,VARIABLES!$B$51)=0,INT(($A25-VARIABLES!$B$50)/VARIABLES!$B$51)&lt;VARIABLES!$B$49),VARIABLES!$B$52*VARIABLES!$B$53,0)</f>
        <v>150000</v>
      </c>
      <c r="V25" s="25">
        <f>U25*VARIABLES!$B$55</f>
        <v>1125</v>
      </c>
      <c r="W25" s="25">
        <f>IF($A25&lt;VARIABLES!$B$50,0,(IF($A25&lt;VARIABLES!$B$50+1,0,X24)+U25)*C25*VARIABLES!$B$56)</f>
        <v>8743.1100390800148</v>
      </c>
      <c r="X25" s="25">
        <f>IF($A25&lt;VARIABLES!$B$50,0,(IF($A25&lt;VARIABLES!$B$50+1,0,X24)+U25)*(1+C25)-W25)</f>
        <v>2701621.0020757248</v>
      </c>
      <c r="Y25" s="25">
        <f t="shared" si="0"/>
        <v>410000</v>
      </c>
      <c r="Z25" s="25">
        <f t="shared" si="1"/>
        <v>3075</v>
      </c>
      <c r="AA25" s="25">
        <f t="shared" si="2"/>
        <v>48885.115639217605</v>
      </c>
      <c r="AB25" s="17">
        <f t="shared" si="3"/>
        <v>51960.115639217605</v>
      </c>
      <c r="AC25" s="18">
        <f t="shared" si="4"/>
        <v>20886957.573537651</v>
      </c>
      <c r="AD25" s="25">
        <f>IF($A25=1,VARIABLES!$B$12,0)</f>
        <v>0</v>
      </c>
      <c r="AE25" s="25">
        <f>IF($A25&lt;=3,VARIABLES!$B$13,IF($A25&lt;=6,VARIABLES!$B$14,VARIABLES!$B$15))</f>
        <v>46000</v>
      </c>
      <c r="AF25" s="25">
        <f>IF(MOD($A25,12)=0,AC25*VARIABLES!$B$16,0)</f>
        <v>0</v>
      </c>
      <c r="AG25" s="25">
        <f>VARIABLES!$B$17</f>
        <v>5000</v>
      </c>
      <c r="AH25" s="25">
        <f>IF(MOD($A25,12)=0,VARIABLES!$B$18,0)</f>
        <v>0</v>
      </c>
      <c r="AI25" s="19">
        <f t="shared" si="5"/>
        <v>51000</v>
      </c>
      <c r="AJ25" s="20">
        <f>IF($A25&lt;VARIABLES!$B$7,VARIABLES!$B$9,0)</f>
        <v>10580.083333333334</v>
      </c>
      <c r="AK25" s="27">
        <f t="shared" si="6"/>
        <v>-9619.9676941157286</v>
      </c>
      <c r="AL25" s="27">
        <f t="shared" si="7"/>
        <v>-589762.79488985555</v>
      </c>
      <c r="AM25" s="22">
        <f t="shared" si="8"/>
        <v>232761.8333333334</v>
      </c>
    </row>
    <row r="26" spans="1:39" x14ac:dyDescent="0.2">
      <c r="A26" s="14">
        <v>23</v>
      </c>
      <c r="B26" s="14" t="str">
        <f>TEXT(DATE(VARIABLES!$B$60+INT((VARIABLES!$B$61+A26-2)/12),MOD(VARIABLES!$B$61+A26-2,12)+1,1),"mmm-yy")</f>
        <v>Apr-28</v>
      </c>
      <c r="C26" s="15">
        <f>IF($A26&lt;VARIABLES!$B$7,VARIABLES!$B$5/12,VARIABLES!$B$6/12)</f>
        <v>3.3333333333333333E-2</v>
      </c>
      <c r="D26" s="7">
        <f>IF($A26&lt;VARIABLES!$B$21,0,IF($A26=VARIABLES!$B$21,VARIABLES!$B$22+VARIABLES!$B$23,VARIABLES!$B$23))</f>
        <v>200000</v>
      </c>
      <c r="E26" s="7">
        <f>D26*VARIABLES!$B$24</f>
        <v>1500</v>
      </c>
      <c r="F26" s="7">
        <f>IF($A26&lt;VARIABLES!$B$21,0,(IF($A26=VARIABLES!$B$21,0,G25)+D26)*C26*VARIABLES!$B$25)</f>
        <v>6078.3681776468629</v>
      </c>
      <c r="G26" s="7">
        <f>IF($A26&lt;VARIABLES!$B$21,0,(IF($A26=VARIABLES!$B$21,0,G25)+D26)*(1+C26)-F26)</f>
        <v>7531098.1721044639</v>
      </c>
      <c r="H26" s="7">
        <f>IF($A26&lt;VARIABLES!$B$28,0,IF($A26=VARIABLES!$B$28,VARIABLES!$B$29+VARIABLES!$B$30,VARIABLES!$B$30))</f>
        <v>40000</v>
      </c>
      <c r="I26" s="7">
        <f>H26*VARIABLES!$B$31</f>
        <v>300</v>
      </c>
      <c r="J26" s="7">
        <f>IF($A26&lt;VARIABLES!$B$28,0,(IF($A26=VARIABLES!$B$28,0,K25)+H26)*C26*VARIABLES!$B$32)</f>
        <v>4071.5707060479203</v>
      </c>
      <c r="K26" s="7">
        <f>IF($A26&lt;VARIABLES!$B$28,0,(IF($A26=VARIABLES!$B$28,0,K25)+H26)*(1+C26)-J26)</f>
        <v>1258115.3481688076</v>
      </c>
      <c r="L26" s="7">
        <f>IF($A26&lt;VARIABLES!$B$35,0,IF($A26=VARIABLES!$B$35,VARIABLES!$B$36+VARIABLES!$B$37,VARIABLES!$B$37))</f>
        <v>0</v>
      </c>
      <c r="M26" s="7">
        <f>L26*VARIABLES!$B$38</f>
        <v>0</v>
      </c>
      <c r="N26" s="7">
        <f>IF($A26&lt;VARIABLES!$B$35,0,(IF($A26=VARIABLES!$B$35,0,O25)+L26)*C26*VARIABLES!$B$39)</f>
        <v>31004.909528491666</v>
      </c>
      <c r="O26" s="7">
        <f>IF($A26&lt;VARIABLES!$B$35,0,(IF($A26=VARIABLES!$B$35,0,O25)+L26)*(1+C26)-N26)</f>
        <v>9580517.0443039257</v>
      </c>
      <c r="P26" s="7">
        <f>IF($A26&lt;VARIABLES!$B$42,0,IF($A26=VARIABLES!$B$42,VARIABLES!$B$43+VARIABLES!$B$44,VARIABLES!$B$44))</f>
        <v>20000</v>
      </c>
      <c r="Q26" s="7">
        <f>P26*VARIABLES!$B$45</f>
        <v>150</v>
      </c>
      <c r="R26" s="7">
        <f>IF($A26&lt;VARIABLES!$B$42,0,(IF($A26=VARIABLES!$B$42,0,S25)+P26)*C26*VARIABLES!$B$46)</f>
        <v>523.62557326984495</v>
      </c>
      <c r="S26" s="7">
        <f>IF($A26&lt;VARIABLES!$B$42,0,(IF($A26=VARIABLES!$B$42,0,S25)+P26)*(1+C26)-R26)</f>
        <v>648772.08528133784</v>
      </c>
      <c r="T26" s="16">
        <f>IF($A26&lt;VARIABLES!$B$50,0,MIN(VARIABLES!$B$49,INT(($A26-VARIABLES!$B$50)/VARIABLES!$B$51)+1)*VARIABLES!$B$52)</f>
        <v>21</v>
      </c>
      <c r="U26" s="7">
        <f>T26*VARIABLES!$B$54+IF(AND($A26&gt;=VARIABLES!$B$50,MOD($A26-VARIABLES!$B$50,VARIABLES!$B$51)=0,INT(($A26-VARIABLES!$B$50)/VARIABLES!$B$51)&lt;VARIABLES!$B$49),VARIABLES!$B$52*VARIABLES!$B$53,0)</f>
        <v>155000</v>
      </c>
      <c r="V26" s="7">
        <f>U26*VARIABLES!$B$55</f>
        <v>1162.5</v>
      </c>
      <c r="W26" s="7">
        <f>IF($A26&lt;VARIABLES!$B$50,0,(IF($A26&lt;VARIABLES!$B$50+1,0,X25)+U26)*C26*VARIABLES!$B$56)</f>
        <v>9522.0700069190825</v>
      </c>
      <c r="X26" s="7">
        <f>IF($A26&lt;VARIABLES!$B$50,0,(IF($A26&lt;VARIABLES!$B$50+1,0,X25)+U26)*(1+C26)-W26)</f>
        <v>2942319.6321379966</v>
      </c>
      <c r="Y26" s="7">
        <f t="shared" si="0"/>
        <v>415000</v>
      </c>
      <c r="Z26" s="7">
        <f t="shared" si="1"/>
        <v>3112.5</v>
      </c>
      <c r="AA26" s="7">
        <f t="shared" si="2"/>
        <v>51200.543992375373</v>
      </c>
      <c r="AB26" s="17">
        <f t="shared" si="3"/>
        <v>54313.043992375373</v>
      </c>
      <c r="AC26" s="18">
        <f t="shared" si="4"/>
        <v>21960822.281996533</v>
      </c>
      <c r="AD26" s="7">
        <f>IF($A26=1,VARIABLES!$B$12,0)</f>
        <v>0</v>
      </c>
      <c r="AE26" s="7">
        <f>IF($A26&lt;=3,VARIABLES!$B$13,IF($A26&lt;=6,VARIABLES!$B$14,VARIABLES!$B$15))</f>
        <v>46000</v>
      </c>
      <c r="AF26" s="7">
        <f>IF(MOD($A26,12)=0,AC26*VARIABLES!$B$16,0)</f>
        <v>0</v>
      </c>
      <c r="AG26" s="7">
        <f>VARIABLES!$B$17</f>
        <v>5000</v>
      </c>
      <c r="AH26" s="7">
        <f>IF(MOD($A26,12)=0,VARIABLES!$B$18,0)</f>
        <v>0</v>
      </c>
      <c r="AI26" s="19">
        <f t="shared" si="5"/>
        <v>51000</v>
      </c>
      <c r="AJ26" s="20">
        <f>IF($A26&lt;VARIABLES!$B$7,VARIABLES!$B$9,0)</f>
        <v>10580.083333333334</v>
      </c>
      <c r="AK26" s="21">
        <f t="shared" si="6"/>
        <v>-7267.039340957961</v>
      </c>
      <c r="AL26" s="21">
        <f t="shared" si="7"/>
        <v>-597029.83423081355</v>
      </c>
      <c r="AM26" s="22">
        <f t="shared" si="8"/>
        <v>243341.91666666674</v>
      </c>
    </row>
    <row r="27" spans="1:39" x14ac:dyDescent="0.2">
      <c r="A27" s="23">
        <v>24</v>
      </c>
      <c r="B27" s="23" t="str">
        <f>TEXT(DATE(VARIABLES!$B$60+INT((VARIABLES!$B$61+A27-2)/12),MOD(VARIABLES!$B$61+A27-2,12)+1,1),"mmm-yy")</f>
        <v>May-28</v>
      </c>
      <c r="C27" s="24">
        <f>IF($A27&lt;VARIABLES!$B$7,VARIABLES!$B$5/12,VARIABLES!$B$6/12)</f>
        <v>3.3333333333333333E-2</v>
      </c>
      <c r="D27" s="25">
        <f>IF($A27&lt;VARIABLES!$B$21,0,IF($A27=VARIABLES!$B$21,VARIABLES!$B$22+VARIABLES!$B$23,VARIABLES!$B$23))</f>
        <v>200000</v>
      </c>
      <c r="E27" s="25">
        <f>D27*VARIABLES!$B$24</f>
        <v>1500</v>
      </c>
      <c r="F27" s="25">
        <f>IF($A27&lt;VARIABLES!$B$21,0,(IF($A27=VARIABLES!$B$21,0,G26)+D27)*C27*VARIABLES!$B$25)</f>
        <v>6442.5818100870529</v>
      </c>
      <c r="G27" s="25">
        <f>IF($A27&lt;VARIABLES!$B$21,0,(IF($A27=VARIABLES!$B$21,0,G26)+D27)*(1+C27)-F27)</f>
        <v>7982358.8626978602</v>
      </c>
      <c r="H27" s="25">
        <f>IF($A27&lt;VARIABLES!$B$28,0,IF($A27=VARIABLES!$B$28,VARIABLES!$B$29+VARIABLES!$B$30,VARIABLES!$B$30))</f>
        <v>40000</v>
      </c>
      <c r="I27" s="25">
        <f>H27*VARIABLES!$B$31</f>
        <v>300</v>
      </c>
      <c r="J27" s="25">
        <f>IF($A27&lt;VARIABLES!$B$28,0,(IF($A27=VARIABLES!$B$28,0,K26)+H27)*C27*VARIABLES!$B$32)</f>
        <v>4327.0511605626916</v>
      </c>
      <c r="K27" s="25">
        <f>IF($A27&lt;VARIABLES!$B$28,0,(IF($A27=VARIABLES!$B$28,0,K26)+H27)*(1+C27)-J27)</f>
        <v>1337058.8086138719</v>
      </c>
      <c r="L27" s="25">
        <f>IF($A27&lt;VARIABLES!$B$35,0,IF($A27=VARIABLES!$B$35,VARIABLES!$B$36+VARIABLES!$B$37,VARIABLES!$B$37))</f>
        <v>0</v>
      </c>
      <c r="M27" s="25">
        <f>L27*VARIABLES!$B$38</f>
        <v>0</v>
      </c>
      <c r="N27" s="25">
        <f>IF($A27&lt;VARIABLES!$B$35,0,(IF($A27=VARIABLES!$B$35,0,O26)+L27)*C27*VARIABLES!$B$39)</f>
        <v>31935.056814346419</v>
      </c>
      <c r="O27" s="25">
        <f>IF($A27&lt;VARIABLES!$B$35,0,(IF($A27=VARIABLES!$B$35,0,O26)+L27)*(1+C27)-N27)</f>
        <v>9867932.5556330439</v>
      </c>
      <c r="P27" s="25">
        <f>IF($A27&lt;VARIABLES!$B$42,0,IF($A27=VARIABLES!$B$42,VARIABLES!$B$43+VARIABLES!$B$44,VARIABLES!$B$44))</f>
        <v>20000</v>
      </c>
      <c r="Q27" s="25">
        <f>P27*VARIABLES!$B$45</f>
        <v>150</v>
      </c>
      <c r="R27" s="25">
        <f>IF($A27&lt;VARIABLES!$B$42,0,(IF($A27=VARIABLES!$B$42,0,S26)+P27)*C27*VARIABLES!$B$46)</f>
        <v>557.31007106778156</v>
      </c>
      <c r="S27" s="25">
        <f>IF($A27&lt;VARIABLES!$B$42,0,(IF($A27=VARIABLES!$B$42,0,S26)+P27)*(1+C27)-R27)</f>
        <v>690507.17805298138</v>
      </c>
      <c r="T27" s="26">
        <f>IF($A27&lt;VARIABLES!$B$50,0,MIN(VARIABLES!$B$49,INT(($A27-VARIABLES!$B$50)/VARIABLES!$B$51)+1)*VARIABLES!$B$52)</f>
        <v>22</v>
      </c>
      <c r="U27" s="25">
        <f>T27*VARIABLES!$B$54+IF(AND($A27&gt;=VARIABLES!$B$50,MOD($A27-VARIABLES!$B$50,VARIABLES!$B$51)=0,INT(($A27-VARIABLES!$B$50)/VARIABLES!$B$51)&lt;VARIABLES!$B$49),VARIABLES!$B$52*VARIABLES!$B$53,0)</f>
        <v>160000</v>
      </c>
      <c r="V27" s="25">
        <f>U27*VARIABLES!$B$55</f>
        <v>1200</v>
      </c>
      <c r="W27" s="25">
        <f>IF($A27&lt;VARIABLES!$B$50,0,(IF($A27&lt;VARIABLES!$B$50+1,0,X26)+U27)*C27*VARIABLES!$B$56)</f>
        <v>10341.06544045999</v>
      </c>
      <c r="X27" s="25">
        <f>IF($A27&lt;VARIABLES!$B$50,0,(IF($A27&lt;VARIABLES!$B$50+1,0,X26)+U27)*(1+C27)-W27)</f>
        <v>3195389.2211021367</v>
      </c>
      <c r="Y27" s="25">
        <f t="shared" si="0"/>
        <v>420000</v>
      </c>
      <c r="Z27" s="25">
        <f t="shared" si="1"/>
        <v>3150</v>
      </c>
      <c r="AA27" s="25">
        <f t="shared" si="2"/>
        <v>53603.065296523942</v>
      </c>
      <c r="AB27" s="17">
        <f t="shared" si="3"/>
        <v>56753.065296523942</v>
      </c>
      <c r="AC27" s="18">
        <f t="shared" si="4"/>
        <v>23073246.626099892</v>
      </c>
      <c r="AD27" s="25">
        <f>IF($A27=1,VARIABLES!$B$12,0)</f>
        <v>0</v>
      </c>
      <c r="AE27" s="25">
        <f>IF($A27&lt;=3,VARIABLES!$B$13,IF($A27&lt;=6,VARIABLES!$B$14,VARIABLES!$B$15))</f>
        <v>46000</v>
      </c>
      <c r="AF27" s="25">
        <f>IF(MOD($A27,12)=0,AC27*VARIABLES!$B$16,0)</f>
        <v>57683.116565249729</v>
      </c>
      <c r="AG27" s="25">
        <f>VARIABLES!$B$17</f>
        <v>5000</v>
      </c>
      <c r="AH27" s="25">
        <f>IF(MOD($A27,12)=0,VARIABLES!$B$18,0)</f>
        <v>3000</v>
      </c>
      <c r="AI27" s="19">
        <f t="shared" si="5"/>
        <v>111683.11656524973</v>
      </c>
      <c r="AJ27" s="20">
        <f>IF($A27&lt;VARIABLES!$B$7,VARIABLES!$B$9,0)</f>
        <v>10580.083333333334</v>
      </c>
      <c r="AK27" s="27">
        <f t="shared" si="6"/>
        <v>-65510.134602059123</v>
      </c>
      <c r="AL27" s="27">
        <f t="shared" si="7"/>
        <v>-662539.96883287269</v>
      </c>
      <c r="AM27" s="22">
        <f t="shared" si="8"/>
        <v>253922.00000000009</v>
      </c>
    </row>
    <row r="28" spans="1:39" x14ac:dyDescent="0.2">
      <c r="A28" s="14">
        <v>25</v>
      </c>
      <c r="B28" s="14" t="str">
        <f>TEXT(DATE(VARIABLES!$B$60+INT((VARIABLES!$B$61+A28-2)/12),MOD(VARIABLES!$B$61+A28-2,12)+1,1),"mmm-yy")</f>
        <v>Jun-28</v>
      </c>
      <c r="C28" s="15">
        <f>IF($A28&lt;VARIABLES!$B$7,VARIABLES!$B$5/12,VARIABLES!$B$6/12)</f>
        <v>3.3333333333333333E-2</v>
      </c>
      <c r="D28" s="7">
        <f>IF($A28&lt;VARIABLES!$B$21,0,IF($A28=VARIABLES!$B$21,VARIABLES!$B$22+VARIABLES!$B$23,VARIABLES!$B$23))</f>
        <v>200000</v>
      </c>
      <c r="E28" s="7">
        <f>D28*VARIABLES!$B$24</f>
        <v>1500</v>
      </c>
      <c r="F28" s="7">
        <f>IF($A28&lt;VARIABLES!$B$21,0,(IF($A28=VARIABLES!$B$21,0,G27)+D28)*C28*VARIABLES!$B$25)</f>
        <v>6818.6323855815499</v>
      </c>
      <c r="G28" s="7">
        <f>IF($A28&lt;VARIABLES!$B$21,0,(IF($A28=VARIABLES!$B$21,0,G27)+D28)*(1+C28)-F28)</f>
        <v>8448285.5257355422</v>
      </c>
      <c r="H28" s="7">
        <f>IF($A28&lt;VARIABLES!$B$28,0,IF($A28=VARIABLES!$B$28,VARIABLES!$B$29+VARIABLES!$B$30,VARIABLES!$B$30))</f>
        <v>40000</v>
      </c>
      <c r="I28" s="7">
        <f>H28*VARIABLES!$B$31</f>
        <v>300</v>
      </c>
      <c r="J28" s="7">
        <f>IF($A28&lt;VARIABLES!$B$28,0,(IF($A28=VARIABLES!$B$28,0,K27)+H28)*C28*VARIABLES!$B$32)</f>
        <v>4590.1960287129068</v>
      </c>
      <c r="K28" s="7">
        <f>IF($A28&lt;VARIABLES!$B$28,0,(IF($A28=VARIABLES!$B$28,0,K27)+H28)*(1+C28)-J28)</f>
        <v>1418370.5728722883</v>
      </c>
      <c r="L28" s="7">
        <f>IF($A28&lt;VARIABLES!$B$35,0,IF($A28=VARIABLES!$B$35,VARIABLES!$B$36+VARIABLES!$B$37,VARIABLES!$B$37))</f>
        <v>0</v>
      </c>
      <c r="M28" s="7">
        <f>L28*VARIABLES!$B$38</f>
        <v>0</v>
      </c>
      <c r="N28" s="7">
        <f>IF($A28&lt;VARIABLES!$B$35,0,(IF($A28=VARIABLES!$B$35,0,O27)+L28)*C28*VARIABLES!$B$39)</f>
        <v>32893.108518776811</v>
      </c>
      <c r="O28" s="7">
        <f>IF($A28&lt;VARIABLES!$B$35,0,(IF($A28=VARIABLES!$B$35,0,O27)+L28)*(1+C28)-N28)</f>
        <v>10163970.532302035</v>
      </c>
      <c r="P28" s="7">
        <f>IF($A28&lt;VARIABLES!$B$42,0,IF($A28=VARIABLES!$B$42,VARIABLES!$B$43+VARIABLES!$B$44,VARIABLES!$B$44))</f>
        <v>20000</v>
      </c>
      <c r="Q28" s="7">
        <f>P28*VARIABLES!$B$45</f>
        <v>150</v>
      </c>
      <c r="R28" s="7">
        <f>IF($A28&lt;VARIABLES!$B$42,0,(IF($A28=VARIABLES!$B$42,0,S27)+P28)*C28*VARIABLES!$B$46)</f>
        <v>592.08931504415114</v>
      </c>
      <c r="S28" s="7">
        <f>IF($A28&lt;VARIABLES!$B$42,0,(IF($A28=VARIABLES!$B$42,0,S27)+P28)*(1+C28)-R28)</f>
        <v>733598.66133970337</v>
      </c>
      <c r="T28" s="16">
        <f>IF($A28&lt;VARIABLES!$B$50,0,MIN(VARIABLES!$B$49,INT(($A28-VARIABLES!$B$50)/VARIABLES!$B$51)+1)*VARIABLES!$B$52)</f>
        <v>23</v>
      </c>
      <c r="U28" s="7">
        <f>T28*VARIABLES!$B$54+IF(AND($A28&gt;=VARIABLES!$B$50,MOD($A28-VARIABLES!$B$50,VARIABLES!$B$51)=0,INT(($A28-VARIABLES!$B$50)/VARIABLES!$B$51)&lt;VARIABLES!$B$49),VARIABLES!$B$52*VARIABLES!$B$53,0)</f>
        <v>165000</v>
      </c>
      <c r="V28" s="7">
        <f>U28*VARIABLES!$B$55</f>
        <v>1237.5</v>
      </c>
      <c r="W28" s="7">
        <f>IF($A28&lt;VARIABLES!$B$50,0,(IF($A28&lt;VARIABLES!$B$50+1,0,X27)+U28)*C28*VARIABLES!$B$56)</f>
        <v>11201.297403673789</v>
      </c>
      <c r="X28" s="7">
        <f>IF($A28&lt;VARIABLES!$B$50,0,(IF($A28&lt;VARIABLES!$B$50+1,0,X27)+U28)*(1+C28)-W28)</f>
        <v>3461200.8977352013</v>
      </c>
      <c r="Y28" s="7">
        <f t="shared" si="0"/>
        <v>425000</v>
      </c>
      <c r="Z28" s="7">
        <f t="shared" si="1"/>
        <v>3187.5</v>
      </c>
      <c r="AA28" s="7">
        <f t="shared" si="2"/>
        <v>56095.3236517892</v>
      </c>
      <c r="AB28" s="17">
        <f t="shared" si="3"/>
        <v>59282.8236517892</v>
      </c>
      <c r="AC28" s="18">
        <f t="shared" si="4"/>
        <v>24225426.189984772</v>
      </c>
      <c r="AD28" s="7">
        <f>IF($A28=1,VARIABLES!$B$12,0)</f>
        <v>0</v>
      </c>
      <c r="AE28" s="7">
        <f>IF($A28&lt;=3,VARIABLES!$B$13,IF($A28&lt;=6,VARIABLES!$B$14,VARIABLES!$B$15))</f>
        <v>46000</v>
      </c>
      <c r="AF28" s="7">
        <f>IF(MOD($A28,12)=0,AC28*VARIABLES!$B$16,0)</f>
        <v>0</v>
      </c>
      <c r="AG28" s="7">
        <f>VARIABLES!$B$17</f>
        <v>5000</v>
      </c>
      <c r="AH28" s="7">
        <f>IF(MOD($A28,12)=0,VARIABLES!$B$18,0)</f>
        <v>0</v>
      </c>
      <c r="AI28" s="19">
        <f t="shared" si="5"/>
        <v>51000</v>
      </c>
      <c r="AJ28" s="20">
        <f>IF($A28&lt;VARIABLES!$B$7,VARIABLES!$B$9,0)</f>
        <v>10580.083333333334</v>
      </c>
      <c r="AK28" s="21">
        <f t="shared" si="6"/>
        <v>-2297.2596815441339</v>
      </c>
      <c r="AL28" s="21">
        <f t="shared" si="7"/>
        <v>-664837.22851441684</v>
      </c>
      <c r="AM28" s="22">
        <f t="shared" si="8"/>
        <v>264502.08333333343</v>
      </c>
    </row>
    <row r="29" spans="1:39" x14ac:dyDescent="0.2">
      <c r="A29" s="23">
        <v>26</v>
      </c>
      <c r="B29" s="23" t="str">
        <f>TEXT(DATE(VARIABLES!$B$60+INT((VARIABLES!$B$61+A29-2)/12),MOD(VARIABLES!$B$61+A29-2,12)+1,1),"mmm-yy")</f>
        <v>Jul-28</v>
      </c>
      <c r="C29" s="24">
        <f>IF($A29&lt;VARIABLES!$B$7,VARIABLES!$B$5/12,VARIABLES!$B$6/12)</f>
        <v>3.3333333333333333E-2</v>
      </c>
      <c r="D29" s="25">
        <f>IF($A29&lt;VARIABLES!$B$21,0,IF($A29=VARIABLES!$B$21,VARIABLES!$B$22+VARIABLES!$B$23,VARIABLES!$B$23))</f>
        <v>200000</v>
      </c>
      <c r="E29" s="25">
        <f>D29*VARIABLES!$B$24</f>
        <v>1500</v>
      </c>
      <c r="F29" s="25">
        <f>IF($A29&lt;VARIABLES!$B$21,0,(IF($A29=VARIABLES!$B$21,0,G28)+D29)*C29*VARIABLES!$B$25)</f>
        <v>7206.9046047796191</v>
      </c>
      <c r="G29" s="25">
        <f>IF($A29&lt;VARIABLES!$B$21,0,(IF($A29=VARIABLES!$B$21,0,G28)+D29)*(1+C29)-F29)</f>
        <v>8929354.8053219486</v>
      </c>
      <c r="H29" s="25">
        <f>IF($A29&lt;VARIABLES!$B$28,0,IF($A29=VARIABLES!$B$28,VARIABLES!$B$29+VARIABLES!$B$30,VARIABLES!$B$30))</f>
        <v>40000</v>
      </c>
      <c r="I29" s="25">
        <f>H29*VARIABLES!$B$31</f>
        <v>300</v>
      </c>
      <c r="J29" s="25">
        <f>IF($A29&lt;VARIABLES!$B$28,0,(IF($A29=VARIABLES!$B$28,0,K28)+H29)*C29*VARIABLES!$B$32)</f>
        <v>4861.2352429076273</v>
      </c>
      <c r="K29" s="25">
        <f>IF($A29&lt;VARIABLES!$B$28,0,(IF($A29=VARIABLES!$B$28,0,K28)+H29)*(1+C29)-J29)</f>
        <v>1502121.690058457</v>
      </c>
      <c r="L29" s="25">
        <f>IF($A29&lt;VARIABLES!$B$35,0,IF($A29=VARIABLES!$B$35,VARIABLES!$B$36+VARIABLES!$B$37,VARIABLES!$B$37))</f>
        <v>0</v>
      </c>
      <c r="M29" s="25">
        <f>L29*VARIABLES!$B$38</f>
        <v>0</v>
      </c>
      <c r="N29" s="25">
        <f>IF($A29&lt;VARIABLES!$B$35,0,(IF($A29=VARIABLES!$B$35,0,O28)+L29)*C29*VARIABLES!$B$39)</f>
        <v>33879.90177434012</v>
      </c>
      <c r="O29" s="25">
        <f>IF($A29&lt;VARIABLES!$B$35,0,(IF($A29=VARIABLES!$B$35,0,O28)+L29)*(1+C29)-N29)</f>
        <v>10468889.648271099</v>
      </c>
      <c r="P29" s="25">
        <f>IF($A29&lt;VARIABLES!$B$42,0,IF($A29=VARIABLES!$B$42,VARIABLES!$B$43+VARIABLES!$B$44,VARIABLES!$B$44))</f>
        <v>20000</v>
      </c>
      <c r="Q29" s="25">
        <f>P29*VARIABLES!$B$45</f>
        <v>150</v>
      </c>
      <c r="R29" s="25">
        <f>IF($A29&lt;VARIABLES!$B$42,0,(IF($A29=VARIABLES!$B$42,0,S28)+P29)*C29*VARIABLES!$B$46)</f>
        <v>627.99888444975284</v>
      </c>
      <c r="S29" s="25">
        <f>IF($A29&lt;VARIABLES!$B$42,0,(IF($A29=VARIABLES!$B$42,0,S28)+P29)*(1+C29)-R29)</f>
        <v>778090.6178332438</v>
      </c>
      <c r="T29" s="26">
        <f>IF($A29&lt;VARIABLES!$B$50,0,MIN(VARIABLES!$B$49,INT(($A29-VARIABLES!$B$50)/VARIABLES!$B$51)+1)*VARIABLES!$B$52)</f>
        <v>24</v>
      </c>
      <c r="U29" s="25">
        <f>T29*VARIABLES!$B$54+IF(AND($A29&gt;=VARIABLES!$B$50,MOD($A29-VARIABLES!$B$50,VARIABLES!$B$51)=0,INT(($A29-VARIABLES!$B$50)/VARIABLES!$B$51)&lt;VARIABLES!$B$49),VARIABLES!$B$52*VARIABLES!$B$53,0)</f>
        <v>170000</v>
      </c>
      <c r="V29" s="25">
        <f>U29*VARIABLES!$B$55</f>
        <v>1275</v>
      </c>
      <c r="W29" s="25">
        <f>IF($A29&lt;VARIABLES!$B$50,0,(IF($A29&lt;VARIABLES!$B$50+1,0,X28)+U29)*C29*VARIABLES!$B$56)</f>
        <v>12104.002992450673</v>
      </c>
      <c r="X29" s="25">
        <f>IF($A29&lt;VARIABLES!$B$50,0,(IF($A29&lt;VARIABLES!$B$50+1,0,X28)+U29)*(1+C29)-W29)</f>
        <v>3740136.9246672578</v>
      </c>
      <c r="Y29" s="25">
        <f t="shared" si="0"/>
        <v>430000</v>
      </c>
      <c r="Z29" s="25">
        <f t="shared" si="1"/>
        <v>3225</v>
      </c>
      <c r="AA29" s="25">
        <f t="shared" si="2"/>
        <v>58680.043498927786</v>
      </c>
      <c r="AB29" s="17">
        <f t="shared" si="3"/>
        <v>61905.043498927786</v>
      </c>
      <c r="AC29" s="18">
        <f t="shared" si="4"/>
        <v>25418593.686152007</v>
      </c>
      <c r="AD29" s="25">
        <f>IF($A29=1,VARIABLES!$B$12,0)</f>
        <v>0</v>
      </c>
      <c r="AE29" s="25">
        <f>IF($A29&lt;=3,VARIABLES!$B$13,IF($A29&lt;=6,VARIABLES!$B$14,VARIABLES!$B$15))</f>
        <v>46000</v>
      </c>
      <c r="AF29" s="25">
        <f>IF(MOD($A29,12)=0,AC29*VARIABLES!$B$16,0)</f>
        <v>0</v>
      </c>
      <c r="AG29" s="25">
        <f>VARIABLES!$B$17</f>
        <v>5000</v>
      </c>
      <c r="AH29" s="25">
        <f>IF(MOD($A29,12)=0,VARIABLES!$B$18,0)</f>
        <v>0</v>
      </c>
      <c r="AI29" s="19">
        <f t="shared" si="5"/>
        <v>51000</v>
      </c>
      <c r="AJ29" s="20">
        <f>IF($A29&lt;VARIABLES!$B$7,VARIABLES!$B$9,0)</f>
        <v>10580.083333333334</v>
      </c>
      <c r="AK29" s="27">
        <f t="shared" si="6"/>
        <v>324.96016559445161</v>
      </c>
      <c r="AL29" s="27">
        <f t="shared" si="7"/>
        <v>-664512.26834882237</v>
      </c>
      <c r="AM29" s="22">
        <f t="shared" si="8"/>
        <v>275082.16666666674</v>
      </c>
    </row>
    <row r="30" spans="1:39" x14ac:dyDescent="0.2">
      <c r="A30" s="14">
        <v>27</v>
      </c>
      <c r="B30" s="14" t="str">
        <f>TEXT(DATE(VARIABLES!$B$60+INT((VARIABLES!$B$61+A30-2)/12),MOD(VARIABLES!$B$61+A30-2,12)+1,1),"mmm-yy")</f>
        <v>Aug-28</v>
      </c>
      <c r="C30" s="15">
        <f>IF($A30&lt;VARIABLES!$B$7,VARIABLES!$B$5/12,VARIABLES!$B$6/12)</f>
        <v>3.3333333333333333E-2</v>
      </c>
      <c r="D30" s="7">
        <f>IF($A30&lt;VARIABLES!$B$21,0,IF($A30=VARIABLES!$B$21,VARIABLES!$B$22+VARIABLES!$B$23,VARIABLES!$B$23))</f>
        <v>200000</v>
      </c>
      <c r="E30" s="7">
        <f>D30*VARIABLES!$B$24</f>
        <v>1500</v>
      </c>
      <c r="F30" s="7">
        <f>IF($A30&lt;VARIABLES!$B$21,0,(IF($A30=VARIABLES!$B$21,0,G29)+D30)*C30*VARIABLES!$B$25)</f>
        <v>7607.7956711016232</v>
      </c>
      <c r="G30" s="7">
        <f>IF($A30&lt;VARIABLES!$B$21,0,(IF($A30=VARIABLES!$B$21,0,G29)+D30)*(1+C30)-F30)</f>
        <v>9426058.8364949133</v>
      </c>
      <c r="H30" s="7">
        <f>IF($A30&lt;VARIABLES!$B$28,0,IF($A30=VARIABLES!$B$28,VARIABLES!$B$29+VARIABLES!$B$30,VARIABLES!$B$30))</f>
        <v>40000</v>
      </c>
      <c r="I30" s="7">
        <f>H30*VARIABLES!$B$31</f>
        <v>300</v>
      </c>
      <c r="J30" s="7">
        <f>IF($A30&lt;VARIABLES!$B$28,0,(IF($A30=VARIABLES!$B$28,0,K29)+H30)*C30*VARIABLES!$B$32)</f>
        <v>5140.4056335281903</v>
      </c>
      <c r="K30" s="7">
        <f>IF($A30&lt;VARIABLES!$B$28,0,(IF($A30=VARIABLES!$B$28,0,K29)+H30)*(1+C30)-J30)</f>
        <v>1588385.3407602108</v>
      </c>
      <c r="L30" s="7">
        <f>IF($A30&lt;VARIABLES!$B$35,0,IF($A30=VARIABLES!$B$35,VARIABLES!$B$36+VARIABLES!$B$37,VARIABLES!$B$37))</f>
        <v>0</v>
      </c>
      <c r="M30" s="7">
        <f>L30*VARIABLES!$B$38</f>
        <v>0</v>
      </c>
      <c r="N30" s="7">
        <f>IF($A30&lt;VARIABLES!$B$35,0,(IF($A30=VARIABLES!$B$35,0,O29)+L30)*C30*VARIABLES!$B$39)</f>
        <v>34896.298827570332</v>
      </c>
      <c r="O30" s="7">
        <f>IF($A30&lt;VARIABLES!$B$35,0,(IF($A30=VARIABLES!$B$35,0,O29)+L30)*(1+C30)-N30)</f>
        <v>10782956.337719234</v>
      </c>
      <c r="P30" s="7">
        <f>IF($A30&lt;VARIABLES!$B$42,0,IF($A30=VARIABLES!$B$42,VARIABLES!$B$43+VARIABLES!$B$44,VARIABLES!$B$44))</f>
        <v>20000</v>
      </c>
      <c r="Q30" s="7">
        <f>P30*VARIABLES!$B$45</f>
        <v>150</v>
      </c>
      <c r="R30" s="7">
        <f>IF($A30&lt;VARIABLES!$B$42,0,(IF($A30=VARIABLES!$B$42,0,S29)+P30)*C30*VARIABLES!$B$46)</f>
        <v>665.07551486103648</v>
      </c>
      <c r="S30" s="7">
        <f>IF($A30&lt;VARIABLES!$B$42,0,(IF($A30=VARIABLES!$B$42,0,S29)+P30)*(1+C30)-R30)</f>
        <v>824028.56291282433</v>
      </c>
      <c r="T30" s="16">
        <f>IF($A30&lt;VARIABLES!$B$50,0,MIN(VARIABLES!$B$49,INT(($A30-VARIABLES!$B$50)/VARIABLES!$B$51)+1)*VARIABLES!$B$52)</f>
        <v>25</v>
      </c>
      <c r="U30" s="7">
        <f>T30*VARIABLES!$B$54+IF(AND($A30&gt;=VARIABLES!$B$50,MOD($A30-VARIABLES!$B$50,VARIABLES!$B$51)=0,INT(($A30-VARIABLES!$B$50)/VARIABLES!$B$51)&lt;VARIABLES!$B$49),VARIABLES!$B$52*VARIABLES!$B$53,0)</f>
        <v>175000</v>
      </c>
      <c r="V30" s="7">
        <f>U30*VARIABLES!$B$55</f>
        <v>1312.5</v>
      </c>
      <c r="W30" s="7">
        <f>IF($A30&lt;VARIABLES!$B$50,0,(IF($A30&lt;VARIABLES!$B$50+1,0,X29)+U30)*C30*VARIABLES!$B$56)</f>
        <v>13050.456415557526</v>
      </c>
      <c r="X30" s="7">
        <f>IF($A30&lt;VARIABLES!$B$50,0,(IF($A30&lt;VARIABLES!$B$50+1,0,X29)+U30)*(1+C30)-W30)</f>
        <v>4032591.0324072763</v>
      </c>
      <c r="Y30" s="7">
        <f t="shared" si="0"/>
        <v>435000</v>
      </c>
      <c r="Z30" s="7">
        <f t="shared" si="1"/>
        <v>3262.5</v>
      </c>
      <c r="AA30" s="7">
        <f t="shared" si="2"/>
        <v>61360.032062618709</v>
      </c>
      <c r="AB30" s="17">
        <f t="shared" si="3"/>
        <v>64622.532062618709</v>
      </c>
      <c r="AC30" s="18">
        <f t="shared" si="4"/>
        <v>26654020.110294458</v>
      </c>
      <c r="AD30" s="7">
        <f>IF($A30=1,VARIABLES!$B$12,0)</f>
        <v>0</v>
      </c>
      <c r="AE30" s="7">
        <f>IF($A30&lt;=3,VARIABLES!$B$13,IF($A30&lt;=6,VARIABLES!$B$14,VARIABLES!$B$15))</f>
        <v>46000</v>
      </c>
      <c r="AF30" s="7">
        <f>IF(MOD($A30,12)=0,AC30*VARIABLES!$B$16,0)</f>
        <v>0</v>
      </c>
      <c r="AG30" s="7">
        <f>VARIABLES!$B$17</f>
        <v>5000</v>
      </c>
      <c r="AH30" s="7">
        <f>IF(MOD($A30,12)=0,VARIABLES!$B$18,0)</f>
        <v>0</v>
      </c>
      <c r="AI30" s="19">
        <f t="shared" si="5"/>
        <v>51000</v>
      </c>
      <c r="AJ30" s="20">
        <f>IF($A30&lt;VARIABLES!$B$7,VARIABLES!$B$9,0)</f>
        <v>10580.083333333334</v>
      </c>
      <c r="AK30" s="21">
        <f t="shared" si="6"/>
        <v>3042.4487292853755</v>
      </c>
      <c r="AL30" s="21">
        <f t="shared" si="7"/>
        <v>-661469.81961953698</v>
      </c>
      <c r="AM30" s="22">
        <f t="shared" si="8"/>
        <v>285662.25000000006</v>
      </c>
    </row>
    <row r="31" spans="1:39" x14ac:dyDescent="0.2">
      <c r="A31" s="23">
        <v>28</v>
      </c>
      <c r="B31" s="23" t="str">
        <f>TEXT(DATE(VARIABLES!$B$60+INT((VARIABLES!$B$61+A31-2)/12),MOD(VARIABLES!$B$61+A31-2,12)+1,1),"mmm-yy")</f>
        <v>Sept-28</v>
      </c>
      <c r="C31" s="24">
        <f>IF($A31&lt;VARIABLES!$B$7,VARIABLES!$B$5/12,VARIABLES!$B$6/12)</f>
        <v>3.3333333333333333E-2</v>
      </c>
      <c r="D31" s="25">
        <f>IF($A31&lt;VARIABLES!$B$21,0,IF($A31=VARIABLES!$B$21,VARIABLES!$B$22+VARIABLES!$B$23,VARIABLES!$B$23))</f>
        <v>200000</v>
      </c>
      <c r="E31" s="25">
        <f>D31*VARIABLES!$B$24</f>
        <v>1500</v>
      </c>
      <c r="F31" s="25">
        <f>IF($A31&lt;VARIABLES!$B$21,0,(IF($A31=VARIABLES!$B$21,0,G30)+D31)*C31*VARIABLES!$B$25)</f>
        <v>8021.7156970790938</v>
      </c>
      <c r="G31" s="25">
        <f>IF($A31&lt;VARIABLES!$B$21,0,(IF($A31=VARIABLES!$B$21,0,G30)+D31)*(1+C31)-F31)</f>
        <v>9938905.7486809976</v>
      </c>
      <c r="H31" s="25">
        <f>IF($A31&lt;VARIABLES!$B$28,0,IF($A31=VARIABLES!$B$28,VARIABLES!$B$29+VARIABLES!$B$30,VARIABLES!$B$30))</f>
        <v>40000</v>
      </c>
      <c r="I31" s="25">
        <f>H31*VARIABLES!$B$31</f>
        <v>300</v>
      </c>
      <c r="J31" s="25">
        <f>IF($A31&lt;VARIABLES!$B$28,0,(IF($A31=VARIABLES!$B$28,0,K30)+H31)*C31*VARIABLES!$B$32)</f>
        <v>5427.9511358673699</v>
      </c>
      <c r="K31" s="25">
        <f>IF($A31&lt;VARIABLES!$B$28,0,(IF($A31=VARIABLES!$B$28,0,K30)+H31)*(1+C31)-J31)</f>
        <v>1677236.9009830174</v>
      </c>
      <c r="L31" s="25">
        <f>IF($A31&lt;VARIABLES!$B$35,0,IF($A31=VARIABLES!$B$35,VARIABLES!$B$36+VARIABLES!$B$37,VARIABLES!$B$37))</f>
        <v>0</v>
      </c>
      <c r="M31" s="25">
        <f>L31*VARIABLES!$B$38</f>
        <v>0</v>
      </c>
      <c r="N31" s="25">
        <f>IF($A31&lt;VARIABLES!$B$35,0,(IF($A31=VARIABLES!$B$35,0,O30)+L31)*C31*VARIABLES!$B$39)</f>
        <v>35943.187792397446</v>
      </c>
      <c r="O31" s="25">
        <f>IF($A31&lt;VARIABLES!$B$35,0,(IF($A31=VARIABLES!$B$35,0,O30)+L31)*(1+C31)-N31)</f>
        <v>11106445.02785081</v>
      </c>
      <c r="P31" s="25">
        <f>IF($A31&lt;VARIABLES!$B$42,0,IF($A31=VARIABLES!$B$42,VARIABLES!$B$43+VARIABLES!$B$44,VARIABLES!$B$44))</f>
        <v>20000</v>
      </c>
      <c r="Q31" s="25">
        <f>P31*VARIABLES!$B$45</f>
        <v>150</v>
      </c>
      <c r="R31" s="25">
        <f>IF($A31&lt;VARIABLES!$B$42,0,(IF($A31=VARIABLES!$B$42,0,S30)+P31)*C31*VARIABLES!$B$46)</f>
        <v>703.35713576068702</v>
      </c>
      <c r="S31" s="25">
        <f>IF($A31&lt;VARIABLES!$B$42,0,(IF($A31=VARIABLES!$B$42,0,S30)+P31)*(1+C31)-R31)</f>
        <v>871459.49120749114</v>
      </c>
      <c r="T31" s="26">
        <f>IF($A31&lt;VARIABLES!$B$50,0,MIN(VARIABLES!$B$49,INT(($A31-VARIABLES!$B$50)/VARIABLES!$B$51)+1)*VARIABLES!$B$52)</f>
        <v>26</v>
      </c>
      <c r="U31" s="25">
        <f>T31*VARIABLES!$B$54+IF(AND($A31&gt;=VARIABLES!$B$50,MOD($A31-VARIABLES!$B$50,VARIABLES!$B$51)=0,INT(($A31-VARIABLES!$B$50)/VARIABLES!$B$51)&lt;VARIABLES!$B$49),VARIABLES!$B$52*VARIABLES!$B$53,0)</f>
        <v>180000</v>
      </c>
      <c r="V31" s="25">
        <f>U31*VARIABLES!$B$55</f>
        <v>1350</v>
      </c>
      <c r="W31" s="25">
        <f>IF($A31&lt;VARIABLES!$B$50,0,(IF($A31&lt;VARIABLES!$B$50+1,0,X30)+U31)*C31*VARIABLES!$B$56)</f>
        <v>14041.970108024256</v>
      </c>
      <c r="X31" s="25">
        <f>IF($A31&lt;VARIABLES!$B$50,0,(IF($A31&lt;VARIABLES!$B$50+1,0,X30)+U31)*(1+C31)-W31)</f>
        <v>4338968.7633794956</v>
      </c>
      <c r="Y31" s="25">
        <f t="shared" si="0"/>
        <v>440000</v>
      </c>
      <c r="Z31" s="25">
        <f t="shared" si="1"/>
        <v>3300</v>
      </c>
      <c r="AA31" s="25">
        <f t="shared" si="2"/>
        <v>64138.18186912885</v>
      </c>
      <c r="AB31" s="17">
        <f t="shared" si="3"/>
        <v>67438.18186912885</v>
      </c>
      <c r="AC31" s="18">
        <f t="shared" si="4"/>
        <v>27933015.932101812</v>
      </c>
      <c r="AD31" s="25">
        <f>IF($A31=1,VARIABLES!$B$12,0)</f>
        <v>0</v>
      </c>
      <c r="AE31" s="25">
        <f>IF($A31&lt;=3,VARIABLES!$B$13,IF($A31&lt;=6,VARIABLES!$B$14,VARIABLES!$B$15))</f>
        <v>46000</v>
      </c>
      <c r="AF31" s="25">
        <f>IF(MOD($A31,12)=0,AC31*VARIABLES!$B$16,0)</f>
        <v>0</v>
      </c>
      <c r="AG31" s="25">
        <f>VARIABLES!$B$17</f>
        <v>5000</v>
      </c>
      <c r="AH31" s="25">
        <f>IF(MOD($A31,12)=0,VARIABLES!$B$18,0)</f>
        <v>0</v>
      </c>
      <c r="AI31" s="19">
        <f t="shared" si="5"/>
        <v>51000</v>
      </c>
      <c r="AJ31" s="20">
        <f>IF($A31&lt;VARIABLES!$B$7,VARIABLES!$B$9,0)</f>
        <v>10580.083333333334</v>
      </c>
      <c r="AK31" s="27">
        <f t="shared" si="6"/>
        <v>5858.098535795516</v>
      </c>
      <c r="AL31" s="27">
        <f t="shared" si="7"/>
        <v>-655611.72108374152</v>
      </c>
      <c r="AM31" s="22">
        <f t="shared" si="8"/>
        <v>296242.33333333337</v>
      </c>
    </row>
    <row r="32" spans="1:39" x14ac:dyDescent="0.2">
      <c r="A32" s="14">
        <v>29</v>
      </c>
      <c r="B32" s="14" t="str">
        <f>TEXT(DATE(VARIABLES!$B$60+INT((VARIABLES!$B$61+A32-2)/12),MOD(VARIABLES!$B$61+A32-2,12)+1,1),"mmm-yy")</f>
        <v>Oct-28</v>
      </c>
      <c r="C32" s="15">
        <f>IF($A32&lt;VARIABLES!$B$7,VARIABLES!$B$5/12,VARIABLES!$B$6/12)</f>
        <v>3.3333333333333333E-2</v>
      </c>
      <c r="D32" s="7">
        <f>IF($A32&lt;VARIABLES!$B$21,0,IF($A32=VARIABLES!$B$21,VARIABLES!$B$22+VARIABLES!$B$23,VARIABLES!$B$23))</f>
        <v>200000</v>
      </c>
      <c r="E32" s="7">
        <f>D32*VARIABLES!$B$24</f>
        <v>1500</v>
      </c>
      <c r="F32" s="7">
        <f>IF($A32&lt;VARIABLES!$B$21,0,(IF($A32=VARIABLES!$B$21,0,G31)+D32)*C32*VARIABLES!$B$25)</f>
        <v>8449.0881239008322</v>
      </c>
      <c r="G32" s="7">
        <f>IF($A32&lt;VARIABLES!$B$21,0,(IF($A32=VARIABLES!$B$21,0,G31)+D32)*(1+C32)-F32)</f>
        <v>10468420.185513131</v>
      </c>
      <c r="H32" s="7">
        <f>IF($A32&lt;VARIABLES!$B$28,0,IF($A32=VARIABLES!$B$28,VARIABLES!$B$29+VARIABLES!$B$30,VARIABLES!$B$30))</f>
        <v>40000</v>
      </c>
      <c r="I32" s="7">
        <f>H32*VARIABLES!$B$31</f>
        <v>300</v>
      </c>
      <c r="J32" s="7">
        <f>IF($A32&lt;VARIABLES!$B$28,0,(IF($A32=VARIABLES!$B$28,0,K31)+H32)*C32*VARIABLES!$B$32)</f>
        <v>5724.1230032767253</v>
      </c>
      <c r="K32" s="7">
        <f>IF($A32&lt;VARIABLES!$B$28,0,(IF($A32=VARIABLES!$B$28,0,K31)+H32)*(1+C32)-J32)</f>
        <v>1768754.008012508</v>
      </c>
      <c r="L32" s="7">
        <f>IF($A32&lt;VARIABLES!$B$35,0,IF($A32=VARIABLES!$B$35,VARIABLES!$B$36+VARIABLES!$B$37,VARIABLES!$B$37))</f>
        <v>0</v>
      </c>
      <c r="M32" s="7">
        <f>L32*VARIABLES!$B$38</f>
        <v>0</v>
      </c>
      <c r="N32" s="7">
        <f>IF($A32&lt;VARIABLES!$B$35,0,(IF($A32=VARIABLES!$B$35,0,O31)+L32)*C32*VARIABLES!$B$39)</f>
        <v>37021.483426169369</v>
      </c>
      <c r="O32" s="7">
        <f>IF($A32&lt;VARIABLES!$B$35,0,(IF($A32=VARIABLES!$B$35,0,O31)+L32)*(1+C32)-N32)</f>
        <v>11439638.378686337</v>
      </c>
      <c r="P32" s="7">
        <f>IF($A32&lt;VARIABLES!$B$42,0,IF($A32=VARIABLES!$B$42,VARIABLES!$B$43+VARIABLES!$B$44,VARIABLES!$B$44))</f>
        <v>20000</v>
      </c>
      <c r="Q32" s="7">
        <f>P32*VARIABLES!$B$45</f>
        <v>150</v>
      </c>
      <c r="R32" s="7">
        <f>IF($A32&lt;VARIABLES!$B$42,0,(IF($A32=VARIABLES!$B$42,0,S31)+P32)*C32*VARIABLES!$B$46)</f>
        <v>742.88290933957603</v>
      </c>
      <c r="S32" s="7">
        <f>IF($A32&lt;VARIABLES!$B$42,0,(IF($A32=VARIABLES!$B$42,0,S31)+P32)*(1+C32)-R32)</f>
        <v>920431.92467173468</v>
      </c>
      <c r="T32" s="16">
        <f>IF($A32&lt;VARIABLES!$B$50,0,MIN(VARIABLES!$B$49,INT(($A32-VARIABLES!$B$50)/VARIABLES!$B$51)+1)*VARIABLES!$B$52)</f>
        <v>27</v>
      </c>
      <c r="U32" s="7">
        <f>T32*VARIABLES!$B$54+IF(AND($A32&gt;=VARIABLES!$B$50,MOD($A32-VARIABLES!$B$50,VARIABLES!$B$51)=0,INT(($A32-VARIABLES!$B$50)/VARIABLES!$B$51)&lt;VARIABLES!$B$49),VARIABLES!$B$52*VARIABLES!$B$53,0)</f>
        <v>185000</v>
      </c>
      <c r="V32" s="7">
        <f>U32*VARIABLES!$B$55</f>
        <v>1387.5</v>
      </c>
      <c r="W32" s="7">
        <f>IF($A32&lt;VARIABLES!$B$50,0,(IF($A32&lt;VARIABLES!$B$50+1,0,X31)+U32)*C32*VARIABLES!$B$56)</f>
        <v>15079.895877931653</v>
      </c>
      <c r="X32" s="7">
        <f>IF($A32&lt;VARIABLES!$B$50,0,(IF($A32&lt;VARIABLES!$B$50+1,0,X31)+U32)*(1+C32)-W32)</f>
        <v>4659687.8262808817</v>
      </c>
      <c r="Y32" s="7">
        <f t="shared" si="0"/>
        <v>445000</v>
      </c>
      <c r="Z32" s="7">
        <f t="shared" si="1"/>
        <v>3337.5</v>
      </c>
      <c r="AA32" s="7">
        <f t="shared" si="2"/>
        <v>67017.473340618162</v>
      </c>
      <c r="AB32" s="17">
        <f t="shared" si="3"/>
        <v>70354.973340618162</v>
      </c>
      <c r="AC32" s="18">
        <f t="shared" si="4"/>
        <v>29256932.32316459</v>
      </c>
      <c r="AD32" s="7">
        <f>IF($A32=1,VARIABLES!$B$12,0)</f>
        <v>0</v>
      </c>
      <c r="AE32" s="7">
        <f>IF($A32&lt;=3,VARIABLES!$B$13,IF($A32&lt;=6,VARIABLES!$B$14,VARIABLES!$B$15))</f>
        <v>46000</v>
      </c>
      <c r="AF32" s="7">
        <f>IF(MOD($A32,12)=0,AC32*VARIABLES!$B$16,0)</f>
        <v>0</v>
      </c>
      <c r="AG32" s="7">
        <f>VARIABLES!$B$17</f>
        <v>5000</v>
      </c>
      <c r="AH32" s="7">
        <f>IF(MOD($A32,12)=0,VARIABLES!$B$18,0)</f>
        <v>0</v>
      </c>
      <c r="AI32" s="19">
        <f t="shared" si="5"/>
        <v>51000</v>
      </c>
      <c r="AJ32" s="20">
        <f>IF($A32&lt;VARIABLES!$B$7,VARIABLES!$B$9,0)</f>
        <v>10580.083333333334</v>
      </c>
      <c r="AK32" s="21">
        <f t="shared" si="6"/>
        <v>8774.8900072848282</v>
      </c>
      <c r="AL32" s="21">
        <f t="shared" si="7"/>
        <v>-646836.8310764567</v>
      </c>
      <c r="AM32" s="22">
        <f t="shared" si="8"/>
        <v>306822.41666666669</v>
      </c>
    </row>
    <row r="33" spans="1:39" x14ac:dyDescent="0.2">
      <c r="A33" s="23">
        <v>30</v>
      </c>
      <c r="B33" s="23" t="str">
        <f>TEXT(DATE(VARIABLES!$B$60+INT((VARIABLES!$B$61+A33-2)/12),MOD(VARIABLES!$B$61+A33-2,12)+1,1),"mmm-yy")</f>
        <v>Nov-28</v>
      </c>
      <c r="C33" s="24">
        <f>IF($A33&lt;VARIABLES!$B$7,VARIABLES!$B$5/12,VARIABLES!$B$6/12)</f>
        <v>3.3333333333333333E-2</v>
      </c>
      <c r="D33" s="25">
        <f>IF($A33&lt;VARIABLES!$B$21,0,IF($A33=VARIABLES!$B$21,VARIABLES!$B$22+VARIABLES!$B$23,VARIABLES!$B$23))</f>
        <v>200000</v>
      </c>
      <c r="E33" s="25">
        <f>D33*VARIABLES!$B$24</f>
        <v>1500</v>
      </c>
      <c r="F33" s="25">
        <f>IF($A33&lt;VARIABLES!$B$21,0,(IF($A33=VARIABLES!$B$21,0,G32)+D33)*C33*VARIABLES!$B$25)</f>
        <v>8890.3501545942763</v>
      </c>
      <c r="G33" s="25">
        <f>IF($A33&lt;VARIABLES!$B$21,0,(IF($A33=VARIABLES!$B$21,0,G32)+D33)*(1+C33)-F33)</f>
        <v>11015143.841542309</v>
      </c>
      <c r="H33" s="25">
        <f>IF($A33&lt;VARIABLES!$B$28,0,IF($A33=VARIABLES!$B$28,VARIABLES!$B$29+VARIABLES!$B$30,VARIABLES!$B$30))</f>
        <v>40000</v>
      </c>
      <c r="I33" s="25">
        <f>H33*VARIABLES!$B$31</f>
        <v>300</v>
      </c>
      <c r="J33" s="25">
        <f>IF($A33&lt;VARIABLES!$B$28,0,(IF($A33=VARIABLES!$B$28,0,K32)+H33)*C33*VARIABLES!$B$32)</f>
        <v>6029.1800267083599</v>
      </c>
      <c r="K33" s="25">
        <f>IF($A33&lt;VARIABLES!$B$28,0,(IF($A33=VARIABLES!$B$28,0,K32)+H33)*(1+C33)-J33)</f>
        <v>1863016.6282528834</v>
      </c>
      <c r="L33" s="25">
        <f>IF($A33&lt;VARIABLES!$B$35,0,IF($A33=VARIABLES!$B$35,VARIABLES!$B$36+VARIABLES!$B$37,VARIABLES!$B$37))</f>
        <v>0</v>
      </c>
      <c r="M33" s="25">
        <f>L33*VARIABLES!$B$38</f>
        <v>0</v>
      </c>
      <c r="N33" s="25">
        <f>IF($A33&lt;VARIABLES!$B$35,0,(IF($A33=VARIABLES!$B$35,0,O32)+L33)*C33*VARIABLES!$B$39)</f>
        <v>38132.127928954455</v>
      </c>
      <c r="O33" s="25">
        <f>IF($A33&lt;VARIABLES!$B$35,0,(IF($A33=VARIABLES!$B$35,0,O32)+L33)*(1+C33)-N33)</f>
        <v>11782827.530046929</v>
      </c>
      <c r="P33" s="25">
        <f>IF($A33&lt;VARIABLES!$B$42,0,IF($A33=VARIABLES!$B$42,VARIABLES!$B$43+VARIABLES!$B$44,VARIABLES!$B$44))</f>
        <v>20000</v>
      </c>
      <c r="Q33" s="25">
        <f>P33*VARIABLES!$B$45</f>
        <v>150</v>
      </c>
      <c r="R33" s="25">
        <f>IF($A33&lt;VARIABLES!$B$42,0,(IF($A33=VARIABLES!$B$42,0,S32)+P33)*C33*VARIABLES!$B$46)</f>
        <v>783.69327055977897</v>
      </c>
      <c r="S33" s="25">
        <f>IF($A33&lt;VARIABLES!$B$42,0,(IF($A33=VARIABLES!$B$42,0,S32)+P33)*(1+C33)-R33)</f>
        <v>970995.96222356614</v>
      </c>
      <c r="T33" s="26">
        <f>IF($A33&lt;VARIABLES!$B$50,0,MIN(VARIABLES!$B$49,INT(($A33-VARIABLES!$B$50)/VARIABLES!$B$51)+1)*VARIABLES!$B$52)</f>
        <v>28</v>
      </c>
      <c r="U33" s="25">
        <f>T33*VARIABLES!$B$54+IF(AND($A33&gt;=VARIABLES!$B$50,MOD($A33-VARIABLES!$B$50,VARIABLES!$B$51)=0,INT(($A33-VARIABLES!$B$50)/VARIABLES!$B$51)&lt;VARIABLES!$B$49),VARIABLES!$B$52*VARIABLES!$B$53,0)</f>
        <v>190000</v>
      </c>
      <c r="V33" s="25">
        <f>U33*VARIABLES!$B$55</f>
        <v>1425</v>
      </c>
      <c r="W33" s="25">
        <f>IF($A33&lt;VARIABLES!$B$50,0,(IF($A33&lt;VARIABLES!$B$50+1,0,X32)+U33)*C33*VARIABLES!$B$56)</f>
        <v>16165.626087602939</v>
      </c>
      <c r="X33" s="25">
        <f>IF($A33&lt;VARIABLES!$B$50,0,(IF($A33&lt;VARIABLES!$B$50+1,0,X32)+U33)*(1+C33)-W33)</f>
        <v>4995178.4610693082</v>
      </c>
      <c r="Y33" s="25">
        <f t="shared" si="0"/>
        <v>450000</v>
      </c>
      <c r="Z33" s="25">
        <f t="shared" si="1"/>
        <v>3375</v>
      </c>
      <c r="AA33" s="25">
        <f t="shared" si="2"/>
        <v>70000.977468419806</v>
      </c>
      <c r="AB33" s="17">
        <f t="shared" si="3"/>
        <v>73375.977468419806</v>
      </c>
      <c r="AC33" s="18">
        <f t="shared" si="4"/>
        <v>30627162.423134997</v>
      </c>
      <c r="AD33" s="25">
        <f>IF($A33=1,VARIABLES!$B$12,0)</f>
        <v>0</v>
      </c>
      <c r="AE33" s="25">
        <f>IF($A33&lt;=3,VARIABLES!$B$13,IF($A33&lt;=6,VARIABLES!$B$14,VARIABLES!$B$15))</f>
        <v>46000</v>
      </c>
      <c r="AF33" s="25">
        <f>IF(MOD($A33,12)=0,AC33*VARIABLES!$B$16,0)</f>
        <v>0</v>
      </c>
      <c r="AG33" s="25">
        <f>VARIABLES!$B$17</f>
        <v>5000</v>
      </c>
      <c r="AH33" s="25">
        <f>IF(MOD($A33,12)=0,VARIABLES!$B$18,0)</f>
        <v>0</v>
      </c>
      <c r="AI33" s="19">
        <f t="shared" si="5"/>
        <v>51000</v>
      </c>
      <c r="AJ33" s="20">
        <f>IF($A33&lt;VARIABLES!$B$7,VARIABLES!$B$9,0)</f>
        <v>10580.083333333334</v>
      </c>
      <c r="AK33" s="27">
        <f t="shared" si="6"/>
        <v>11795.894135086472</v>
      </c>
      <c r="AL33" s="27">
        <f t="shared" si="7"/>
        <v>-635040.93694137025</v>
      </c>
      <c r="AM33" s="22">
        <f t="shared" si="8"/>
        <v>317402.5</v>
      </c>
    </row>
    <row r="34" spans="1:39" x14ac:dyDescent="0.2">
      <c r="A34" s="14">
        <v>31</v>
      </c>
      <c r="B34" s="14" t="str">
        <f>TEXT(DATE(VARIABLES!$B$60+INT((VARIABLES!$B$61+A34-2)/12),MOD(VARIABLES!$B$61+A34-2,12)+1,1),"mmm-yy")</f>
        <v>Dec-28</v>
      </c>
      <c r="C34" s="15">
        <f>IF($A34&lt;VARIABLES!$B$7,VARIABLES!$B$5/12,VARIABLES!$B$6/12)</f>
        <v>3.3333333333333333E-2</v>
      </c>
      <c r="D34" s="7">
        <f>IF($A34&lt;VARIABLES!$B$21,0,IF($A34=VARIABLES!$B$21,VARIABLES!$B$22+VARIABLES!$B$23,VARIABLES!$B$23))</f>
        <v>200000</v>
      </c>
      <c r="E34" s="7">
        <f>D34*VARIABLES!$B$24</f>
        <v>1500</v>
      </c>
      <c r="F34" s="7">
        <f>IF($A34&lt;VARIABLES!$B$21,0,(IF($A34=VARIABLES!$B$21,0,G33)+D34)*C34*VARIABLES!$B$25)</f>
        <v>9345.9532012852578</v>
      </c>
      <c r="G34" s="7">
        <f>IF($A34&lt;VARIABLES!$B$21,0,(IF($A34=VARIABLES!$B$21,0,G33)+D34)*(1+C34)-F34)</f>
        <v>11579636.016392436</v>
      </c>
      <c r="H34" s="7">
        <f>IF($A34&lt;VARIABLES!$B$28,0,IF($A34=VARIABLES!$B$28,VARIABLES!$B$29+VARIABLES!$B$30,VARIABLES!$B$30))</f>
        <v>40000</v>
      </c>
      <c r="I34" s="7">
        <f>H34*VARIABLES!$B$31</f>
        <v>300</v>
      </c>
      <c r="J34" s="7">
        <f>IF($A34&lt;VARIABLES!$B$28,0,(IF($A34=VARIABLES!$B$28,0,K33)+H34)*C34*VARIABLES!$B$32)</f>
        <v>6343.388760842945</v>
      </c>
      <c r="K34" s="7">
        <f>IF($A34&lt;VARIABLES!$B$28,0,(IF($A34=VARIABLES!$B$28,0,K33)+H34)*(1+C34)-J34)</f>
        <v>1960107.1271004702</v>
      </c>
      <c r="L34" s="7">
        <f>IF($A34&lt;VARIABLES!$B$35,0,IF($A34=VARIABLES!$B$35,VARIABLES!$B$36+VARIABLES!$B$37,VARIABLES!$B$37))</f>
        <v>0</v>
      </c>
      <c r="M34" s="7">
        <f>L34*VARIABLES!$B$38</f>
        <v>0</v>
      </c>
      <c r="N34" s="7">
        <f>IF($A34&lt;VARIABLES!$B$35,0,(IF($A34=VARIABLES!$B$35,0,O33)+L34)*C34*VARIABLES!$B$39)</f>
        <v>39276.091766823098</v>
      </c>
      <c r="O34" s="7">
        <f>IF($A34&lt;VARIABLES!$B$35,0,(IF($A34=VARIABLES!$B$35,0,O33)+L34)*(1+C34)-N34)</f>
        <v>12136312.355948338</v>
      </c>
      <c r="P34" s="7">
        <f>IF($A34&lt;VARIABLES!$B$42,0,IF($A34=VARIABLES!$B$42,VARIABLES!$B$43+VARIABLES!$B$44,VARIABLES!$B$44))</f>
        <v>20000</v>
      </c>
      <c r="Q34" s="7">
        <f>P34*VARIABLES!$B$45</f>
        <v>150</v>
      </c>
      <c r="R34" s="7">
        <f>IF($A34&lt;VARIABLES!$B$42,0,(IF($A34=VARIABLES!$B$42,0,S33)+P34)*C34*VARIABLES!$B$46)</f>
        <v>825.82996851963844</v>
      </c>
      <c r="S34" s="7">
        <f>IF($A34&lt;VARIABLES!$B$42,0,(IF($A34=VARIABLES!$B$42,0,S33)+P34)*(1+C34)-R34)</f>
        <v>1023203.3309958321</v>
      </c>
      <c r="T34" s="16">
        <f>IF($A34&lt;VARIABLES!$B$50,0,MIN(VARIABLES!$B$49,INT(($A34-VARIABLES!$B$50)/VARIABLES!$B$51)+1)*VARIABLES!$B$52)</f>
        <v>29</v>
      </c>
      <c r="U34" s="7">
        <f>T34*VARIABLES!$B$54+IF(AND($A34&gt;=VARIABLES!$B$50,MOD($A34-VARIABLES!$B$50,VARIABLES!$B$51)=0,INT(($A34-VARIABLES!$B$50)/VARIABLES!$B$51)&lt;VARIABLES!$B$49),VARIABLES!$B$52*VARIABLES!$B$53,0)</f>
        <v>195000</v>
      </c>
      <c r="V34" s="7">
        <f>U34*VARIABLES!$B$55</f>
        <v>1462.5</v>
      </c>
      <c r="W34" s="7">
        <f>IF($A34&lt;VARIABLES!$B$50,0,(IF($A34&lt;VARIABLES!$B$50+1,0,X33)+U34)*C34*VARIABLES!$B$56)</f>
        <v>17300.594870231027</v>
      </c>
      <c r="X34" s="7">
        <f>IF($A34&lt;VARIABLES!$B$50,0,(IF($A34&lt;VARIABLES!$B$50+1,0,X33)+U34)*(1+C34)-W34)</f>
        <v>5345883.8149013883</v>
      </c>
      <c r="Y34" s="7">
        <f t="shared" si="0"/>
        <v>455000</v>
      </c>
      <c r="Z34" s="7">
        <f t="shared" si="1"/>
        <v>3412.5</v>
      </c>
      <c r="AA34" s="7">
        <f t="shared" si="2"/>
        <v>73091.858567701973</v>
      </c>
      <c r="AB34" s="17">
        <f t="shared" si="3"/>
        <v>76504.358567701973</v>
      </c>
      <c r="AC34" s="18">
        <f t="shared" si="4"/>
        <v>32045142.645338465</v>
      </c>
      <c r="AD34" s="7">
        <f>IF($A34=1,VARIABLES!$B$12,0)</f>
        <v>0</v>
      </c>
      <c r="AE34" s="7">
        <f>IF($A34&lt;=3,VARIABLES!$B$13,IF($A34&lt;=6,VARIABLES!$B$14,VARIABLES!$B$15))</f>
        <v>46000</v>
      </c>
      <c r="AF34" s="7">
        <f>IF(MOD($A34,12)=0,AC34*VARIABLES!$B$16,0)</f>
        <v>0</v>
      </c>
      <c r="AG34" s="7">
        <f>VARIABLES!$B$17</f>
        <v>5000</v>
      </c>
      <c r="AH34" s="7">
        <f>IF(MOD($A34,12)=0,VARIABLES!$B$18,0)</f>
        <v>0</v>
      </c>
      <c r="AI34" s="19">
        <f t="shared" si="5"/>
        <v>51000</v>
      </c>
      <c r="AJ34" s="20">
        <f>IF($A34&lt;VARIABLES!$B$7,VARIABLES!$B$9,0)</f>
        <v>10580.083333333334</v>
      </c>
      <c r="AK34" s="21">
        <f t="shared" si="6"/>
        <v>14924.275234368639</v>
      </c>
      <c r="AL34" s="21">
        <f t="shared" si="7"/>
        <v>-620116.66170700162</v>
      </c>
      <c r="AM34" s="22">
        <f t="shared" si="8"/>
        <v>327982.58333333331</v>
      </c>
    </row>
    <row r="35" spans="1:39" x14ac:dyDescent="0.2">
      <c r="A35" s="23">
        <v>32</v>
      </c>
      <c r="B35" s="23" t="str">
        <f>TEXT(DATE(VARIABLES!$B$60+INT((VARIABLES!$B$61+A35-2)/12),MOD(VARIABLES!$B$61+A35-2,12)+1,1),"mmm-yy")</f>
        <v>Jan-29</v>
      </c>
      <c r="C35" s="24">
        <f>IF($A35&lt;VARIABLES!$B$7,VARIABLES!$B$5/12,VARIABLES!$B$6/12)</f>
        <v>3.3333333333333333E-2</v>
      </c>
      <c r="D35" s="25">
        <f>IF($A35&lt;VARIABLES!$B$21,0,IF($A35=VARIABLES!$B$21,VARIABLES!$B$22+VARIABLES!$B$23,VARIABLES!$B$23))</f>
        <v>200000</v>
      </c>
      <c r="E35" s="25">
        <f>D35*VARIABLES!$B$24</f>
        <v>1500</v>
      </c>
      <c r="F35" s="25">
        <f>IF($A35&lt;VARIABLES!$B$21,0,(IF($A35=VARIABLES!$B$21,0,G34)+D35)*C35*VARIABLES!$B$25)</f>
        <v>9816.3633469936958</v>
      </c>
      <c r="G35" s="25">
        <f>IF($A35&lt;VARIABLES!$B$21,0,(IF($A35=VARIABLES!$B$21,0,G34)+D35)*(1+C35)-F35)</f>
        <v>12162474.186925191</v>
      </c>
      <c r="H35" s="25">
        <f>IF($A35&lt;VARIABLES!$B$28,0,IF($A35=VARIABLES!$B$28,VARIABLES!$B$29+VARIABLES!$B$30,VARIABLES!$B$30))</f>
        <v>40000</v>
      </c>
      <c r="I35" s="25">
        <f>H35*VARIABLES!$B$31</f>
        <v>300</v>
      </c>
      <c r="J35" s="25">
        <f>IF($A35&lt;VARIABLES!$B$28,0,(IF($A35=VARIABLES!$B$28,0,K34)+H35)*C35*VARIABLES!$B$32)</f>
        <v>6667.023757001567</v>
      </c>
      <c r="K35" s="25">
        <f>IF($A35&lt;VARIABLES!$B$28,0,(IF($A35=VARIABLES!$B$28,0,K34)+H35)*(1+C35)-J35)</f>
        <v>2060110.3409134846</v>
      </c>
      <c r="L35" s="25">
        <f>IF($A35&lt;VARIABLES!$B$35,0,IF($A35=VARIABLES!$B$35,VARIABLES!$B$36+VARIABLES!$B$37,VARIABLES!$B$37))</f>
        <v>0</v>
      </c>
      <c r="M35" s="25">
        <f>L35*VARIABLES!$B$38</f>
        <v>0</v>
      </c>
      <c r="N35" s="25">
        <f>IF($A35&lt;VARIABLES!$B$35,0,(IF($A35=VARIABLES!$B$35,0,O34)+L35)*C35*VARIABLES!$B$39)</f>
        <v>40454.374519827797</v>
      </c>
      <c r="O35" s="25">
        <f>IF($A35&lt;VARIABLES!$B$35,0,(IF($A35=VARIABLES!$B$35,0,O34)+L35)*(1+C35)-N35)</f>
        <v>12500401.726626789</v>
      </c>
      <c r="P35" s="25">
        <f>IF($A35&lt;VARIABLES!$B$42,0,IF($A35=VARIABLES!$B$42,VARIABLES!$B$43+VARIABLES!$B$44,VARIABLES!$B$44))</f>
        <v>20000</v>
      </c>
      <c r="Q35" s="25">
        <f>P35*VARIABLES!$B$45</f>
        <v>150</v>
      </c>
      <c r="R35" s="25">
        <f>IF($A35&lt;VARIABLES!$B$42,0,(IF($A35=VARIABLES!$B$42,0,S34)+P35)*C35*VARIABLES!$B$46)</f>
        <v>869.33610916319344</v>
      </c>
      <c r="S35" s="25">
        <f>IF($A35&lt;VARIABLES!$B$42,0,(IF($A35=VARIABLES!$B$42,0,S34)+P35)*(1+C35)-R35)</f>
        <v>1077107.4392531968</v>
      </c>
      <c r="T35" s="26">
        <f>IF($A35&lt;VARIABLES!$B$50,0,MIN(VARIABLES!$B$49,INT(($A35-VARIABLES!$B$50)/VARIABLES!$B$51)+1)*VARIABLES!$B$52)</f>
        <v>30</v>
      </c>
      <c r="U35" s="25">
        <f>T35*VARIABLES!$B$54+IF(AND($A35&gt;=VARIABLES!$B$50,MOD($A35-VARIABLES!$B$50,VARIABLES!$B$51)=0,INT(($A35-VARIABLES!$B$50)/VARIABLES!$B$51)&lt;VARIABLES!$B$49),VARIABLES!$B$52*VARIABLES!$B$53,0)</f>
        <v>200000</v>
      </c>
      <c r="V35" s="25">
        <f>U35*VARIABLES!$B$55</f>
        <v>1500</v>
      </c>
      <c r="W35" s="25">
        <f>IF($A35&lt;VARIABLES!$B$50,0,(IF($A35&lt;VARIABLES!$B$50+1,0,X34)+U35)*C35*VARIABLES!$B$56)</f>
        <v>18486.279383004628</v>
      </c>
      <c r="X35" s="25">
        <f>IF($A35&lt;VARIABLES!$B$50,0,(IF($A35&lt;VARIABLES!$B$50+1,0,X34)+U35)*(1+C35)-W35)</f>
        <v>5712260.32934843</v>
      </c>
      <c r="Y35" s="25">
        <f t="shared" si="0"/>
        <v>460000</v>
      </c>
      <c r="Z35" s="25">
        <f t="shared" si="1"/>
        <v>3450</v>
      </c>
      <c r="AA35" s="25">
        <f t="shared" si="2"/>
        <v>76293.377115990879</v>
      </c>
      <c r="AB35" s="17">
        <f t="shared" si="3"/>
        <v>79743.377115990879</v>
      </c>
      <c r="AC35" s="18">
        <f t="shared" si="4"/>
        <v>33512354.023067091</v>
      </c>
      <c r="AD35" s="25">
        <f>IF($A35=1,VARIABLES!$B$12,0)</f>
        <v>0</v>
      </c>
      <c r="AE35" s="25">
        <f>IF($A35&lt;=3,VARIABLES!$B$13,IF($A35&lt;=6,VARIABLES!$B$14,VARIABLES!$B$15))</f>
        <v>46000</v>
      </c>
      <c r="AF35" s="25">
        <f>IF(MOD($A35,12)=0,AC35*VARIABLES!$B$16,0)</f>
        <v>0</v>
      </c>
      <c r="AG35" s="25">
        <f>VARIABLES!$B$17</f>
        <v>5000</v>
      </c>
      <c r="AH35" s="25">
        <f>IF(MOD($A35,12)=0,VARIABLES!$B$18,0)</f>
        <v>0</v>
      </c>
      <c r="AI35" s="19">
        <f t="shared" si="5"/>
        <v>51000</v>
      </c>
      <c r="AJ35" s="20">
        <f>IF($A35&lt;VARIABLES!$B$7,VARIABLES!$B$9,0)</f>
        <v>10580.083333333334</v>
      </c>
      <c r="AK35" s="27">
        <f t="shared" si="6"/>
        <v>18163.293782657543</v>
      </c>
      <c r="AL35" s="27">
        <f t="shared" si="7"/>
        <v>-601953.36792434403</v>
      </c>
      <c r="AM35" s="22">
        <f t="shared" si="8"/>
        <v>338562.66666666663</v>
      </c>
    </row>
    <row r="36" spans="1:39" x14ac:dyDescent="0.2">
      <c r="A36" s="14">
        <v>33</v>
      </c>
      <c r="B36" s="14" t="str">
        <f>TEXT(DATE(VARIABLES!$B$60+INT((VARIABLES!$B$61+A36-2)/12),MOD(VARIABLES!$B$61+A36-2,12)+1,1),"mmm-yy")</f>
        <v>Feb-29</v>
      </c>
      <c r="C36" s="15">
        <f>IF($A36&lt;VARIABLES!$B$7,VARIABLES!$B$5/12,VARIABLES!$B$6/12)</f>
        <v>3.3333333333333333E-2</v>
      </c>
      <c r="D36" s="7">
        <f>IF($A36&lt;VARIABLES!$B$21,0,IF($A36=VARIABLES!$B$21,VARIABLES!$B$22+VARIABLES!$B$23,VARIABLES!$B$23))</f>
        <v>200000</v>
      </c>
      <c r="E36" s="7">
        <f>D36*VARIABLES!$B$24</f>
        <v>1500</v>
      </c>
      <c r="F36" s="7">
        <f>IF($A36&lt;VARIABLES!$B$21,0,(IF($A36=VARIABLES!$B$21,0,G35)+D36)*C36*VARIABLES!$B$25)</f>
        <v>10302.061822437659</v>
      </c>
      <c r="G36" s="7">
        <f>IF($A36&lt;VARIABLES!$B$21,0,(IF($A36=VARIABLES!$B$21,0,G35)+D36)*(1+C36)-F36)</f>
        <v>12764254.598000262</v>
      </c>
      <c r="H36" s="7">
        <f>IF($A36&lt;VARIABLES!$B$28,0,IF($A36=VARIABLES!$B$28,VARIABLES!$B$29+VARIABLES!$B$30,VARIABLES!$B$30))</f>
        <v>40000</v>
      </c>
      <c r="I36" s="7">
        <f>H36*VARIABLES!$B$31</f>
        <v>300</v>
      </c>
      <c r="J36" s="7">
        <f>IF($A36&lt;VARIABLES!$B$28,0,(IF($A36=VARIABLES!$B$28,0,K35)+H36)*C36*VARIABLES!$B$32)</f>
        <v>7000.3678030449491</v>
      </c>
      <c r="K36" s="7">
        <f>IF($A36&lt;VARIABLES!$B$28,0,(IF($A36=VARIABLES!$B$28,0,K35)+H36)*(1+C36)-J36)</f>
        <v>2163113.6511408896</v>
      </c>
      <c r="L36" s="7">
        <f>IF($A36&lt;VARIABLES!$B$35,0,IF($A36=VARIABLES!$B$35,VARIABLES!$B$36+VARIABLES!$B$37,VARIABLES!$B$37))</f>
        <v>0</v>
      </c>
      <c r="M36" s="7">
        <f>L36*VARIABLES!$B$38</f>
        <v>0</v>
      </c>
      <c r="N36" s="7">
        <f>IF($A36&lt;VARIABLES!$B$35,0,(IF($A36=VARIABLES!$B$35,0,O35)+L36)*C36*VARIABLES!$B$39)</f>
        <v>41668.005755422637</v>
      </c>
      <c r="O36" s="7">
        <f>IF($A36&lt;VARIABLES!$B$35,0,(IF($A36=VARIABLES!$B$35,0,O35)+L36)*(1+C36)-N36)</f>
        <v>12875413.778425595</v>
      </c>
      <c r="P36" s="7">
        <f>IF($A36&lt;VARIABLES!$B$42,0,IF($A36=VARIABLES!$B$42,VARIABLES!$B$43+VARIABLES!$B$44,VARIABLES!$B$44))</f>
        <v>20000</v>
      </c>
      <c r="Q36" s="7">
        <f>P36*VARIABLES!$B$45</f>
        <v>150</v>
      </c>
      <c r="R36" s="7">
        <f>IF($A36&lt;VARIABLES!$B$42,0,(IF($A36=VARIABLES!$B$42,0,S35)+P36)*C36*VARIABLES!$B$46)</f>
        <v>914.25619937766407</v>
      </c>
      <c r="S36" s="7">
        <f>IF($A36&lt;VARIABLES!$B$42,0,(IF($A36=VARIABLES!$B$42,0,S35)+P36)*(1+C36)-R36)</f>
        <v>1132763.4310289258</v>
      </c>
      <c r="T36" s="16">
        <f>IF($A36&lt;VARIABLES!$B$50,0,MIN(VARIABLES!$B$49,INT(($A36-VARIABLES!$B$50)/VARIABLES!$B$51)+1)*VARIABLES!$B$52)</f>
        <v>31</v>
      </c>
      <c r="U36" s="7">
        <f>T36*VARIABLES!$B$54+IF(AND($A36&gt;=VARIABLES!$B$50,MOD($A36-VARIABLES!$B$50,VARIABLES!$B$51)=0,INT(($A36-VARIABLES!$B$50)/VARIABLES!$B$51)&lt;VARIABLES!$B$49),VARIABLES!$B$52*VARIABLES!$B$53,0)</f>
        <v>205000</v>
      </c>
      <c r="V36" s="7">
        <f>U36*VARIABLES!$B$55</f>
        <v>1537.5</v>
      </c>
      <c r="W36" s="7">
        <f>IF($A36&lt;VARIABLES!$B$50,0,(IF($A36&lt;VARIABLES!$B$50+1,0,X35)+U36)*C36*VARIABLES!$B$56)</f>
        <v>19724.201097828103</v>
      </c>
      <c r="X36" s="7">
        <f>IF($A36&lt;VARIABLES!$B$50,0,(IF($A36&lt;VARIABLES!$B$50+1,0,X35)+U36)*(1+C36)-W36)</f>
        <v>6094778.1392288832</v>
      </c>
      <c r="Y36" s="7">
        <f t="shared" si="0"/>
        <v>465000</v>
      </c>
      <c r="Z36" s="7">
        <f t="shared" si="1"/>
        <v>3487.5</v>
      </c>
      <c r="AA36" s="7">
        <f t="shared" si="2"/>
        <v>79608.892678111006</v>
      </c>
      <c r="AB36" s="17">
        <f t="shared" si="3"/>
        <v>83096.392678111006</v>
      </c>
      <c r="AC36" s="18">
        <f t="shared" si="4"/>
        <v>35030323.597824551</v>
      </c>
      <c r="AD36" s="7">
        <f>IF($A36=1,VARIABLES!$B$12,0)</f>
        <v>0</v>
      </c>
      <c r="AE36" s="7">
        <f>IF($A36&lt;=3,VARIABLES!$B$13,IF($A36&lt;=6,VARIABLES!$B$14,VARIABLES!$B$15))</f>
        <v>46000</v>
      </c>
      <c r="AF36" s="7">
        <f>IF(MOD($A36,12)=0,AC36*VARIABLES!$B$16,0)</f>
        <v>0</v>
      </c>
      <c r="AG36" s="7">
        <f>VARIABLES!$B$17</f>
        <v>5000</v>
      </c>
      <c r="AH36" s="7">
        <f>IF(MOD($A36,12)=0,VARIABLES!$B$18,0)</f>
        <v>0</v>
      </c>
      <c r="AI36" s="19">
        <f t="shared" si="5"/>
        <v>51000</v>
      </c>
      <c r="AJ36" s="20">
        <f>IF($A36&lt;VARIABLES!$B$7,VARIABLES!$B$9,0)</f>
        <v>10580.083333333334</v>
      </c>
      <c r="AK36" s="21">
        <f t="shared" si="6"/>
        <v>21516.30934477767</v>
      </c>
      <c r="AL36" s="21">
        <f t="shared" si="7"/>
        <v>-580437.05857956631</v>
      </c>
      <c r="AM36" s="22">
        <f t="shared" si="8"/>
        <v>349142.74999999994</v>
      </c>
    </row>
    <row r="37" spans="1:39" x14ac:dyDescent="0.2">
      <c r="A37" s="23">
        <v>34</v>
      </c>
      <c r="B37" s="23" t="str">
        <f>TEXT(DATE(VARIABLES!$B$60+INT((VARIABLES!$B$61+A37-2)/12),MOD(VARIABLES!$B$61+A37-2,12)+1,1),"mmm-yy")</f>
        <v>Mar-29</v>
      </c>
      <c r="C37" s="24">
        <f>IF($A37&lt;VARIABLES!$B$7,VARIABLES!$B$5/12,VARIABLES!$B$6/12)</f>
        <v>3.3333333333333333E-2</v>
      </c>
      <c r="D37" s="25">
        <f>IF($A37&lt;VARIABLES!$B$21,0,IF($A37=VARIABLES!$B$21,VARIABLES!$B$22+VARIABLES!$B$23,VARIABLES!$B$23))</f>
        <v>200000</v>
      </c>
      <c r="E37" s="25">
        <f>D37*VARIABLES!$B$24</f>
        <v>1500</v>
      </c>
      <c r="F37" s="25">
        <f>IF($A37&lt;VARIABLES!$B$21,0,(IF($A37=VARIABLES!$B$21,0,G36)+D37)*C37*VARIABLES!$B$25)</f>
        <v>10803.545498333551</v>
      </c>
      <c r="G37" s="25">
        <f>IF($A37&lt;VARIABLES!$B$21,0,(IF($A37=VARIABLES!$B$21,0,G36)+D37)*(1+C37)-F37)</f>
        <v>13385592.872435272</v>
      </c>
      <c r="H37" s="25">
        <f>IF($A37&lt;VARIABLES!$B$28,0,IF($A37=VARIABLES!$B$28,VARIABLES!$B$29+VARIABLES!$B$30,VARIABLES!$B$30))</f>
        <v>40000</v>
      </c>
      <c r="I37" s="25">
        <f>H37*VARIABLES!$B$31</f>
        <v>300</v>
      </c>
      <c r="J37" s="25">
        <f>IF($A37&lt;VARIABLES!$B$28,0,(IF($A37=VARIABLES!$B$28,0,K36)+H37)*C37*VARIABLES!$B$32)</f>
        <v>7343.7121704696319</v>
      </c>
      <c r="K37" s="25">
        <f>IF($A37&lt;VARIABLES!$B$28,0,(IF($A37=VARIABLES!$B$28,0,K36)+H37)*(1+C37)-J37)</f>
        <v>2269207.0606751167</v>
      </c>
      <c r="L37" s="25">
        <f>IF($A37&lt;VARIABLES!$B$35,0,IF($A37=VARIABLES!$B$35,VARIABLES!$B$36+VARIABLES!$B$37,VARIABLES!$B$37))</f>
        <v>0</v>
      </c>
      <c r="M37" s="25">
        <f>L37*VARIABLES!$B$38</f>
        <v>0</v>
      </c>
      <c r="N37" s="25">
        <f>IF($A37&lt;VARIABLES!$B$35,0,(IF($A37=VARIABLES!$B$35,0,O36)+L37)*C37*VARIABLES!$B$39)</f>
        <v>42918.045928085317</v>
      </c>
      <c r="O37" s="25">
        <f>IF($A37&lt;VARIABLES!$B$35,0,(IF($A37=VARIABLES!$B$35,0,O36)+L37)*(1+C37)-N37)</f>
        <v>13261676.191778364</v>
      </c>
      <c r="P37" s="25">
        <f>IF($A37&lt;VARIABLES!$B$42,0,IF($A37=VARIABLES!$B$42,VARIABLES!$B$43+VARIABLES!$B$44,VARIABLES!$B$44))</f>
        <v>20000</v>
      </c>
      <c r="Q37" s="25">
        <f>P37*VARIABLES!$B$45</f>
        <v>150</v>
      </c>
      <c r="R37" s="25">
        <f>IF($A37&lt;VARIABLES!$B$42,0,(IF($A37=VARIABLES!$B$42,0,S36)+P37)*C37*VARIABLES!$B$46)</f>
        <v>960.6361925241049</v>
      </c>
      <c r="S37" s="25">
        <f>IF($A37&lt;VARIABLES!$B$42,0,(IF($A37=VARIABLES!$B$42,0,S36)+P37)*(1+C37)-R37)</f>
        <v>1190228.242537366</v>
      </c>
      <c r="T37" s="26">
        <f>IF($A37&lt;VARIABLES!$B$50,0,MIN(VARIABLES!$B$49,INT(($A37-VARIABLES!$B$50)/VARIABLES!$B$51)+1)*VARIABLES!$B$52)</f>
        <v>32</v>
      </c>
      <c r="U37" s="25">
        <f>T37*VARIABLES!$B$54+IF(AND($A37&gt;=VARIABLES!$B$50,MOD($A37-VARIABLES!$B$50,VARIABLES!$B$51)=0,INT(($A37-VARIABLES!$B$50)/VARIABLES!$B$51)&lt;VARIABLES!$B$49),VARIABLES!$B$52*VARIABLES!$B$53,0)</f>
        <v>210000</v>
      </c>
      <c r="V37" s="25">
        <f>U37*VARIABLES!$B$55</f>
        <v>1575</v>
      </c>
      <c r="W37" s="25">
        <f>IF($A37&lt;VARIABLES!$B$50,0,(IF($A37&lt;VARIABLES!$B$50+1,0,X36)+U37)*C37*VARIABLES!$B$56)</f>
        <v>21015.927130762946</v>
      </c>
      <c r="X37" s="25">
        <f>IF($A37&lt;VARIABLES!$B$50,0,(IF($A37&lt;VARIABLES!$B$50+1,0,X36)+U37)*(1+C37)-W37)</f>
        <v>6493921.4834057512</v>
      </c>
      <c r="Y37" s="25">
        <f t="shared" si="0"/>
        <v>470000</v>
      </c>
      <c r="Z37" s="25">
        <f t="shared" si="1"/>
        <v>3525</v>
      </c>
      <c r="AA37" s="25">
        <f t="shared" si="2"/>
        <v>83041.866920175555</v>
      </c>
      <c r="AB37" s="17">
        <f t="shared" si="3"/>
        <v>86566.866920175555</v>
      </c>
      <c r="AC37" s="18">
        <f t="shared" si="4"/>
        <v>36600625.850831866</v>
      </c>
      <c r="AD37" s="25">
        <f>IF($A37=1,VARIABLES!$B$12,0)</f>
        <v>0</v>
      </c>
      <c r="AE37" s="25">
        <f>IF($A37&lt;=3,VARIABLES!$B$13,IF($A37&lt;=6,VARIABLES!$B$14,VARIABLES!$B$15))</f>
        <v>46000</v>
      </c>
      <c r="AF37" s="25">
        <f>IF(MOD($A37,12)=0,AC37*VARIABLES!$B$16,0)</f>
        <v>0</v>
      </c>
      <c r="AG37" s="25">
        <f>VARIABLES!$B$17</f>
        <v>5000</v>
      </c>
      <c r="AH37" s="25">
        <f>IF(MOD($A37,12)=0,VARIABLES!$B$18,0)</f>
        <v>0</v>
      </c>
      <c r="AI37" s="19">
        <f t="shared" si="5"/>
        <v>51000</v>
      </c>
      <c r="AJ37" s="20">
        <f>IF($A37&lt;VARIABLES!$B$7,VARIABLES!$B$9,0)</f>
        <v>10580.083333333334</v>
      </c>
      <c r="AK37" s="27">
        <f t="shared" si="6"/>
        <v>24986.783586842219</v>
      </c>
      <c r="AL37" s="27">
        <f t="shared" si="7"/>
        <v>-555450.27499272407</v>
      </c>
      <c r="AM37" s="22">
        <f t="shared" si="8"/>
        <v>359722.83333333326</v>
      </c>
    </row>
    <row r="38" spans="1:39" x14ac:dyDescent="0.2">
      <c r="A38" s="14">
        <v>35</v>
      </c>
      <c r="B38" s="14" t="str">
        <f>TEXT(DATE(VARIABLES!$B$60+INT((VARIABLES!$B$61+A38-2)/12),MOD(VARIABLES!$B$61+A38-2,12)+1,1),"mmm-yy")</f>
        <v>Apr-29</v>
      </c>
      <c r="C38" s="15">
        <f>IF($A38&lt;VARIABLES!$B$7,VARIABLES!$B$5/12,VARIABLES!$B$6/12)</f>
        <v>3.3333333333333333E-2</v>
      </c>
      <c r="D38" s="7">
        <f>IF($A38&lt;VARIABLES!$B$21,0,IF($A38=VARIABLES!$B$21,VARIABLES!$B$22+VARIABLES!$B$23,VARIABLES!$B$23))</f>
        <v>200000</v>
      </c>
      <c r="E38" s="7">
        <f>D38*VARIABLES!$B$24</f>
        <v>1500</v>
      </c>
      <c r="F38" s="7">
        <f>IF($A38&lt;VARIABLES!$B$21,0,(IF($A38=VARIABLES!$B$21,0,G37)+D38)*C38*VARIABLES!$B$25)</f>
        <v>11321.327393696061</v>
      </c>
      <c r="G38" s="7">
        <f>IF($A38&lt;VARIABLES!$B$21,0,(IF($A38=VARIABLES!$B$21,0,G37)+D38)*(1+C38)-F38)</f>
        <v>14027124.640789419</v>
      </c>
      <c r="H38" s="7">
        <f>IF($A38&lt;VARIABLES!$B$28,0,IF($A38=VARIABLES!$B$28,VARIABLES!$B$29+VARIABLES!$B$30,VARIABLES!$B$30))</f>
        <v>40000</v>
      </c>
      <c r="I38" s="7">
        <f>H38*VARIABLES!$B$31</f>
        <v>300</v>
      </c>
      <c r="J38" s="7">
        <f>IF($A38&lt;VARIABLES!$B$28,0,(IF($A38=VARIABLES!$B$28,0,K37)+H38)*C38*VARIABLES!$B$32)</f>
        <v>7697.3568689170561</v>
      </c>
      <c r="K38" s="7">
        <f>IF($A38&lt;VARIABLES!$B$28,0,(IF($A38=VARIABLES!$B$28,0,K37)+H38)*(1+C38)-J38)</f>
        <v>2378483.2724953704</v>
      </c>
      <c r="L38" s="7">
        <f>IF($A38&lt;VARIABLES!$B$35,0,IF($A38=VARIABLES!$B$35,VARIABLES!$B$36+VARIABLES!$B$37,VARIABLES!$B$37))</f>
        <v>0</v>
      </c>
      <c r="M38" s="7">
        <f>L38*VARIABLES!$B$38</f>
        <v>0</v>
      </c>
      <c r="N38" s="7">
        <f>IF($A38&lt;VARIABLES!$B$35,0,(IF($A38=VARIABLES!$B$35,0,O37)+L38)*C38*VARIABLES!$B$39)</f>
        <v>44205.587305927882</v>
      </c>
      <c r="O38" s="7">
        <f>IF($A38&lt;VARIABLES!$B$35,0,(IF($A38=VARIABLES!$B$35,0,O37)+L38)*(1+C38)-N38)</f>
        <v>13659526.477531716</v>
      </c>
      <c r="P38" s="7">
        <f>IF($A38&lt;VARIABLES!$B$42,0,IF($A38=VARIABLES!$B$42,VARIABLES!$B$43+VARIABLES!$B$44,VARIABLES!$B$44))</f>
        <v>20000</v>
      </c>
      <c r="Q38" s="7">
        <f>P38*VARIABLES!$B$45</f>
        <v>150</v>
      </c>
      <c r="R38" s="7">
        <f>IF($A38&lt;VARIABLES!$B$42,0,(IF($A38=VARIABLES!$B$42,0,S37)+P38)*C38*VARIABLES!$B$46)</f>
        <v>1008.523535447805</v>
      </c>
      <c r="S38" s="7">
        <f>IF($A38&lt;VARIABLES!$B$42,0,(IF($A38=VARIABLES!$B$42,0,S37)+P38)*(1+C38)-R38)</f>
        <v>1249560.6604198304</v>
      </c>
      <c r="T38" s="16">
        <f>IF($A38&lt;VARIABLES!$B$50,0,MIN(VARIABLES!$B$49,INT(($A38-VARIABLES!$B$50)/VARIABLES!$B$51)+1)*VARIABLES!$B$52)</f>
        <v>33</v>
      </c>
      <c r="U38" s="7">
        <f>T38*VARIABLES!$B$54+IF(AND($A38&gt;=VARIABLES!$B$50,MOD($A38-VARIABLES!$B$50,VARIABLES!$B$51)=0,INT(($A38-VARIABLES!$B$50)/VARIABLES!$B$51)&lt;VARIABLES!$B$49),VARIABLES!$B$52*VARIABLES!$B$53,0)</f>
        <v>215000</v>
      </c>
      <c r="V38" s="7">
        <f>U38*VARIABLES!$B$55</f>
        <v>1612.5</v>
      </c>
      <c r="W38" s="7">
        <f>IF($A38&lt;VARIABLES!$B$50,0,(IF($A38&lt;VARIABLES!$B$50+1,0,X37)+U38)*C38*VARIABLES!$B$56)</f>
        <v>22363.071611352505</v>
      </c>
      <c r="X38" s="7">
        <f>IF($A38&lt;VARIABLES!$B$50,0,(IF($A38&lt;VARIABLES!$B$50+1,0,X37)+U38)*(1+C38)-W38)</f>
        <v>6910189.1279079244</v>
      </c>
      <c r="Y38" s="7">
        <f t="shared" si="0"/>
        <v>475000</v>
      </c>
      <c r="Z38" s="7">
        <f t="shared" si="1"/>
        <v>3562.5</v>
      </c>
      <c r="AA38" s="7">
        <f t="shared" si="2"/>
        <v>86595.866715341312</v>
      </c>
      <c r="AB38" s="17">
        <f t="shared" si="3"/>
        <v>90158.366715341312</v>
      </c>
      <c r="AC38" s="18">
        <f t="shared" si="4"/>
        <v>38224884.179144263</v>
      </c>
      <c r="AD38" s="7">
        <f>IF($A38=1,VARIABLES!$B$12,0)</f>
        <v>0</v>
      </c>
      <c r="AE38" s="7">
        <f>IF($A38&lt;=3,VARIABLES!$B$13,IF($A38&lt;=6,VARIABLES!$B$14,VARIABLES!$B$15))</f>
        <v>46000</v>
      </c>
      <c r="AF38" s="7">
        <f>IF(MOD($A38,12)=0,AC38*VARIABLES!$B$16,0)</f>
        <v>0</v>
      </c>
      <c r="AG38" s="7">
        <f>VARIABLES!$B$17</f>
        <v>5000</v>
      </c>
      <c r="AH38" s="7">
        <f>IF(MOD($A38,12)=0,VARIABLES!$B$18,0)</f>
        <v>0</v>
      </c>
      <c r="AI38" s="19">
        <f t="shared" si="5"/>
        <v>51000</v>
      </c>
      <c r="AJ38" s="20">
        <f>IF($A38&lt;VARIABLES!$B$7,VARIABLES!$B$9,0)</f>
        <v>10580.083333333334</v>
      </c>
      <c r="AK38" s="21">
        <f t="shared" si="6"/>
        <v>28578.283382007976</v>
      </c>
      <c r="AL38" s="21">
        <f t="shared" si="7"/>
        <v>-526871.9916107161</v>
      </c>
      <c r="AM38" s="22">
        <f t="shared" si="8"/>
        <v>370302.91666666657</v>
      </c>
    </row>
    <row r="39" spans="1:39" x14ac:dyDescent="0.2">
      <c r="A39" s="23">
        <v>36</v>
      </c>
      <c r="B39" s="23" t="str">
        <f>TEXT(DATE(VARIABLES!$B$60+INT((VARIABLES!$B$61+A39-2)/12),MOD(VARIABLES!$B$61+A39-2,12)+1,1),"mmm-yy")</f>
        <v>May-29</v>
      </c>
      <c r="C39" s="24">
        <f>IF($A39&lt;VARIABLES!$B$7,VARIABLES!$B$5/12,VARIABLES!$B$6/12)</f>
        <v>3.3333333333333333E-2</v>
      </c>
      <c r="D39" s="25">
        <f>IF($A39&lt;VARIABLES!$B$21,0,IF($A39=VARIABLES!$B$21,VARIABLES!$B$22+VARIABLES!$B$23,VARIABLES!$B$23))</f>
        <v>200000</v>
      </c>
      <c r="E39" s="25">
        <f>D39*VARIABLES!$B$24</f>
        <v>1500</v>
      </c>
      <c r="F39" s="25">
        <f>IF($A39&lt;VARIABLES!$B$21,0,(IF($A39=VARIABLES!$B$21,0,G38)+D39)*C39*VARIABLES!$B$25)</f>
        <v>11855.937200657849</v>
      </c>
      <c r="G39" s="25">
        <f>IF($A39&lt;VARIABLES!$B$21,0,(IF($A39=VARIABLES!$B$21,0,G38)+D39)*(1+C39)-F39)</f>
        <v>14689506.191615077</v>
      </c>
      <c r="H39" s="25">
        <f>IF($A39&lt;VARIABLES!$B$28,0,IF($A39=VARIABLES!$B$28,VARIABLES!$B$29+VARIABLES!$B$30,VARIABLES!$B$30))</f>
        <v>40000</v>
      </c>
      <c r="I39" s="25">
        <f>H39*VARIABLES!$B$31</f>
        <v>300</v>
      </c>
      <c r="J39" s="25">
        <f>IF($A39&lt;VARIABLES!$B$28,0,(IF($A39=VARIABLES!$B$28,0,K38)+H39)*C39*VARIABLES!$B$32)</f>
        <v>8061.6109083179008</v>
      </c>
      <c r="K39" s="25">
        <f>IF($A39&lt;VARIABLES!$B$28,0,(IF($A39=VARIABLES!$B$28,0,K38)+H39)*(1+C39)-J39)</f>
        <v>2491037.7706702319</v>
      </c>
      <c r="L39" s="25">
        <f>IF($A39&lt;VARIABLES!$B$35,0,IF($A39=VARIABLES!$B$35,VARIABLES!$B$36+VARIABLES!$B$37,VARIABLES!$B$37))</f>
        <v>0</v>
      </c>
      <c r="M39" s="25">
        <f>L39*VARIABLES!$B$38</f>
        <v>0</v>
      </c>
      <c r="N39" s="25">
        <f>IF($A39&lt;VARIABLES!$B$35,0,(IF($A39=VARIABLES!$B$35,0,O38)+L39)*C39*VARIABLES!$B$39)</f>
        <v>45531.754925105721</v>
      </c>
      <c r="O39" s="25">
        <f>IF($A39&lt;VARIABLES!$B$35,0,(IF($A39=VARIABLES!$B$35,0,O38)+L39)*(1+C39)-N39)</f>
        <v>14069312.27185767</v>
      </c>
      <c r="P39" s="25">
        <f>IF($A39&lt;VARIABLES!$B$42,0,IF($A39=VARIABLES!$B$42,VARIABLES!$B$43+VARIABLES!$B$44,VARIABLES!$B$44))</f>
        <v>20000</v>
      </c>
      <c r="Q39" s="25">
        <f>P39*VARIABLES!$B$45</f>
        <v>150</v>
      </c>
      <c r="R39" s="25">
        <f>IF($A39&lt;VARIABLES!$B$42,0,(IF($A39=VARIABLES!$B$42,0,S38)+P39)*C39*VARIABLES!$B$46)</f>
        <v>1057.9672170165254</v>
      </c>
      <c r="S39" s="25">
        <f>IF($A39&lt;VARIABLES!$B$42,0,(IF($A39=VARIABLES!$B$42,0,S38)+P39)*(1+C39)-R39)</f>
        <v>1310821.381883475</v>
      </c>
      <c r="T39" s="26">
        <f>IF($A39&lt;VARIABLES!$B$50,0,MIN(VARIABLES!$B$49,INT(($A39-VARIABLES!$B$50)/VARIABLES!$B$51)+1)*VARIABLES!$B$52)</f>
        <v>34</v>
      </c>
      <c r="U39" s="25">
        <f>T39*VARIABLES!$B$54+IF(AND($A39&gt;=VARIABLES!$B$50,MOD($A39-VARIABLES!$B$50,VARIABLES!$B$51)=0,INT(($A39-VARIABLES!$B$50)/VARIABLES!$B$51)&lt;VARIABLES!$B$49),VARIABLES!$B$52*VARIABLES!$B$53,0)</f>
        <v>220000</v>
      </c>
      <c r="V39" s="25">
        <f>U39*VARIABLES!$B$55</f>
        <v>1650</v>
      </c>
      <c r="W39" s="25">
        <f>IF($A39&lt;VARIABLES!$B$50,0,(IF($A39&lt;VARIABLES!$B$50+1,0,X38)+U39)*C39*VARIABLES!$B$56)</f>
        <v>23767.297093026413</v>
      </c>
      <c r="X39" s="25">
        <f>IF($A39&lt;VARIABLES!$B$50,0,(IF($A39&lt;VARIABLES!$B$50+1,0,X38)+U39)*(1+C39)-W39)</f>
        <v>7344094.8017451633</v>
      </c>
      <c r="Y39" s="25">
        <f t="shared" si="0"/>
        <v>480000</v>
      </c>
      <c r="Z39" s="25">
        <f t="shared" si="1"/>
        <v>3600</v>
      </c>
      <c r="AA39" s="25">
        <f t="shared" si="2"/>
        <v>90274.567344124414</v>
      </c>
      <c r="AB39" s="17">
        <f t="shared" si="3"/>
        <v>93874.567344124414</v>
      </c>
      <c r="AC39" s="18">
        <f t="shared" si="4"/>
        <v>39904772.417771623</v>
      </c>
      <c r="AD39" s="25">
        <f>IF($A39=1,VARIABLES!$B$12,0)</f>
        <v>0</v>
      </c>
      <c r="AE39" s="25">
        <f>IF($A39&lt;=3,VARIABLES!$B$13,IF($A39&lt;=6,VARIABLES!$B$14,VARIABLES!$B$15))</f>
        <v>46000</v>
      </c>
      <c r="AF39" s="25">
        <f>IF(MOD($A39,12)=0,AC39*VARIABLES!$B$16,0)</f>
        <v>99761.93104442906</v>
      </c>
      <c r="AG39" s="25">
        <f>VARIABLES!$B$17</f>
        <v>5000</v>
      </c>
      <c r="AH39" s="25">
        <f>IF(MOD($A39,12)=0,VARIABLES!$B$18,0)</f>
        <v>3000</v>
      </c>
      <c r="AI39" s="19">
        <f t="shared" si="5"/>
        <v>153761.93104442907</v>
      </c>
      <c r="AJ39" s="20">
        <f>IF($A39&lt;VARIABLES!$B$7,VARIABLES!$B$9,0)</f>
        <v>10580.083333333334</v>
      </c>
      <c r="AK39" s="27">
        <f t="shared" si="6"/>
        <v>-70467.447033637989</v>
      </c>
      <c r="AL39" s="27">
        <f t="shared" si="7"/>
        <v>-597339.43864435412</v>
      </c>
      <c r="AM39" s="22">
        <f t="shared" si="8"/>
        <v>380882.99999999988</v>
      </c>
    </row>
    <row r="40" spans="1:39" x14ac:dyDescent="0.2">
      <c r="A40" s="14">
        <v>37</v>
      </c>
      <c r="B40" s="14" t="str">
        <f>TEXT(DATE(VARIABLES!$B$60+INT((VARIABLES!$B$61+A40-2)/12),MOD(VARIABLES!$B$61+A40-2,12)+1,1),"mmm-yy")</f>
        <v>Jun-29</v>
      </c>
      <c r="C40" s="15">
        <f>IF($A40&lt;VARIABLES!$B$7,VARIABLES!$B$5/12,VARIABLES!$B$6/12)</f>
        <v>8.3333333333333332E-3</v>
      </c>
      <c r="D40" s="7">
        <f>IF($A40&lt;VARIABLES!$B$21,0,IF($A40=VARIABLES!$B$21,VARIABLES!$B$22+VARIABLES!$B$23,VARIABLES!$B$23))</f>
        <v>200000</v>
      </c>
      <c r="E40" s="7">
        <f>D40*VARIABLES!$B$24</f>
        <v>1500</v>
      </c>
      <c r="F40" s="7">
        <f>IF($A40&lt;VARIABLES!$B$21,0,(IF($A40=VARIABLES!$B$21,0,G39)+D40)*C40*VARIABLES!$B$25)</f>
        <v>3101.9804565864742</v>
      </c>
      <c r="G40" s="7">
        <f>IF($A40&lt;VARIABLES!$B$21,0,(IF($A40=VARIABLES!$B$21,0,G39)+D40)*(1+C40)-F40)</f>
        <v>15010483.429421948</v>
      </c>
      <c r="H40" s="7">
        <f>IF($A40&lt;VARIABLES!$B$28,0,IF($A40=VARIABLES!$B$28,VARIABLES!$B$29+VARIABLES!$B$30,VARIABLES!$B$30))</f>
        <v>40000</v>
      </c>
      <c r="I40" s="7">
        <f>H40*VARIABLES!$B$31</f>
        <v>300</v>
      </c>
      <c r="J40" s="7">
        <f>IF($A40&lt;VARIABLES!$B$28,0,(IF($A40=VARIABLES!$B$28,0,K39)+H40)*C40*VARIABLES!$B$32)</f>
        <v>2109.1981422251934</v>
      </c>
      <c r="K40" s="7">
        <f>IF($A40&lt;VARIABLES!$B$28,0,(IF($A40=VARIABLES!$B$28,0,K39)+H40)*(1+C40)-J40)</f>
        <v>2550020.5539502585</v>
      </c>
      <c r="L40" s="7">
        <f>IF($A40&lt;VARIABLES!$B$35,0,IF($A40=VARIABLES!$B$35,VARIABLES!$B$36+VARIABLES!$B$37,VARIABLES!$B$37))</f>
        <v>0</v>
      </c>
      <c r="M40" s="7">
        <f>L40*VARIABLES!$B$38</f>
        <v>0</v>
      </c>
      <c r="N40" s="7">
        <f>IF($A40&lt;VARIABLES!$B$35,0,(IF($A40=VARIABLES!$B$35,0,O39)+L40)*C40*VARIABLES!$B$39)</f>
        <v>11724.426893214724</v>
      </c>
      <c r="O40" s="7">
        <f>IF($A40&lt;VARIABLES!$B$35,0,(IF($A40=VARIABLES!$B$35,0,O39)+L40)*(1+C40)-N40)</f>
        <v>14174832.113896601</v>
      </c>
      <c r="P40" s="7">
        <f>IF($A40&lt;VARIABLES!$B$42,0,IF($A40=VARIABLES!$B$42,VARIABLES!$B$43+VARIABLES!$B$44,VARIABLES!$B$44))</f>
        <v>20000</v>
      </c>
      <c r="Q40" s="7">
        <f>P40*VARIABLES!$B$45</f>
        <v>150</v>
      </c>
      <c r="R40" s="7">
        <f>IF($A40&lt;VARIABLES!$B$42,0,(IF($A40=VARIABLES!$B$42,0,S39)+P40)*C40*VARIABLES!$B$46)</f>
        <v>277.25445455905731</v>
      </c>
      <c r="S40" s="7">
        <f>IF($A40&lt;VARIABLES!$B$42,0,(IF($A40=VARIABLES!$B$42,0,S39)+P40)*(1+C40)-R40)</f>
        <v>1341634.3056112784</v>
      </c>
      <c r="T40" s="16">
        <f>IF($A40&lt;VARIABLES!$B$50,0,MIN(VARIABLES!$B$49,INT(($A40-VARIABLES!$B$50)/VARIABLES!$B$51)+1)*VARIABLES!$B$52)</f>
        <v>35</v>
      </c>
      <c r="U40" s="7">
        <f>T40*VARIABLES!$B$54+IF(AND($A40&gt;=VARIABLES!$B$50,MOD($A40-VARIABLES!$B$50,VARIABLES!$B$51)=0,INT(($A40-VARIABLES!$B$50)/VARIABLES!$B$51)&lt;VARIABLES!$B$49),VARIABLES!$B$52*VARIABLES!$B$53,0)</f>
        <v>225000</v>
      </c>
      <c r="V40" s="7">
        <f>U40*VARIABLES!$B$55</f>
        <v>1687.5</v>
      </c>
      <c r="W40" s="7">
        <f>IF($A40&lt;VARIABLES!$B$50,0,(IF($A40&lt;VARIABLES!$B$50+1,0,X39)+U40)*C40*VARIABLES!$B$56)</f>
        <v>6307.5790014543027</v>
      </c>
      <c r="X40" s="7">
        <f>IF($A40&lt;VARIABLES!$B$50,0,(IF($A40&lt;VARIABLES!$B$50+1,0,X39)+U40)*(1+C40)-W40)</f>
        <v>7625863.0127582513</v>
      </c>
      <c r="Y40" s="7">
        <f t="shared" si="0"/>
        <v>485000</v>
      </c>
      <c r="Z40" s="7">
        <f t="shared" si="1"/>
        <v>3637.5</v>
      </c>
      <c r="AA40" s="7">
        <f t="shared" si="2"/>
        <v>23520.438948039751</v>
      </c>
      <c r="AB40" s="17">
        <f t="shared" si="3"/>
        <v>27157.938948039751</v>
      </c>
      <c r="AC40" s="18">
        <f t="shared" si="4"/>
        <v>40702833.415638342</v>
      </c>
      <c r="AD40" s="7">
        <f>IF($A40=1,VARIABLES!$B$12,0)</f>
        <v>0</v>
      </c>
      <c r="AE40" s="7">
        <f>IF($A40&lt;=3,VARIABLES!$B$13,IF($A40&lt;=6,VARIABLES!$B$14,VARIABLES!$B$15))</f>
        <v>46000</v>
      </c>
      <c r="AF40" s="7">
        <f>IF(MOD($A40,12)=0,AC40*VARIABLES!$B$16,0)</f>
        <v>0</v>
      </c>
      <c r="AG40" s="7">
        <f>VARIABLES!$B$17</f>
        <v>5000</v>
      </c>
      <c r="AH40" s="7">
        <f>IF(MOD($A40,12)=0,VARIABLES!$B$18,0)</f>
        <v>0</v>
      </c>
      <c r="AI40" s="19">
        <f t="shared" si="5"/>
        <v>51000</v>
      </c>
      <c r="AJ40" s="20">
        <f>IF($A40&lt;VARIABLES!$B$7,VARIABLES!$B$9,0)</f>
        <v>0</v>
      </c>
      <c r="AK40" s="21">
        <f t="shared" si="6"/>
        <v>-23842.061051960249</v>
      </c>
      <c r="AL40" s="21">
        <f t="shared" si="7"/>
        <v>-597339.43864435412</v>
      </c>
      <c r="AM40" s="22">
        <f t="shared" si="8"/>
        <v>357040.93894803966</v>
      </c>
    </row>
    <row r="41" spans="1:39" x14ac:dyDescent="0.2">
      <c r="A41" s="23">
        <v>38</v>
      </c>
      <c r="B41" s="23" t="str">
        <f>TEXT(DATE(VARIABLES!$B$60+INT((VARIABLES!$B$61+A41-2)/12),MOD(VARIABLES!$B$61+A41-2,12)+1,1),"mmm-yy")</f>
        <v>Jul-29</v>
      </c>
      <c r="C41" s="24">
        <f>IF($A41&lt;VARIABLES!$B$7,VARIABLES!$B$5/12,VARIABLES!$B$6/12)</f>
        <v>8.3333333333333332E-3</v>
      </c>
      <c r="D41" s="25">
        <f>IF($A41&lt;VARIABLES!$B$21,0,IF($A41=VARIABLES!$B$21,VARIABLES!$B$22+VARIABLES!$B$23,VARIABLES!$B$23))</f>
        <v>200000</v>
      </c>
      <c r="E41" s="25">
        <f>D41*VARIABLES!$B$24</f>
        <v>1500</v>
      </c>
      <c r="F41" s="25">
        <f>IF($A41&lt;VARIABLES!$B$21,0,(IF($A41=VARIABLES!$B$21,0,G40)+D41)*C41*VARIABLES!$B$25)</f>
        <v>3168.8507144629057</v>
      </c>
      <c r="G41" s="25">
        <f>IF($A41&lt;VARIABLES!$B$21,0,(IF($A41=VARIABLES!$B$21,0,G40)+D41)*(1+C41)-F41)</f>
        <v>15334068.607286001</v>
      </c>
      <c r="H41" s="25">
        <f>IF($A41&lt;VARIABLES!$B$28,0,IF($A41=VARIABLES!$B$28,VARIABLES!$B$29+VARIABLES!$B$30,VARIABLES!$B$30))</f>
        <v>40000</v>
      </c>
      <c r="I41" s="25">
        <f>H41*VARIABLES!$B$31</f>
        <v>300</v>
      </c>
      <c r="J41" s="25">
        <f>IF($A41&lt;VARIABLES!$B$28,0,(IF($A41=VARIABLES!$B$28,0,K40)+H41)*C41*VARIABLES!$B$32)</f>
        <v>2158.3504616252153</v>
      </c>
      <c r="K41" s="25">
        <f>IF($A41&lt;VARIABLES!$B$28,0,(IF($A41=VARIABLES!$B$28,0,K40)+H41)*(1+C41)-J41)</f>
        <v>2609445.7081048856</v>
      </c>
      <c r="L41" s="25">
        <f>IF($A41&lt;VARIABLES!$B$35,0,IF($A41=VARIABLES!$B$35,VARIABLES!$B$36+VARIABLES!$B$37,VARIABLES!$B$37))</f>
        <v>0</v>
      </c>
      <c r="M41" s="25">
        <f>L41*VARIABLES!$B$38</f>
        <v>0</v>
      </c>
      <c r="N41" s="25">
        <f>IF($A41&lt;VARIABLES!$B$35,0,(IF($A41=VARIABLES!$B$35,0,O40)+L41)*C41*VARIABLES!$B$39)</f>
        <v>11812.360094913834</v>
      </c>
      <c r="O41" s="25">
        <f>IF($A41&lt;VARIABLES!$B$35,0,(IF($A41=VARIABLES!$B$35,0,O40)+L41)*(1+C41)-N41)</f>
        <v>14281143.354750825</v>
      </c>
      <c r="P41" s="25">
        <f>IF($A41&lt;VARIABLES!$B$42,0,IF($A41=VARIABLES!$B$42,VARIABLES!$B$43+VARIABLES!$B$44,VARIABLES!$B$44))</f>
        <v>20000</v>
      </c>
      <c r="Q41" s="25">
        <f>P41*VARIABLES!$B$45</f>
        <v>150</v>
      </c>
      <c r="R41" s="25">
        <f>IF($A41&lt;VARIABLES!$B$42,0,(IF($A41=VARIABLES!$B$42,0,S40)+P41)*C41*VARIABLES!$B$46)</f>
        <v>283.67381366901634</v>
      </c>
      <c r="S41" s="25">
        <f>IF($A41&lt;VARIABLES!$B$42,0,(IF($A41=VARIABLES!$B$42,0,S40)+P41)*(1+C41)-R41)</f>
        <v>1372697.5843443701</v>
      </c>
      <c r="T41" s="26">
        <f>IF($A41&lt;VARIABLES!$B$50,0,MIN(VARIABLES!$B$49,INT(($A41-VARIABLES!$B$50)/VARIABLES!$B$51)+1)*VARIABLES!$B$52)</f>
        <v>36</v>
      </c>
      <c r="U41" s="25">
        <f>T41*VARIABLES!$B$54+IF(AND($A41&gt;=VARIABLES!$B$50,MOD($A41-VARIABLES!$B$50,VARIABLES!$B$51)=0,INT(($A41-VARIABLES!$B$50)/VARIABLES!$B$51)&lt;VARIABLES!$B$49),VARIABLES!$B$52*VARIABLES!$B$53,0)</f>
        <v>230000</v>
      </c>
      <c r="V41" s="25">
        <f>U41*VARIABLES!$B$55</f>
        <v>1725</v>
      </c>
      <c r="W41" s="25">
        <f>IF($A41&lt;VARIABLES!$B$50,0,(IF($A41&lt;VARIABLES!$B$50+1,0,X40)+U41)*C41*VARIABLES!$B$56)</f>
        <v>6546.5525106318764</v>
      </c>
      <c r="X41" s="25">
        <f>IF($A41&lt;VARIABLES!$B$50,0,(IF($A41&lt;VARIABLES!$B$50+1,0,X40)+U41)*(1+C41)-W41)</f>
        <v>7914781.9853539374</v>
      </c>
      <c r="Y41" s="25">
        <f t="shared" si="0"/>
        <v>490000</v>
      </c>
      <c r="Z41" s="25">
        <f t="shared" si="1"/>
        <v>3675</v>
      </c>
      <c r="AA41" s="25">
        <f t="shared" si="2"/>
        <v>23969.787595302849</v>
      </c>
      <c r="AB41" s="17">
        <f t="shared" si="3"/>
        <v>27644.787595302849</v>
      </c>
      <c r="AC41" s="18">
        <f t="shared" si="4"/>
        <v>41512137.239840023</v>
      </c>
      <c r="AD41" s="25">
        <f>IF($A41=1,VARIABLES!$B$12,0)</f>
        <v>0</v>
      </c>
      <c r="AE41" s="25">
        <f>IF($A41&lt;=3,VARIABLES!$B$13,IF($A41&lt;=6,VARIABLES!$B$14,VARIABLES!$B$15))</f>
        <v>46000</v>
      </c>
      <c r="AF41" s="25">
        <f>IF(MOD($A41,12)=0,AC41*VARIABLES!$B$16,0)</f>
        <v>0</v>
      </c>
      <c r="AG41" s="25">
        <f>VARIABLES!$B$17</f>
        <v>5000</v>
      </c>
      <c r="AH41" s="25">
        <f>IF(MOD($A41,12)=0,VARIABLES!$B$18,0)</f>
        <v>0</v>
      </c>
      <c r="AI41" s="19">
        <f t="shared" si="5"/>
        <v>51000</v>
      </c>
      <c r="AJ41" s="20">
        <f>IF($A41&lt;VARIABLES!$B$7,VARIABLES!$B$9,0)</f>
        <v>0</v>
      </c>
      <c r="AK41" s="27">
        <f t="shared" si="6"/>
        <v>-23355.212404697151</v>
      </c>
      <c r="AL41" s="27">
        <f t="shared" si="7"/>
        <v>-597339.43864435412</v>
      </c>
      <c r="AM41" s="22">
        <f t="shared" si="8"/>
        <v>333685.72654334252</v>
      </c>
    </row>
    <row r="42" spans="1:39" x14ac:dyDescent="0.2">
      <c r="A42" s="14">
        <v>39</v>
      </c>
      <c r="B42" s="14" t="str">
        <f>TEXT(DATE(VARIABLES!$B$60+INT((VARIABLES!$B$61+A42-2)/12),MOD(VARIABLES!$B$61+A42-2,12)+1,1),"mmm-yy")</f>
        <v>Aug-29</v>
      </c>
      <c r="C42" s="15">
        <f>IF($A42&lt;VARIABLES!$B$7,VARIABLES!$B$5/12,VARIABLES!$B$6/12)</f>
        <v>8.3333333333333332E-3</v>
      </c>
      <c r="D42" s="7">
        <f>IF($A42&lt;VARIABLES!$B$21,0,IF($A42=VARIABLES!$B$21,VARIABLES!$B$22+VARIABLES!$B$23,VARIABLES!$B$23))</f>
        <v>200000</v>
      </c>
      <c r="E42" s="7">
        <f>D42*VARIABLES!$B$24</f>
        <v>1500</v>
      </c>
      <c r="F42" s="7">
        <f>IF($A42&lt;VARIABLES!$B$21,0,(IF($A42=VARIABLES!$B$21,0,G41)+D42)*C42*VARIABLES!$B$25)</f>
        <v>3236.2642931845839</v>
      </c>
      <c r="G42" s="7">
        <f>IF($A42&lt;VARIABLES!$B$21,0,(IF($A42=VARIABLES!$B$21,0,G41)+D42)*(1+C42)-F42)</f>
        <v>15660282.914720198</v>
      </c>
      <c r="H42" s="7">
        <f>IF($A42&lt;VARIABLES!$B$28,0,IF($A42=VARIABLES!$B$28,VARIABLES!$B$29+VARIABLES!$B$30,VARIABLES!$B$30))</f>
        <v>40000</v>
      </c>
      <c r="I42" s="7">
        <f>H42*VARIABLES!$B$31</f>
        <v>300</v>
      </c>
      <c r="J42" s="7">
        <f>IF($A42&lt;VARIABLES!$B$28,0,(IF($A42=VARIABLES!$B$28,0,K41)+H42)*C42*VARIABLES!$B$32)</f>
        <v>2207.8714234207378</v>
      </c>
      <c r="K42" s="7">
        <f>IF($A42&lt;VARIABLES!$B$28,0,(IF($A42=VARIABLES!$B$28,0,K41)+H42)*(1+C42)-J42)</f>
        <v>2669316.550915672</v>
      </c>
      <c r="L42" s="7">
        <f>IF($A42&lt;VARIABLES!$B$35,0,IF($A42=VARIABLES!$B$35,VARIABLES!$B$36+VARIABLES!$B$37,VARIABLES!$B$37))</f>
        <v>0</v>
      </c>
      <c r="M42" s="7">
        <f>L42*VARIABLES!$B$38</f>
        <v>0</v>
      </c>
      <c r="N42" s="7">
        <f>IF($A42&lt;VARIABLES!$B$35,0,(IF($A42=VARIABLES!$B$35,0,O41)+L42)*C42*VARIABLES!$B$39)</f>
        <v>11900.952795625688</v>
      </c>
      <c r="O42" s="7">
        <f>IF($A42&lt;VARIABLES!$B$35,0,(IF($A42=VARIABLES!$B$35,0,O41)+L42)*(1+C42)-N42)</f>
        <v>14388251.929911455</v>
      </c>
      <c r="P42" s="7">
        <f>IF($A42&lt;VARIABLES!$B$42,0,IF($A42=VARIABLES!$B$42,VARIABLES!$B$43+VARIABLES!$B$44,VARIABLES!$B$44))</f>
        <v>20000</v>
      </c>
      <c r="Q42" s="7">
        <f>P42*VARIABLES!$B$45</f>
        <v>150</v>
      </c>
      <c r="R42" s="7">
        <f>IF($A42&lt;VARIABLES!$B$42,0,(IF($A42=VARIABLES!$B$42,0,S41)+P42)*C42*VARIABLES!$B$46)</f>
        <v>290.14533007174379</v>
      </c>
      <c r="S42" s="7">
        <f>IF($A42&lt;VARIABLES!$B$42,0,(IF($A42=VARIABLES!$B$42,0,S41)+P42)*(1+C42)-R42)</f>
        <v>1404013.252217168</v>
      </c>
      <c r="T42" s="16">
        <f>IF($A42&lt;VARIABLES!$B$50,0,MIN(VARIABLES!$B$49,INT(($A42-VARIABLES!$B$50)/VARIABLES!$B$51)+1)*VARIABLES!$B$52)</f>
        <v>37</v>
      </c>
      <c r="U42" s="7">
        <f>T42*VARIABLES!$B$54+IF(AND($A42&gt;=VARIABLES!$B$50,MOD($A42-VARIABLES!$B$50,VARIABLES!$B$51)=0,INT(($A42-VARIABLES!$B$50)/VARIABLES!$B$51)&lt;VARIABLES!$B$49),VARIABLES!$B$52*VARIABLES!$B$53,0)</f>
        <v>235000</v>
      </c>
      <c r="V42" s="7">
        <f>U42*VARIABLES!$B$55</f>
        <v>1762.5</v>
      </c>
      <c r="W42" s="7">
        <f>IF($A42&lt;VARIABLES!$B$50,0,(IF($A42&lt;VARIABLES!$B$50+1,0,X41)+U42)*C42*VARIABLES!$B$56)</f>
        <v>6791.4849877949491</v>
      </c>
      <c r="X42" s="7">
        <f>IF($A42&lt;VARIABLES!$B$50,0,(IF($A42&lt;VARIABLES!$B$50+1,0,X41)+U42)*(1+C42)-W42)</f>
        <v>8210905.3502440909</v>
      </c>
      <c r="Y42" s="7">
        <f t="shared" si="0"/>
        <v>495000</v>
      </c>
      <c r="Z42" s="7">
        <f t="shared" si="1"/>
        <v>3712.5</v>
      </c>
      <c r="AA42" s="7">
        <f t="shared" si="2"/>
        <v>24426.718830097703</v>
      </c>
      <c r="AB42" s="17">
        <f t="shared" si="3"/>
        <v>28139.218830097703</v>
      </c>
      <c r="AC42" s="18">
        <f t="shared" si="4"/>
        <v>42332769.998008579</v>
      </c>
      <c r="AD42" s="7">
        <f>IF($A42=1,VARIABLES!$B$12,0)</f>
        <v>0</v>
      </c>
      <c r="AE42" s="7">
        <f>IF($A42&lt;=3,VARIABLES!$B$13,IF($A42&lt;=6,VARIABLES!$B$14,VARIABLES!$B$15))</f>
        <v>46000</v>
      </c>
      <c r="AF42" s="7">
        <f>IF(MOD($A42,12)=0,AC42*VARIABLES!$B$16,0)</f>
        <v>0</v>
      </c>
      <c r="AG42" s="7">
        <f>VARIABLES!$B$17</f>
        <v>5000</v>
      </c>
      <c r="AH42" s="7">
        <f>IF(MOD($A42,12)=0,VARIABLES!$B$18,0)</f>
        <v>0</v>
      </c>
      <c r="AI42" s="19">
        <f t="shared" si="5"/>
        <v>51000</v>
      </c>
      <c r="AJ42" s="20">
        <f>IF($A42&lt;VARIABLES!$B$7,VARIABLES!$B$9,0)</f>
        <v>0</v>
      </c>
      <c r="AK42" s="21">
        <f t="shared" si="6"/>
        <v>-22860.781169902297</v>
      </c>
      <c r="AL42" s="21">
        <f t="shared" si="7"/>
        <v>-597339.43864435412</v>
      </c>
      <c r="AM42" s="22">
        <f t="shared" si="8"/>
        <v>310824.94537344022</v>
      </c>
    </row>
    <row r="43" spans="1:39" x14ac:dyDescent="0.2">
      <c r="A43" s="23">
        <v>40</v>
      </c>
      <c r="B43" s="23" t="str">
        <f>TEXT(DATE(VARIABLES!$B$60+INT((VARIABLES!$B$61+A43-2)/12),MOD(VARIABLES!$B$61+A43-2,12)+1,1),"mmm-yy")</f>
        <v>Sept-29</v>
      </c>
      <c r="C43" s="24">
        <f>IF($A43&lt;VARIABLES!$B$7,VARIABLES!$B$5/12,VARIABLES!$B$6/12)</f>
        <v>8.3333333333333332E-3</v>
      </c>
      <c r="D43" s="25">
        <f>IF($A43&lt;VARIABLES!$B$21,0,IF($A43=VARIABLES!$B$21,VARIABLES!$B$22+VARIABLES!$B$23,VARIABLES!$B$23))</f>
        <v>200000</v>
      </c>
      <c r="E43" s="25">
        <f>D43*VARIABLES!$B$24</f>
        <v>1500</v>
      </c>
      <c r="F43" s="25">
        <f>IF($A43&lt;VARIABLES!$B$21,0,(IF($A43=VARIABLES!$B$21,0,G42)+D43)*C43*VARIABLES!$B$25)</f>
        <v>3304.2256072333748</v>
      </c>
      <c r="G43" s="25">
        <f>IF($A43&lt;VARIABLES!$B$21,0,(IF($A43=VARIABLES!$B$21,0,G42)+D43)*(1+C43)-F43)</f>
        <v>15989147.713402299</v>
      </c>
      <c r="H43" s="25">
        <f>IF($A43&lt;VARIABLES!$B$28,0,IF($A43=VARIABLES!$B$28,VARIABLES!$B$29+VARIABLES!$B$30,VARIABLES!$B$30))</f>
        <v>40000</v>
      </c>
      <c r="I43" s="25">
        <f>H43*VARIABLES!$B$31</f>
        <v>300</v>
      </c>
      <c r="J43" s="25">
        <f>IF($A43&lt;VARIABLES!$B$28,0,(IF($A43=VARIABLES!$B$28,0,K42)+H43)*C43*VARIABLES!$B$32)</f>
        <v>2257.7637924297264</v>
      </c>
      <c r="K43" s="25">
        <f>IF($A43&lt;VARIABLES!$B$28,0,(IF($A43=VARIABLES!$B$28,0,K42)+H43)*(1+C43)-J43)</f>
        <v>2729636.4250475396</v>
      </c>
      <c r="L43" s="25">
        <f>IF($A43&lt;VARIABLES!$B$35,0,IF($A43=VARIABLES!$B$35,VARIABLES!$B$36+VARIABLES!$B$37,VARIABLES!$B$37))</f>
        <v>0</v>
      </c>
      <c r="M43" s="25">
        <f>L43*VARIABLES!$B$38</f>
        <v>0</v>
      </c>
      <c r="N43" s="25">
        <f>IF($A43&lt;VARIABLES!$B$35,0,(IF($A43=VARIABLES!$B$35,0,O42)+L43)*C43*VARIABLES!$B$39)</f>
        <v>11990.209941592881</v>
      </c>
      <c r="O43" s="25">
        <f>IF($A43&lt;VARIABLES!$B$35,0,(IF($A43=VARIABLES!$B$35,0,O42)+L43)*(1+C43)-N43)</f>
        <v>14496163.819385791</v>
      </c>
      <c r="P43" s="25">
        <f>IF($A43&lt;VARIABLES!$B$42,0,IF($A43=VARIABLES!$B$42,VARIABLES!$B$43+VARIABLES!$B$44,VARIABLES!$B$44))</f>
        <v>20000</v>
      </c>
      <c r="Q43" s="25">
        <f>P43*VARIABLES!$B$45</f>
        <v>150</v>
      </c>
      <c r="R43" s="25">
        <f>IF($A43&lt;VARIABLES!$B$42,0,(IF($A43=VARIABLES!$B$42,0,S42)+P43)*C43*VARIABLES!$B$46)</f>
        <v>296.66942754524337</v>
      </c>
      <c r="S43" s="25">
        <f>IF($A43&lt;VARIABLES!$B$42,0,(IF($A43=VARIABLES!$B$42,0,S42)+P43)*(1+C43)-R43)</f>
        <v>1435583.3598914323</v>
      </c>
      <c r="T43" s="26">
        <f>IF($A43&lt;VARIABLES!$B$50,0,MIN(VARIABLES!$B$49,INT(($A43-VARIABLES!$B$50)/VARIABLES!$B$51)+1)*VARIABLES!$B$52)</f>
        <v>38</v>
      </c>
      <c r="U43" s="25">
        <f>T43*VARIABLES!$B$54+IF(AND($A43&gt;=VARIABLES!$B$50,MOD($A43-VARIABLES!$B$50,VARIABLES!$B$51)=0,INT(($A43-VARIABLES!$B$50)/VARIABLES!$B$51)&lt;VARIABLES!$B$49),VARIABLES!$B$52*VARIABLES!$B$53,0)</f>
        <v>240000</v>
      </c>
      <c r="V43" s="25">
        <f>U43*VARIABLES!$B$55</f>
        <v>1800</v>
      </c>
      <c r="W43" s="25">
        <f>IF($A43&lt;VARIABLES!$B$50,0,(IF($A43&lt;VARIABLES!$B$50+1,0,X42)+U43)*C43*VARIABLES!$B$56)</f>
        <v>7042.4211252034092</v>
      </c>
      <c r="X43" s="25">
        <f>IF($A43&lt;VARIABLES!$B$50,0,(IF($A43&lt;VARIABLES!$B$50+1,0,X42)+U43)*(1+C43)-W43)</f>
        <v>8514287.1403709203</v>
      </c>
      <c r="Y43" s="25">
        <f t="shared" si="0"/>
        <v>500000</v>
      </c>
      <c r="Z43" s="25">
        <f t="shared" si="1"/>
        <v>3750</v>
      </c>
      <c r="AA43" s="25">
        <f t="shared" si="2"/>
        <v>24891.289894004636</v>
      </c>
      <c r="AB43" s="17">
        <f t="shared" si="3"/>
        <v>28641.289894004636</v>
      </c>
      <c r="AC43" s="18">
        <f t="shared" si="4"/>
        <v>43164818.458097979</v>
      </c>
      <c r="AD43" s="25">
        <f>IF($A43=1,VARIABLES!$B$12,0)</f>
        <v>0</v>
      </c>
      <c r="AE43" s="25">
        <f>IF($A43&lt;=3,VARIABLES!$B$13,IF($A43&lt;=6,VARIABLES!$B$14,VARIABLES!$B$15))</f>
        <v>46000</v>
      </c>
      <c r="AF43" s="25">
        <f>IF(MOD($A43,12)=0,AC43*VARIABLES!$B$16,0)</f>
        <v>0</v>
      </c>
      <c r="AG43" s="25">
        <f>VARIABLES!$B$17</f>
        <v>5000</v>
      </c>
      <c r="AH43" s="25">
        <f>IF(MOD($A43,12)=0,VARIABLES!$B$18,0)</f>
        <v>0</v>
      </c>
      <c r="AI43" s="19">
        <f t="shared" si="5"/>
        <v>51000</v>
      </c>
      <c r="AJ43" s="20">
        <f>IF($A43&lt;VARIABLES!$B$7,VARIABLES!$B$9,0)</f>
        <v>0</v>
      </c>
      <c r="AK43" s="27">
        <f t="shared" si="6"/>
        <v>-22358.710105995364</v>
      </c>
      <c r="AL43" s="27">
        <f t="shared" si="7"/>
        <v>-597339.43864435412</v>
      </c>
      <c r="AM43" s="22">
        <f t="shared" si="8"/>
        <v>288466.23526744486</v>
      </c>
    </row>
    <row r="44" spans="1:39" x14ac:dyDescent="0.2">
      <c r="A44" s="14">
        <v>41</v>
      </c>
      <c r="B44" s="14" t="str">
        <f>TEXT(DATE(VARIABLES!$B$60+INT((VARIABLES!$B$61+A44-2)/12),MOD(VARIABLES!$B$61+A44-2,12)+1,1),"mmm-yy")</f>
        <v>Oct-29</v>
      </c>
      <c r="C44" s="15">
        <f>IF($A44&lt;VARIABLES!$B$7,VARIABLES!$B$5/12,VARIABLES!$B$6/12)</f>
        <v>8.3333333333333332E-3</v>
      </c>
      <c r="D44" s="7">
        <f>IF($A44&lt;VARIABLES!$B$21,0,IF($A44=VARIABLES!$B$21,VARIABLES!$B$22+VARIABLES!$B$23,VARIABLES!$B$23))</f>
        <v>200000</v>
      </c>
      <c r="E44" s="7">
        <f>D44*VARIABLES!$B$24</f>
        <v>1500</v>
      </c>
      <c r="F44" s="7">
        <f>IF($A44&lt;VARIABLES!$B$21,0,(IF($A44=VARIABLES!$B$21,0,G43)+D44)*C44*VARIABLES!$B$25)</f>
        <v>3372.739106958812</v>
      </c>
      <c r="G44" s="7">
        <f>IF($A44&lt;VARIABLES!$B$21,0,(IF($A44=VARIABLES!$B$21,0,G43)+D44)*(1+C44)-F44)</f>
        <v>16320684.538573692</v>
      </c>
      <c r="H44" s="7">
        <f>IF($A44&lt;VARIABLES!$B$28,0,IF($A44=VARIABLES!$B$28,VARIABLES!$B$29+VARIABLES!$B$30,VARIABLES!$B$30))</f>
        <v>40000</v>
      </c>
      <c r="I44" s="7">
        <f>H44*VARIABLES!$B$31</f>
        <v>300</v>
      </c>
      <c r="J44" s="7">
        <f>IF($A44&lt;VARIABLES!$B$28,0,(IF($A44=VARIABLES!$B$28,0,K43)+H44)*C44*VARIABLES!$B$32)</f>
        <v>2308.0303542062829</v>
      </c>
      <c r="K44" s="7">
        <f>IF($A44&lt;VARIABLES!$B$28,0,(IF($A44=VARIABLES!$B$28,0,K43)+H44)*(1+C44)-J44)</f>
        <v>2790408.6982353958</v>
      </c>
      <c r="L44" s="7">
        <f>IF($A44&lt;VARIABLES!$B$35,0,IF($A44=VARIABLES!$B$35,VARIABLES!$B$36+VARIABLES!$B$37,VARIABLES!$B$37))</f>
        <v>0</v>
      </c>
      <c r="M44" s="7">
        <f>L44*VARIABLES!$B$38</f>
        <v>0</v>
      </c>
      <c r="N44" s="7">
        <f>IF($A44&lt;VARIABLES!$B$35,0,(IF($A44=VARIABLES!$B$35,0,O43)+L44)*C44*VARIABLES!$B$39)</f>
        <v>12080.136516154826</v>
      </c>
      <c r="O44" s="7">
        <f>IF($A44&lt;VARIABLES!$B$35,0,(IF($A44=VARIABLES!$B$35,0,O43)+L44)*(1+C44)-N44)</f>
        <v>14604885.048031183</v>
      </c>
      <c r="P44" s="7">
        <f>IF($A44&lt;VARIABLES!$B$42,0,IF($A44=VARIABLES!$B$42,VARIABLES!$B$43+VARIABLES!$B$44,VARIABLES!$B$44))</f>
        <v>20000</v>
      </c>
      <c r="Q44" s="7">
        <f>P44*VARIABLES!$B$45</f>
        <v>150</v>
      </c>
      <c r="R44" s="7">
        <f>IF($A44&lt;VARIABLES!$B$42,0,(IF($A44=VARIABLES!$B$42,0,S43)+P44)*C44*VARIABLES!$B$46)</f>
        <v>303.24653331071511</v>
      </c>
      <c r="S44" s="7">
        <f>IF($A44&lt;VARIABLES!$B$42,0,(IF($A44=VARIABLES!$B$42,0,S43)+P44)*(1+C44)-R44)</f>
        <v>1467409.9746905502</v>
      </c>
      <c r="T44" s="16">
        <f>IF($A44&lt;VARIABLES!$B$50,0,MIN(VARIABLES!$B$49,INT(($A44-VARIABLES!$B$50)/VARIABLES!$B$51)+1)*VARIABLES!$B$52)</f>
        <v>39</v>
      </c>
      <c r="U44" s="7">
        <f>T44*VARIABLES!$B$54+IF(AND($A44&gt;=VARIABLES!$B$50,MOD($A44-VARIABLES!$B$50,VARIABLES!$B$51)=0,INT(($A44-VARIABLES!$B$50)/VARIABLES!$B$51)&lt;VARIABLES!$B$49),VARIABLES!$B$52*VARIABLES!$B$53,0)</f>
        <v>245000</v>
      </c>
      <c r="V44" s="7">
        <f>U44*VARIABLES!$B$55</f>
        <v>1837.5</v>
      </c>
      <c r="W44" s="7">
        <f>IF($A44&lt;VARIABLES!$B$50,0,(IF($A44&lt;VARIABLES!$B$50+1,0,X43)+U44)*C44*VARIABLES!$B$56)</f>
        <v>7299.4059503091012</v>
      </c>
      <c r="X44" s="7">
        <f>IF($A44&lt;VARIABLES!$B$50,0,(IF($A44&lt;VARIABLES!$B$50+1,0,X43)+U44)*(1+C44)-W44)</f>
        <v>8824981.7939237021</v>
      </c>
      <c r="Y44" s="7">
        <f t="shared" si="0"/>
        <v>505000</v>
      </c>
      <c r="Z44" s="7">
        <f t="shared" si="1"/>
        <v>3787.5</v>
      </c>
      <c r="AA44" s="7">
        <f t="shared" si="2"/>
        <v>25363.558460939734</v>
      </c>
      <c r="AB44" s="17">
        <f t="shared" si="3"/>
        <v>29151.058460939734</v>
      </c>
      <c r="AC44" s="18">
        <f t="shared" si="4"/>
        <v>44008370.053454518</v>
      </c>
      <c r="AD44" s="7">
        <f>IF($A44=1,VARIABLES!$B$12,0)</f>
        <v>0</v>
      </c>
      <c r="AE44" s="7">
        <f>IF($A44&lt;=3,VARIABLES!$B$13,IF($A44&lt;=6,VARIABLES!$B$14,VARIABLES!$B$15))</f>
        <v>46000</v>
      </c>
      <c r="AF44" s="7">
        <f>IF(MOD($A44,12)=0,AC44*VARIABLES!$B$16,0)</f>
        <v>0</v>
      </c>
      <c r="AG44" s="7">
        <f>VARIABLES!$B$17</f>
        <v>5000</v>
      </c>
      <c r="AH44" s="7">
        <f>IF(MOD($A44,12)=0,VARIABLES!$B$18,0)</f>
        <v>0</v>
      </c>
      <c r="AI44" s="19">
        <f t="shared" si="5"/>
        <v>51000</v>
      </c>
      <c r="AJ44" s="20">
        <f>IF($A44&lt;VARIABLES!$B$7,VARIABLES!$B$9,0)</f>
        <v>0</v>
      </c>
      <c r="AK44" s="21">
        <f t="shared" si="6"/>
        <v>-21848.941539060266</v>
      </c>
      <c r="AL44" s="21">
        <f t="shared" si="7"/>
        <v>-597339.43864435412</v>
      </c>
      <c r="AM44" s="22">
        <f t="shared" si="8"/>
        <v>266617.2937283846</v>
      </c>
    </row>
    <row r="45" spans="1:39" x14ac:dyDescent="0.2">
      <c r="A45" s="23">
        <v>42</v>
      </c>
      <c r="B45" s="23" t="str">
        <f>TEXT(DATE(VARIABLES!$B$60+INT((VARIABLES!$B$61+A45-2)/12),MOD(VARIABLES!$B$61+A45-2,12)+1,1),"mmm-yy")</f>
        <v>Nov-29</v>
      </c>
      <c r="C45" s="24">
        <f>IF($A45&lt;VARIABLES!$B$7,VARIABLES!$B$5/12,VARIABLES!$B$6/12)</f>
        <v>8.3333333333333332E-3</v>
      </c>
      <c r="D45" s="25">
        <f>IF($A45&lt;VARIABLES!$B$21,0,IF($A45=VARIABLES!$B$21,VARIABLES!$B$22+VARIABLES!$B$23,VARIABLES!$B$23))</f>
        <v>200000</v>
      </c>
      <c r="E45" s="25">
        <f>D45*VARIABLES!$B$24</f>
        <v>1500</v>
      </c>
      <c r="F45" s="25">
        <f>IF($A45&lt;VARIABLES!$B$21,0,(IF($A45=VARIABLES!$B$21,0,G44)+D45)*C45*VARIABLES!$B$25)</f>
        <v>3441.8092788695194</v>
      </c>
      <c r="G45" s="25">
        <f>IF($A45&lt;VARIABLES!$B$21,0,(IF($A45=VARIABLES!$B$21,0,G44)+D45)*(1+C45)-F45)</f>
        <v>16654915.100449601</v>
      </c>
      <c r="H45" s="25">
        <f>IF($A45&lt;VARIABLES!$B$28,0,IF($A45=VARIABLES!$B$28,VARIABLES!$B$29+VARIABLES!$B$30,VARIABLES!$B$30))</f>
        <v>40000</v>
      </c>
      <c r="I45" s="25">
        <f>H45*VARIABLES!$B$31</f>
        <v>300</v>
      </c>
      <c r="J45" s="25">
        <f>IF($A45&lt;VARIABLES!$B$28,0,(IF($A45=VARIABLES!$B$28,0,K44)+H45)*C45*VARIABLES!$B$32)</f>
        <v>2358.6739151961633</v>
      </c>
      <c r="K45" s="25">
        <f>IF($A45&lt;VARIABLES!$B$28,0,(IF($A45=VARIABLES!$B$28,0,K44)+H45)*(1+C45)-J45)</f>
        <v>2851636.7634721613</v>
      </c>
      <c r="L45" s="25">
        <f>IF($A45&lt;VARIABLES!$B$35,0,IF($A45=VARIABLES!$B$35,VARIABLES!$B$36+VARIABLES!$B$37,VARIABLES!$B$37))</f>
        <v>0</v>
      </c>
      <c r="M45" s="25">
        <f>L45*VARIABLES!$B$38</f>
        <v>0</v>
      </c>
      <c r="N45" s="25">
        <f>IF($A45&lt;VARIABLES!$B$35,0,(IF($A45=VARIABLES!$B$35,0,O44)+L45)*C45*VARIABLES!$B$39)</f>
        <v>12170.737540025986</v>
      </c>
      <c r="O45" s="25">
        <f>IF($A45&lt;VARIABLES!$B$35,0,(IF($A45=VARIABLES!$B$35,0,O44)+L45)*(1+C45)-N45)</f>
        <v>14714421.685891418</v>
      </c>
      <c r="P45" s="25">
        <f>IF($A45&lt;VARIABLES!$B$42,0,IF($A45=VARIABLES!$B$42,VARIABLES!$B$43+VARIABLES!$B$44,VARIABLES!$B$44))</f>
        <v>20000</v>
      </c>
      <c r="Q45" s="25">
        <f>P45*VARIABLES!$B$45</f>
        <v>150</v>
      </c>
      <c r="R45" s="25">
        <f>IF($A45&lt;VARIABLES!$B$42,0,(IF($A45=VARIABLES!$B$42,0,S44)+P45)*C45*VARIABLES!$B$46)</f>
        <v>309.87707806053135</v>
      </c>
      <c r="S45" s="25">
        <f>IF($A45&lt;VARIABLES!$B$42,0,(IF($A45=VARIABLES!$B$42,0,S44)+P45)*(1+C45)-R45)</f>
        <v>1499495.180734911</v>
      </c>
      <c r="T45" s="26">
        <f>IF($A45&lt;VARIABLES!$B$50,0,MIN(VARIABLES!$B$49,INT(($A45-VARIABLES!$B$50)/VARIABLES!$B$51)+1)*VARIABLES!$B$52)</f>
        <v>40</v>
      </c>
      <c r="U45" s="25">
        <f>T45*VARIABLES!$B$54+IF(AND($A45&gt;=VARIABLES!$B$50,MOD($A45-VARIABLES!$B$50,VARIABLES!$B$51)=0,INT(($A45-VARIABLES!$B$50)/VARIABLES!$B$51)&lt;VARIABLES!$B$49),VARIABLES!$B$52*VARIABLES!$B$53,0)</f>
        <v>250000</v>
      </c>
      <c r="V45" s="25">
        <f>U45*VARIABLES!$B$55</f>
        <v>1875</v>
      </c>
      <c r="W45" s="25">
        <f>IF($A45&lt;VARIABLES!$B$50,0,(IF($A45&lt;VARIABLES!$B$50+1,0,X44)+U45)*C45*VARIABLES!$B$56)</f>
        <v>7562.4848282697531</v>
      </c>
      <c r="X45" s="25">
        <f>IF($A45&lt;VARIABLES!$B$50,0,(IF($A45&lt;VARIABLES!$B$50+1,0,X44)+U45)*(1+C45)-W45)</f>
        <v>9143044.1573781297</v>
      </c>
      <c r="Y45" s="25">
        <f t="shared" si="0"/>
        <v>510000</v>
      </c>
      <c r="Z45" s="25">
        <f t="shared" si="1"/>
        <v>3825</v>
      </c>
      <c r="AA45" s="25">
        <f t="shared" si="2"/>
        <v>25843.582640421952</v>
      </c>
      <c r="AB45" s="17">
        <f t="shared" si="3"/>
        <v>29668.582640421952</v>
      </c>
      <c r="AC45" s="18">
        <f t="shared" si="4"/>
        <v>44863512.887926221</v>
      </c>
      <c r="AD45" s="25">
        <f>IF($A45=1,VARIABLES!$B$12,0)</f>
        <v>0</v>
      </c>
      <c r="AE45" s="25">
        <f>IF($A45&lt;=3,VARIABLES!$B$13,IF($A45&lt;=6,VARIABLES!$B$14,VARIABLES!$B$15))</f>
        <v>46000</v>
      </c>
      <c r="AF45" s="25">
        <f>IF(MOD($A45,12)=0,AC45*VARIABLES!$B$16,0)</f>
        <v>0</v>
      </c>
      <c r="AG45" s="25">
        <f>VARIABLES!$B$17</f>
        <v>5000</v>
      </c>
      <c r="AH45" s="25">
        <f>IF(MOD($A45,12)=0,VARIABLES!$B$18,0)</f>
        <v>0</v>
      </c>
      <c r="AI45" s="19">
        <f t="shared" si="5"/>
        <v>51000</v>
      </c>
      <c r="AJ45" s="20">
        <f>IF($A45&lt;VARIABLES!$B$7,VARIABLES!$B$9,0)</f>
        <v>0</v>
      </c>
      <c r="AK45" s="27">
        <f t="shared" si="6"/>
        <v>-21331.417359578048</v>
      </c>
      <c r="AL45" s="27">
        <f t="shared" si="7"/>
        <v>-597339.43864435412</v>
      </c>
      <c r="AM45" s="22">
        <f t="shared" si="8"/>
        <v>245285.87636880655</v>
      </c>
    </row>
    <row r="46" spans="1:39" x14ac:dyDescent="0.2">
      <c r="A46" s="14">
        <v>43</v>
      </c>
      <c r="B46" s="14" t="str">
        <f>TEXT(DATE(VARIABLES!$B$60+INT((VARIABLES!$B$61+A46-2)/12),MOD(VARIABLES!$B$61+A46-2,12)+1,1),"mmm-yy")</f>
        <v>Dec-29</v>
      </c>
      <c r="C46" s="15">
        <f>IF($A46&lt;VARIABLES!$B$7,VARIABLES!$B$5/12,VARIABLES!$B$6/12)</f>
        <v>8.3333333333333332E-3</v>
      </c>
      <c r="D46" s="7">
        <f>IF($A46&lt;VARIABLES!$B$21,0,IF($A46=VARIABLES!$B$21,VARIABLES!$B$22+VARIABLES!$B$23,VARIABLES!$B$23))</f>
        <v>200000</v>
      </c>
      <c r="E46" s="7">
        <f>D46*VARIABLES!$B$24</f>
        <v>1500</v>
      </c>
      <c r="F46" s="7">
        <f>IF($A46&lt;VARIABLES!$B$21,0,(IF($A46=VARIABLES!$B$21,0,G45)+D46)*C46*VARIABLES!$B$25)</f>
        <v>3511.4406459270003</v>
      </c>
      <c r="G46" s="7">
        <f>IF($A46&lt;VARIABLES!$B$21,0,(IF($A46=VARIABLES!$B$21,0,G45)+D46)*(1+C46)-F46)</f>
        <v>16991861.285640754</v>
      </c>
      <c r="H46" s="7">
        <f>IF($A46&lt;VARIABLES!$B$28,0,IF($A46=VARIABLES!$B$28,VARIABLES!$B$29+VARIABLES!$B$30,VARIABLES!$B$30))</f>
        <v>40000</v>
      </c>
      <c r="I46" s="7">
        <f>H46*VARIABLES!$B$31</f>
        <v>300</v>
      </c>
      <c r="J46" s="7">
        <f>IF($A46&lt;VARIABLES!$B$28,0,(IF($A46=VARIABLES!$B$28,0,K45)+H46)*C46*VARIABLES!$B$32)</f>
        <v>2409.6973028934676</v>
      </c>
      <c r="K46" s="7">
        <f>IF($A46&lt;VARIABLES!$B$28,0,(IF($A46=VARIABLES!$B$28,0,K45)+H46)*(1+C46)-J46)</f>
        <v>2913324.0391982025</v>
      </c>
      <c r="L46" s="7">
        <f>IF($A46&lt;VARIABLES!$B$35,0,IF($A46=VARIABLES!$B$35,VARIABLES!$B$36+VARIABLES!$B$37,VARIABLES!$B$37))</f>
        <v>0</v>
      </c>
      <c r="M46" s="7">
        <f>L46*VARIABLES!$B$38</f>
        <v>0</v>
      </c>
      <c r="N46" s="7">
        <f>IF($A46&lt;VARIABLES!$B$35,0,(IF($A46=VARIABLES!$B$35,0,O45)+L46)*C46*VARIABLES!$B$39)</f>
        <v>12262.018071576182</v>
      </c>
      <c r="O46" s="7">
        <f>IF($A46&lt;VARIABLES!$B$35,0,(IF($A46=VARIABLES!$B$35,0,O45)+L46)*(1+C46)-N46)</f>
        <v>14824779.848535603</v>
      </c>
      <c r="P46" s="7">
        <f>IF($A46&lt;VARIABLES!$B$42,0,IF($A46=VARIABLES!$B$42,VARIABLES!$B$43+VARIABLES!$B$44,VARIABLES!$B$44))</f>
        <v>20000</v>
      </c>
      <c r="Q46" s="7">
        <f>P46*VARIABLES!$B$45</f>
        <v>150</v>
      </c>
      <c r="R46" s="7">
        <f>IF($A46&lt;VARIABLES!$B$42,0,(IF($A46=VARIABLES!$B$42,0,S45)+P46)*C46*VARIABLES!$B$46)</f>
        <v>316.56149598643981</v>
      </c>
      <c r="S46" s="7">
        <f>IF($A46&lt;VARIABLES!$B$42,0,(IF($A46=VARIABLES!$B$42,0,S45)+P46)*(1+C46)-R46)</f>
        <v>1531841.0790783821</v>
      </c>
      <c r="T46" s="16">
        <f>IF($A46&lt;VARIABLES!$B$50,0,MIN(VARIABLES!$B$49,INT(($A46-VARIABLES!$B$50)/VARIABLES!$B$51)+1)*VARIABLES!$B$52)</f>
        <v>41</v>
      </c>
      <c r="U46" s="7">
        <f>T46*VARIABLES!$B$54+IF(AND($A46&gt;=VARIABLES!$B$50,MOD($A46-VARIABLES!$B$50,VARIABLES!$B$51)=0,INT(($A46-VARIABLES!$B$50)/VARIABLES!$B$51)&lt;VARIABLES!$B$49),VARIABLES!$B$52*VARIABLES!$B$53,0)</f>
        <v>255000</v>
      </c>
      <c r="V46" s="7">
        <f>U46*VARIABLES!$B$55</f>
        <v>1912.5</v>
      </c>
      <c r="W46" s="7">
        <f>IF($A46&lt;VARIABLES!$B$50,0,(IF($A46&lt;VARIABLES!$B$50+1,0,X45)+U46)*C46*VARIABLES!$B$56)</f>
        <v>7831.703464481775</v>
      </c>
      <c r="X46" s="7">
        <f>IF($A46&lt;VARIABLES!$B$50,0,(IF($A46&lt;VARIABLES!$B$50+1,0,X45)+U46)*(1+C46)-W46)</f>
        <v>9468529.4885584656</v>
      </c>
      <c r="Y46" s="7">
        <f t="shared" si="0"/>
        <v>515000</v>
      </c>
      <c r="Z46" s="7">
        <f t="shared" si="1"/>
        <v>3862.5</v>
      </c>
      <c r="AA46" s="7">
        <f t="shared" si="2"/>
        <v>26331.420980864867</v>
      </c>
      <c r="AB46" s="17">
        <f t="shared" si="3"/>
        <v>30193.920980864867</v>
      </c>
      <c r="AC46" s="18">
        <f t="shared" si="4"/>
        <v>45730335.741011404</v>
      </c>
      <c r="AD46" s="7">
        <f>IF($A46=1,VARIABLES!$B$12,0)</f>
        <v>0</v>
      </c>
      <c r="AE46" s="7">
        <f>IF($A46&lt;=3,VARIABLES!$B$13,IF($A46&lt;=6,VARIABLES!$B$14,VARIABLES!$B$15))</f>
        <v>46000</v>
      </c>
      <c r="AF46" s="7">
        <f>IF(MOD($A46,12)=0,AC46*VARIABLES!$B$16,0)</f>
        <v>0</v>
      </c>
      <c r="AG46" s="7">
        <f>VARIABLES!$B$17</f>
        <v>5000</v>
      </c>
      <c r="AH46" s="7">
        <f>IF(MOD($A46,12)=0,VARIABLES!$B$18,0)</f>
        <v>0</v>
      </c>
      <c r="AI46" s="19">
        <f t="shared" si="5"/>
        <v>51000</v>
      </c>
      <c r="AJ46" s="20">
        <f>IF($A46&lt;VARIABLES!$B$7,VARIABLES!$B$9,0)</f>
        <v>0</v>
      </c>
      <c r="AK46" s="21">
        <f t="shared" si="6"/>
        <v>-20806.079019135133</v>
      </c>
      <c r="AL46" s="21">
        <f t="shared" si="7"/>
        <v>-597339.43864435412</v>
      </c>
      <c r="AM46" s="22">
        <f t="shared" si="8"/>
        <v>224479.79734967143</v>
      </c>
    </row>
    <row r="47" spans="1:39" x14ac:dyDescent="0.2">
      <c r="A47" s="23">
        <v>44</v>
      </c>
      <c r="B47" s="23" t="str">
        <f>TEXT(DATE(VARIABLES!$B$60+INT((VARIABLES!$B$61+A47-2)/12),MOD(VARIABLES!$B$61+A47-2,12)+1,1),"mmm-yy")</f>
        <v>Jan-30</v>
      </c>
      <c r="C47" s="24">
        <f>IF($A47&lt;VARIABLES!$B$7,VARIABLES!$B$5/12,VARIABLES!$B$6/12)</f>
        <v>8.3333333333333332E-3</v>
      </c>
      <c r="D47" s="25">
        <f>IF($A47&lt;VARIABLES!$B$21,0,IF($A47=VARIABLES!$B$21,VARIABLES!$B$22+VARIABLES!$B$23,VARIABLES!$B$23))</f>
        <v>200000</v>
      </c>
      <c r="E47" s="25">
        <f>D47*VARIABLES!$B$24</f>
        <v>1500</v>
      </c>
      <c r="F47" s="25">
        <f>IF($A47&lt;VARIABLES!$B$21,0,(IF($A47=VARIABLES!$B$21,0,G46)+D47)*C47*VARIABLES!$B$25)</f>
        <v>3581.6377678418235</v>
      </c>
      <c r="G47" s="25">
        <f>IF($A47&lt;VARIABLES!$B$21,0,(IF($A47=VARIABLES!$B$21,0,G46)+D47)*(1+C47)-F47)</f>
        <v>17331545.158586588</v>
      </c>
      <c r="H47" s="25">
        <f>IF($A47&lt;VARIABLES!$B$28,0,IF($A47=VARIABLES!$B$28,VARIABLES!$B$29+VARIABLES!$B$30,VARIABLES!$B$30))</f>
        <v>40000</v>
      </c>
      <c r="I47" s="25">
        <f>H47*VARIABLES!$B$31</f>
        <v>300</v>
      </c>
      <c r="J47" s="25">
        <f>IF($A47&lt;VARIABLES!$B$28,0,(IF($A47=VARIABLES!$B$28,0,K46)+H47)*C47*VARIABLES!$B$32)</f>
        <v>2461.1033659985023</v>
      </c>
      <c r="K47" s="25">
        <f>IF($A47&lt;VARIABLES!$B$28,0,(IF($A47=VARIABLES!$B$28,0,K46)+H47)*(1+C47)-J47)</f>
        <v>2975473.9694921887</v>
      </c>
      <c r="L47" s="25">
        <f>IF($A47&lt;VARIABLES!$B$35,0,IF($A47=VARIABLES!$B$35,VARIABLES!$B$36+VARIABLES!$B$37,VARIABLES!$B$37))</f>
        <v>0</v>
      </c>
      <c r="M47" s="25">
        <f>L47*VARIABLES!$B$38</f>
        <v>0</v>
      </c>
      <c r="N47" s="25">
        <f>IF($A47&lt;VARIABLES!$B$35,0,(IF($A47=VARIABLES!$B$35,0,O46)+L47)*C47*VARIABLES!$B$39)</f>
        <v>12353.983207113002</v>
      </c>
      <c r="O47" s="25">
        <f>IF($A47&lt;VARIABLES!$B$35,0,(IF($A47=VARIABLES!$B$35,0,O46)+L47)*(1+C47)-N47)</f>
        <v>14935965.69739962</v>
      </c>
      <c r="P47" s="25">
        <f>IF($A47&lt;VARIABLES!$B$42,0,IF($A47=VARIABLES!$B$42,VARIABLES!$B$43+VARIABLES!$B$44,VARIABLES!$B$44))</f>
        <v>20000</v>
      </c>
      <c r="Q47" s="25">
        <f>P47*VARIABLES!$B$45</f>
        <v>150</v>
      </c>
      <c r="R47" s="25">
        <f>IF($A47&lt;VARIABLES!$B$42,0,(IF($A47=VARIABLES!$B$42,0,S46)+P47)*C47*VARIABLES!$B$46)</f>
        <v>323.3002248079963</v>
      </c>
      <c r="S47" s="25">
        <f>IF($A47&lt;VARIABLES!$B$42,0,(IF($A47=VARIABLES!$B$42,0,S46)+P47)*(1+C47)-R47)</f>
        <v>1564449.7878458938</v>
      </c>
      <c r="T47" s="26">
        <f>IF($A47&lt;VARIABLES!$B$50,0,MIN(VARIABLES!$B$49,INT(($A47-VARIABLES!$B$50)/VARIABLES!$B$51)+1)*VARIABLES!$B$52)</f>
        <v>42</v>
      </c>
      <c r="U47" s="25">
        <f>T47*VARIABLES!$B$54+IF(AND($A47&gt;=VARIABLES!$B$50,MOD($A47-VARIABLES!$B$50,VARIABLES!$B$51)=0,INT(($A47-VARIABLES!$B$50)/VARIABLES!$B$51)&lt;VARIABLES!$B$49),VARIABLES!$B$52*VARIABLES!$B$53,0)</f>
        <v>260000</v>
      </c>
      <c r="V47" s="25">
        <f>U47*VARIABLES!$B$55</f>
        <v>1950</v>
      </c>
      <c r="W47" s="25">
        <f>IF($A47&lt;VARIABLES!$B$50,0,(IF($A47&lt;VARIABLES!$B$50+1,0,X46)+U47)*C47*VARIABLES!$B$56)</f>
        <v>8107.1079071320555</v>
      </c>
      <c r="X47" s="25">
        <f>IF($A47&lt;VARIABLES!$B$50,0,(IF($A47&lt;VARIABLES!$B$50+1,0,X46)+U47)*(1+C47)-W47)</f>
        <v>9801493.4597226549</v>
      </c>
      <c r="Y47" s="25">
        <f t="shared" si="0"/>
        <v>520000</v>
      </c>
      <c r="Z47" s="25">
        <f t="shared" si="1"/>
        <v>3900</v>
      </c>
      <c r="AA47" s="25">
        <f t="shared" si="2"/>
        <v>26827.13247289338</v>
      </c>
      <c r="AB47" s="17">
        <f t="shared" si="3"/>
        <v>30727.13247289338</v>
      </c>
      <c r="AC47" s="18">
        <f t="shared" si="4"/>
        <v>46608928.073046945</v>
      </c>
      <c r="AD47" s="25">
        <f>IF($A47=1,VARIABLES!$B$12,0)</f>
        <v>0</v>
      </c>
      <c r="AE47" s="25">
        <f>IF($A47&lt;=3,VARIABLES!$B$13,IF($A47&lt;=6,VARIABLES!$B$14,VARIABLES!$B$15))</f>
        <v>46000</v>
      </c>
      <c r="AF47" s="25">
        <f>IF(MOD($A47,12)=0,AC47*VARIABLES!$B$16,0)</f>
        <v>0</v>
      </c>
      <c r="AG47" s="25">
        <f>VARIABLES!$B$17</f>
        <v>5000</v>
      </c>
      <c r="AH47" s="25">
        <f>IF(MOD($A47,12)=0,VARIABLES!$B$18,0)</f>
        <v>0</v>
      </c>
      <c r="AI47" s="19">
        <f t="shared" si="5"/>
        <v>51000</v>
      </c>
      <c r="AJ47" s="20">
        <f>IF($A47&lt;VARIABLES!$B$7,VARIABLES!$B$9,0)</f>
        <v>0</v>
      </c>
      <c r="AK47" s="27">
        <f t="shared" si="6"/>
        <v>-20272.86752710662</v>
      </c>
      <c r="AL47" s="27">
        <f t="shared" si="7"/>
        <v>-597339.43864435412</v>
      </c>
      <c r="AM47" s="22">
        <f t="shared" si="8"/>
        <v>204206.92982256479</v>
      </c>
    </row>
    <row r="48" spans="1:39" x14ac:dyDescent="0.2">
      <c r="A48" s="14">
        <v>45</v>
      </c>
      <c r="B48" s="14" t="str">
        <f>TEXT(DATE(VARIABLES!$B$60+INT((VARIABLES!$B$61+A48-2)/12),MOD(VARIABLES!$B$61+A48-2,12)+1,1),"mmm-yy")</f>
        <v>Feb-30</v>
      </c>
      <c r="C48" s="15">
        <f>IF($A48&lt;VARIABLES!$B$7,VARIABLES!$B$5/12,VARIABLES!$B$6/12)</f>
        <v>8.3333333333333332E-3</v>
      </c>
      <c r="D48" s="7">
        <f>IF($A48&lt;VARIABLES!$B$21,0,IF($A48=VARIABLES!$B$21,VARIABLES!$B$22+VARIABLES!$B$23,VARIABLES!$B$23))</f>
        <v>200000</v>
      </c>
      <c r="E48" s="7">
        <f>D48*VARIABLES!$B$24</f>
        <v>1500</v>
      </c>
      <c r="F48" s="7">
        <f>IF($A48&lt;VARIABLES!$B$21,0,(IF($A48=VARIABLES!$B$21,0,G47)+D48)*C48*VARIABLES!$B$25)</f>
        <v>3652.4052413722056</v>
      </c>
      <c r="G48" s="7">
        <f>IF($A48&lt;VARIABLES!$B$21,0,(IF($A48=VARIABLES!$B$21,0,G47)+D48)*(1+C48)-F48)</f>
        <v>17673988.9630001</v>
      </c>
      <c r="H48" s="7">
        <f>IF($A48&lt;VARIABLES!$B$28,0,IF($A48=VARIABLES!$B$28,VARIABLES!$B$29+VARIABLES!$B$30,VARIABLES!$B$30))</f>
        <v>40000</v>
      </c>
      <c r="I48" s="7">
        <f>H48*VARIABLES!$B$31</f>
        <v>300</v>
      </c>
      <c r="J48" s="7">
        <f>IF($A48&lt;VARIABLES!$B$28,0,(IF($A48=VARIABLES!$B$28,0,K47)+H48)*C48*VARIABLES!$B$32)</f>
        <v>2512.8949745768241</v>
      </c>
      <c r="K48" s="7">
        <f>IF($A48&lt;VARIABLES!$B$28,0,(IF($A48=VARIABLES!$B$28,0,K47)+H48)*(1+C48)-J48)</f>
        <v>3038090.0242633801</v>
      </c>
      <c r="L48" s="7">
        <f>IF($A48&lt;VARIABLES!$B$35,0,IF($A48=VARIABLES!$B$35,VARIABLES!$B$36+VARIABLES!$B$37,VARIABLES!$B$37))</f>
        <v>0</v>
      </c>
      <c r="M48" s="7">
        <f>L48*VARIABLES!$B$38</f>
        <v>0</v>
      </c>
      <c r="N48" s="7">
        <f>IF($A48&lt;VARIABLES!$B$35,0,(IF($A48=VARIABLES!$B$35,0,O47)+L48)*C48*VARIABLES!$B$39)</f>
        <v>12446.638081166351</v>
      </c>
      <c r="O48" s="7">
        <f>IF($A48&lt;VARIABLES!$B$35,0,(IF($A48=VARIABLES!$B$35,0,O47)+L48)*(1+C48)-N48)</f>
        <v>15047985.440130116</v>
      </c>
      <c r="P48" s="7">
        <f>IF($A48&lt;VARIABLES!$B$42,0,IF($A48=VARIABLES!$B$42,VARIABLES!$B$43+VARIABLES!$B$44,VARIABLES!$B$44))</f>
        <v>20000</v>
      </c>
      <c r="Q48" s="7">
        <f>P48*VARIABLES!$B$45</f>
        <v>150</v>
      </c>
      <c r="R48" s="7">
        <f>IF($A48&lt;VARIABLES!$B$42,0,(IF($A48=VARIABLES!$B$42,0,S47)+P48)*C48*VARIABLES!$B$46)</f>
        <v>330.09370580122788</v>
      </c>
      <c r="S48" s="7">
        <f>IF($A48&lt;VARIABLES!$B$42,0,(IF($A48=VARIABLES!$B$42,0,S47)+P48)*(1+C48)-R48)</f>
        <v>1597323.4423721416</v>
      </c>
      <c r="T48" s="16">
        <f>IF($A48&lt;VARIABLES!$B$50,0,MIN(VARIABLES!$B$49,INT(($A48-VARIABLES!$B$50)/VARIABLES!$B$51)+1)*VARIABLES!$B$52)</f>
        <v>43</v>
      </c>
      <c r="U48" s="7">
        <f>T48*VARIABLES!$B$54+IF(AND($A48&gt;=VARIABLES!$B$50,MOD($A48-VARIABLES!$B$50,VARIABLES!$B$51)=0,INT(($A48-VARIABLES!$B$50)/VARIABLES!$B$51)&lt;VARIABLES!$B$49),VARIABLES!$B$52*VARIABLES!$B$53,0)</f>
        <v>265000</v>
      </c>
      <c r="V48" s="7">
        <f>U48*VARIABLES!$B$55</f>
        <v>1987.5</v>
      </c>
      <c r="W48" s="7">
        <f>IF($A48&lt;VARIABLES!$B$50,0,(IF($A48&lt;VARIABLES!$B$50+1,0,X47)+U48)*C48*VARIABLES!$B$56)</f>
        <v>8388.7445497688805</v>
      </c>
      <c r="X48" s="7">
        <f>IF($A48&lt;VARIABLES!$B$50,0,(IF($A48&lt;VARIABLES!$B$50+1,0,X47)+U48)*(1+C48)-W48)</f>
        <v>10141992.160670575</v>
      </c>
      <c r="Y48" s="7">
        <f t="shared" si="0"/>
        <v>525000</v>
      </c>
      <c r="Z48" s="7">
        <f t="shared" si="1"/>
        <v>3937.5</v>
      </c>
      <c r="AA48" s="7">
        <f t="shared" si="2"/>
        <v>27330.776552685493</v>
      </c>
      <c r="AB48" s="17">
        <f t="shared" si="3"/>
        <v>31268.276552685493</v>
      </c>
      <c r="AC48" s="18">
        <f t="shared" si="4"/>
        <v>47499380.030436307</v>
      </c>
      <c r="AD48" s="7">
        <f>IF($A48=1,VARIABLES!$B$12,0)</f>
        <v>0</v>
      </c>
      <c r="AE48" s="7">
        <f>IF($A48&lt;=3,VARIABLES!$B$13,IF($A48&lt;=6,VARIABLES!$B$14,VARIABLES!$B$15))</f>
        <v>46000</v>
      </c>
      <c r="AF48" s="7">
        <f>IF(MOD($A48,12)=0,AC48*VARIABLES!$B$16,0)</f>
        <v>0</v>
      </c>
      <c r="AG48" s="7">
        <f>VARIABLES!$B$17</f>
        <v>5000</v>
      </c>
      <c r="AH48" s="7">
        <f>IF(MOD($A48,12)=0,VARIABLES!$B$18,0)</f>
        <v>0</v>
      </c>
      <c r="AI48" s="19">
        <f t="shared" si="5"/>
        <v>51000</v>
      </c>
      <c r="AJ48" s="20">
        <f>IF($A48&lt;VARIABLES!$B$7,VARIABLES!$B$9,0)</f>
        <v>0</v>
      </c>
      <c r="AK48" s="21">
        <f t="shared" si="6"/>
        <v>-19731.723447314507</v>
      </c>
      <c r="AL48" s="21">
        <f t="shared" si="7"/>
        <v>-597339.43864435412</v>
      </c>
      <c r="AM48" s="22">
        <f t="shared" si="8"/>
        <v>184475.2063752503</v>
      </c>
    </row>
    <row r="49" spans="1:39" x14ac:dyDescent="0.2">
      <c r="A49" s="23">
        <v>46</v>
      </c>
      <c r="B49" s="23" t="str">
        <f>TEXT(DATE(VARIABLES!$B$60+INT((VARIABLES!$B$61+A49-2)/12),MOD(VARIABLES!$B$61+A49-2,12)+1,1),"mmm-yy")</f>
        <v>Mar-30</v>
      </c>
      <c r="C49" s="24">
        <f>IF($A49&lt;VARIABLES!$B$7,VARIABLES!$B$5/12,VARIABLES!$B$6/12)</f>
        <v>8.3333333333333332E-3</v>
      </c>
      <c r="D49" s="25">
        <f>IF($A49&lt;VARIABLES!$B$21,0,IF($A49=VARIABLES!$B$21,VARIABLES!$B$22+VARIABLES!$B$23,VARIABLES!$B$23))</f>
        <v>200000</v>
      </c>
      <c r="E49" s="25">
        <f>D49*VARIABLES!$B$24</f>
        <v>1500</v>
      </c>
      <c r="F49" s="25">
        <f>IF($A49&lt;VARIABLES!$B$21,0,(IF($A49=VARIABLES!$B$21,0,G48)+D49)*C49*VARIABLES!$B$25)</f>
        <v>3723.747700625021</v>
      </c>
      <c r="G49" s="25">
        <f>IF($A49&lt;VARIABLES!$B$21,0,(IF($A49=VARIABLES!$B$21,0,G48)+D49)*(1+C49)-F49)</f>
        <v>18019215.123324476</v>
      </c>
      <c r="H49" s="25">
        <f>IF($A49&lt;VARIABLES!$B$28,0,IF($A49=VARIABLES!$B$28,VARIABLES!$B$29+VARIABLES!$B$30,VARIABLES!$B$30))</f>
        <v>40000</v>
      </c>
      <c r="I49" s="25">
        <f>H49*VARIABLES!$B$31</f>
        <v>300</v>
      </c>
      <c r="J49" s="25">
        <f>IF($A49&lt;VARIABLES!$B$28,0,(IF($A49=VARIABLES!$B$28,0,K48)+H49)*C49*VARIABLES!$B$32)</f>
        <v>2565.0750202194836</v>
      </c>
      <c r="K49" s="25">
        <f>IF($A49&lt;VARIABLES!$B$28,0,(IF($A49=VARIABLES!$B$28,0,K48)+H49)*(1+C49)-J49)</f>
        <v>3101175.6994453552</v>
      </c>
      <c r="L49" s="25">
        <f>IF($A49&lt;VARIABLES!$B$35,0,IF($A49=VARIABLES!$B$35,VARIABLES!$B$36+VARIABLES!$B$37,VARIABLES!$B$37))</f>
        <v>0</v>
      </c>
      <c r="M49" s="25">
        <f>L49*VARIABLES!$B$38</f>
        <v>0</v>
      </c>
      <c r="N49" s="25">
        <f>IF($A49&lt;VARIABLES!$B$35,0,(IF($A49=VARIABLES!$B$35,0,O48)+L49)*C49*VARIABLES!$B$39)</f>
        <v>12539.987866775096</v>
      </c>
      <c r="O49" s="25">
        <f>IF($A49&lt;VARIABLES!$B$35,0,(IF($A49=VARIABLES!$B$35,0,O48)+L49)*(1+C49)-N49)</f>
        <v>15160845.330931094</v>
      </c>
      <c r="P49" s="25">
        <f>IF($A49&lt;VARIABLES!$B$42,0,IF($A49=VARIABLES!$B$42,VARIABLES!$B$43+VARIABLES!$B$44,VARIABLES!$B$44))</f>
        <v>20000</v>
      </c>
      <c r="Q49" s="25">
        <f>P49*VARIABLES!$B$45</f>
        <v>150</v>
      </c>
      <c r="R49" s="25">
        <f>IF($A49&lt;VARIABLES!$B$42,0,(IF($A49=VARIABLES!$B$42,0,S48)+P49)*C49*VARIABLES!$B$46)</f>
        <v>336.94238382752951</v>
      </c>
      <c r="S49" s="25">
        <f>IF($A49&lt;VARIABLES!$B$42,0,(IF($A49=VARIABLES!$B$42,0,S48)+P49)*(1+C49)-R49)</f>
        <v>1630464.1953414152</v>
      </c>
      <c r="T49" s="26">
        <f>IF($A49&lt;VARIABLES!$B$50,0,MIN(VARIABLES!$B$49,INT(($A49-VARIABLES!$B$50)/VARIABLES!$B$51)+1)*VARIABLES!$B$52)</f>
        <v>44</v>
      </c>
      <c r="U49" s="25">
        <f>T49*VARIABLES!$B$54+IF(AND($A49&gt;=VARIABLES!$B$50,MOD($A49-VARIABLES!$B$50,VARIABLES!$B$51)=0,INT(($A49-VARIABLES!$B$50)/VARIABLES!$B$51)&lt;VARIABLES!$B$49),VARIABLES!$B$52*VARIABLES!$B$53,0)</f>
        <v>270000</v>
      </c>
      <c r="V49" s="25">
        <f>U49*VARIABLES!$B$55</f>
        <v>2025</v>
      </c>
      <c r="W49" s="25">
        <f>IF($A49&lt;VARIABLES!$B$50,0,(IF($A49&lt;VARIABLES!$B$50+1,0,X48)+U49)*C49*VARIABLES!$B$56)</f>
        <v>8676.6601338921446</v>
      </c>
      <c r="X49" s="25">
        <f>IF($A49&lt;VARIABLES!$B$50,0,(IF($A49&lt;VARIABLES!$B$50+1,0,X48)+U49)*(1+C49)-W49)</f>
        <v>10490082.101875603</v>
      </c>
      <c r="Y49" s="25">
        <f t="shared" si="0"/>
        <v>530000</v>
      </c>
      <c r="Z49" s="25">
        <f t="shared" si="1"/>
        <v>3975</v>
      </c>
      <c r="AA49" s="25">
        <f t="shared" si="2"/>
        <v>27842.41310533927</v>
      </c>
      <c r="AB49" s="17">
        <f t="shared" si="3"/>
        <v>31817.41310533927</v>
      </c>
      <c r="AC49" s="18">
        <f t="shared" si="4"/>
        <v>48401782.450917944</v>
      </c>
      <c r="AD49" s="25">
        <f>IF($A49=1,VARIABLES!$B$12,0)</f>
        <v>0</v>
      </c>
      <c r="AE49" s="25">
        <f>IF($A49&lt;=3,VARIABLES!$B$13,IF($A49&lt;=6,VARIABLES!$B$14,VARIABLES!$B$15))</f>
        <v>46000</v>
      </c>
      <c r="AF49" s="25">
        <f>IF(MOD($A49,12)=0,AC49*VARIABLES!$B$16,0)</f>
        <v>0</v>
      </c>
      <c r="AG49" s="25">
        <f>VARIABLES!$B$17</f>
        <v>5000</v>
      </c>
      <c r="AH49" s="25">
        <f>IF(MOD($A49,12)=0,VARIABLES!$B$18,0)</f>
        <v>0</v>
      </c>
      <c r="AI49" s="19">
        <f t="shared" si="5"/>
        <v>51000</v>
      </c>
      <c r="AJ49" s="20">
        <f>IF($A49&lt;VARIABLES!$B$7,VARIABLES!$B$9,0)</f>
        <v>0</v>
      </c>
      <c r="AK49" s="27">
        <f t="shared" si="6"/>
        <v>-19182.58689466073</v>
      </c>
      <c r="AL49" s="27">
        <f t="shared" si="7"/>
        <v>-597339.43864435412</v>
      </c>
      <c r="AM49" s="22">
        <f t="shared" si="8"/>
        <v>165292.61948058958</v>
      </c>
    </row>
    <row r="50" spans="1:39" x14ac:dyDescent="0.2">
      <c r="A50" s="14">
        <v>47</v>
      </c>
      <c r="B50" s="14" t="str">
        <f>TEXT(DATE(VARIABLES!$B$60+INT((VARIABLES!$B$61+A50-2)/12),MOD(VARIABLES!$B$61+A50-2,12)+1,1),"mmm-yy")</f>
        <v>Apr-30</v>
      </c>
      <c r="C50" s="15">
        <f>IF($A50&lt;VARIABLES!$B$7,VARIABLES!$B$5/12,VARIABLES!$B$6/12)</f>
        <v>8.3333333333333332E-3</v>
      </c>
      <c r="D50" s="7">
        <f>IF($A50&lt;VARIABLES!$B$21,0,IF($A50=VARIABLES!$B$21,VARIABLES!$B$22+VARIABLES!$B$23,VARIABLES!$B$23))</f>
        <v>200000</v>
      </c>
      <c r="E50" s="7">
        <f>D50*VARIABLES!$B$24</f>
        <v>1500</v>
      </c>
      <c r="F50" s="7">
        <f>IF($A50&lt;VARIABLES!$B$21,0,(IF($A50=VARIABLES!$B$21,0,G49)+D50)*C50*VARIABLES!$B$25)</f>
        <v>3795.6698173592663</v>
      </c>
      <c r="G50" s="7">
        <f>IF($A50&lt;VARIABLES!$B$21,0,(IF($A50=VARIABLES!$B$21,0,G49)+D50)*(1+C50)-F50)</f>
        <v>18367246.246201489</v>
      </c>
      <c r="H50" s="7">
        <f>IF($A50&lt;VARIABLES!$B$28,0,IF($A50=VARIABLES!$B$28,VARIABLES!$B$29+VARIABLES!$B$30,VARIABLES!$B$30))</f>
        <v>40000</v>
      </c>
      <c r="I50" s="7">
        <f>H50*VARIABLES!$B$31</f>
        <v>300</v>
      </c>
      <c r="J50" s="7">
        <f>IF($A50&lt;VARIABLES!$B$28,0,(IF($A50=VARIABLES!$B$28,0,K49)+H50)*C50*VARIABLES!$B$32)</f>
        <v>2617.6464162044631</v>
      </c>
      <c r="K50" s="7">
        <f>IF($A50&lt;VARIABLES!$B$28,0,(IF($A50=VARIABLES!$B$28,0,K49)+H50)*(1+C50)-J50)</f>
        <v>3164734.5171911954</v>
      </c>
      <c r="L50" s="7">
        <f>IF($A50&lt;VARIABLES!$B$35,0,IF($A50=VARIABLES!$B$35,VARIABLES!$B$36+VARIABLES!$B$37,VARIABLES!$B$37))</f>
        <v>0</v>
      </c>
      <c r="M50" s="7">
        <f>L50*VARIABLES!$B$38</f>
        <v>0</v>
      </c>
      <c r="N50" s="7">
        <f>IF($A50&lt;VARIABLES!$B$35,0,(IF($A50=VARIABLES!$B$35,0,O49)+L50)*C50*VARIABLES!$B$39)</f>
        <v>12634.037775775912</v>
      </c>
      <c r="O50" s="7">
        <f>IF($A50&lt;VARIABLES!$B$35,0,(IF($A50=VARIABLES!$B$35,0,O49)+L50)*(1+C50)-N50)</f>
        <v>15274551.670913076</v>
      </c>
      <c r="P50" s="7">
        <f>IF($A50&lt;VARIABLES!$B$42,0,IF($A50=VARIABLES!$B$42,VARIABLES!$B$43+VARIABLES!$B$44,VARIABLES!$B$44))</f>
        <v>20000</v>
      </c>
      <c r="Q50" s="7">
        <f>P50*VARIABLES!$B$45</f>
        <v>150</v>
      </c>
      <c r="R50" s="7">
        <f>IF($A50&lt;VARIABLES!$B$42,0,(IF($A50=VARIABLES!$B$42,0,S49)+P50)*C50*VARIABLES!$B$46)</f>
        <v>343.84670736279486</v>
      </c>
      <c r="S50" s="7">
        <f>IF($A50&lt;VARIABLES!$B$42,0,(IF($A50=VARIABLES!$B$42,0,S49)+P50)*(1+C50)-R50)</f>
        <v>1663874.2169285642</v>
      </c>
      <c r="T50" s="16">
        <f>IF($A50&lt;VARIABLES!$B$50,0,MIN(VARIABLES!$B$49,INT(($A50-VARIABLES!$B$50)/VARIABLES!$B$51)+1)*VARIABLES!$B$52)</f>
        <v>45</v>
      </c>
      <c r="U50" s="7">
        <f>T50*VARIABLES!$B$54+IF(AND($A50&gt;=VARIABLES!$B$50,MOD($A50-VARIABLES!$B$50,VARIABLES!$B$51)=0,INT(($A50-VARIABLES!$B$50)/VARIABLES!$B$51)&lt;VARIABLES!$B$49),VARIABLES!$B$52*VARIABLES!$B$53,0)</f>
        <v>275000</v>
      </c>
      <c r="V50" s="7">
        <f>U50*VARIABLES!$B$55</f>
        <v>2062.5</v>
      </c>
      <c r="W50" s="7">
        <f>IF($A50&lt;VARIABLES!$B$50,0,(IF($A50&lt;VARIABLES!$B$50+1,0,X49)+U50)*C50*VARIABLES!$B$56)</f>
        <v>8970.9017515630021</v>
      </c>
      <c r="X50" s="7">
        <f>IF($A50&lt;VARIABLES!$B$50,0,(IF($A50&lt;VARIABLES!$B$50+1,0,X49)+U50)*(1+C50)-W50)</f>
        <v>10845820.21763967</v>
      </c>
      <c r="Y50" s="7">
        <f t="shared" si="0"/>
        <v>535000</v>
      </c>
      <c r="Z50" s="7">
        <f t="shared" si="1"/>
        <v>4012.5</v>
      </c>
      <c r="AA50" s="7">
        <f t="shared" si="2"/>
        <v>28362.102468265439</v>
      </c>
      <c r="AB50" s="17">
        <f t="shared" si="3"/>
        <v>32374.602468265439</v>
      </c>
      <c r="AC50" s="18">
        <f t="shared" si="4"/>
        <v>49316226.868873991</v>
      </c>
      <c r="AD50" s="7">
        <f>IF($A50=1,VARIABLES!$B$12,0)</f>
        <v>0</v>
      </c>
      <c r="AE50" s="7">
        <f>IF($A50&lt;=3,VARIABLES!$B$13,IF($A50&lt;=6,VARIABLES!$B$14,VARIABLES!$B$15))</f>
        <v>46000</v>
      </c>
      <c r="AF50" s="7">
        <f>IF(MOD($A50,12)=0,AC50*VARIABLES!$B$16,0)</f>
        <v>0</v>
      </c>
      <c r="AG50" s="7">
        <f>VARIABLES!$B$17</f>
        <v>5000</v>
      </c>
      <c r="AH50" s="7">
        <f>IF(MOD($A50,12)=0,VARIABLES!$B$18,0)</f>
        <v>0</v>
      </c>
      <c r="AI50" s="19">
        <f t="shared" si="5"/>
        <v>51000</v>
      </c>
      <c r="AJ50" s="20">
        <f>IF($A50&lt;VARIABLES!$B$7,VARIABLES!$B$9,0)</f>
        <v>0</v>
      </c>
      <c r="AK50" s="21">
        <f t="shared" si="6"/>
        <v>-18625.397531734561</v>
      </c>
      <c r="AL50" s="21">
        <f t="shared" si="7"/>
        <v>-597339.43864435412</v>
      </c>
      <c r="AM50" s="22">
        <f t="shared" si="8"/>
        <v>146667.22194885503</v>
      </c>
    </row>
    <row r="51" spans="1:39" x14ac:dyDescent="0.2">
      <c r="A51" s="23">
        <v>48</v>
      </c>
      <c r="B51" s="23" t="str">
        <f>TEXT(DATE(VARIABLES!$B$60+INT((VARIABLES!$B$61+A51-2)/12),MOD(VARIABLES!$B$61+A51-2,12)+1,1),"mmm-yy")</f>
        <v>May-30</v>
      </c>
      <c r="C51" s="24">
        <f>IF($A51&lt;VARIABLES!$B$7,VARIABLES!$B$5/12,VARIABLES!$B$6/12)</f>
        <v>8.3333333333333332E-3</v>
      </c>
      <c r="D51" s="25">
        <f>IF($A51&lt;VARIABLES!$B$21,0,IF($A51=VARIABLES!$B$21,VARIABLES!$B$22+VARIABLES!$B$23,VARIABLES!$B$23))</f>
        <v>200000</v>
      </c>
      <c r="E51" s="25">
        <f>D51*VARIABLES!$B$24</f>
        <v>1500</v>
      </c>
      <c r="F51" s="25">
        <f>IF($A51&lt;VARIABLES!$B$21,0,(IF($A51=VARIABLES!$B$21,0,G50)+D51)*C51*VARIABLES!$B$25)</f>
        <v>3868.1763012919773</v>
      </c>
      <c r="G51" s="25">
        <f>IF($A51&lt;VARIABLES!$B$21,0,(IF($A51=VARIABLES!$B$21,0,G50)+D51)*(1+C51)-F51)</f>
        <v>18718105.121951874</v>
      </c>
      <c r="H51" s="25">
        <f>IF($A51&lt;VARIABLES!$B$28,0,IF($A51=VARIABLES!$B$28,VARIABLES!$B$29+VARIABLES!$B$30,VARIABLES!$B$30))</f>
        <v>40000</v>
      </c>
      <c r="I51" s="25">
        <f>H51*VARIABLES!$B$31</f>
        <v>300</v>
      </c>
      <c r="J51" s="25">
        <f>IF($A51&lt;VARIABLES!$B$28,0,(IF($A51=VARIABLES!$B$28,0,K50)+H51)*C51*VARIABLES!$B$32)</f>
        <v>2670.6120976593297</v>
      </c>
      <c r="K51" s="25">
        <f>IF($A51&lt;VARIABLES!$B$28,0,(IF($A51=VARIABLES!$B$28,0,K50)+H51)*(1+C51)-J51)</f>
        <v>3228770.0260701296</v>
      </c>
      <c r="L51" s="25">
        <f>IF($A51&lt;VARIABLES!$B$35,0,IF($A51=VARIABLES!$B$35,VARIABLES!$B$36+VARIABLES!$B$37,VARIABLES!$B$37))</f>
        <v>0</v>
      </c>
      <c r="M51" s="25">
        <f>L51*VARIABLES!$B$38</f>
        <v>0</v>
      </c>
      <c r="N51" s="25">
        <f>IF($A51&lt;VARIABLES!$B$35,0,(IF($A51=VARIABLES!$B$35,0,O50)+L51)*C51*VARIABLES!$B$39)</f>
        <v>12728.793059094231</v>
      </c>
      <c r="O51" s="25">
        <f>IF($A51&lt;VARIABLES!$B$35,0,(IF($A51=VARIABLES!$B$35,0,O50)+L51)*(1+C51)-N51)</f>
        <v>15389110.808444925</v>
      </c>
      <c r="P51" s="25">
        <f>IF($A51&lt;VARIABLES!$B$42,0,IF($A51=VARIABLES!$B$42,VARIABLES!$B$43+VARIABLES!$B$44,VARIABLES!$B$44))</f>
        <v>20000</v>
      </c>
      <c r="Q51" s="25">
        <f>P51*VARIABLES!$B$45</f>
        <v>150</v>
      </c>
      <c r="R51" s="25">
        <f>IF($A51&lt;VARIABLES!$B$42,0,(IF($A51=VARIABLES!$B$42,0,S50)+P51)*C51*VARIABLES!$B$46)</f>
        <v>350.80712852678425</v>
      </c>
      <c r="S51" s="25">
        <f>IF($A51&lt;VARIABLES!$B$42,0,(IF($A51=VARIABLES!$B$42,0,S50)+P51)*(1+C51)-R51)</f>
        <v>1697555.6949411088</v>
      </c>
      <c r="T51" s="26">
        <f>IF($A51&lt;VARIABLES!$B$50,0,MIN(VARIABLES!$B$49,INT(($A51-VARIABLES!$B$50)/VARIABLES!$B$51)+1)*VARIABLES!$B$52)</f>
        <v>46</v>
      </c>
      <c r="U51" s="25">
        <f>T51*VARIABLES!$B$54+IF(AND($A51&gt;=VARIABLES!$B$50,MOD($A51-VARIABLES!$B$50,VARIABLES!$B$51)=0,INT(($A51-VARIABLES!$B$50)/VARIABLES!$B$51)&lt;VARIABLES!$B$49),VARIABLES!$B$52*VARIABLES!$B$53,0)</f>
        <v>280000</v>
      </c>
      <c r="V51" s="25">
        <f>U51*VARIABLES!$B$55</f>
        <v>2100</v>
      </c>
      <c r="W51" s="25">
        <f>IF($A51&lt;VARIABLES!$B$50,0,(IF($A51&lt;VARIABLES!$B$50+1,0,X50)+U51)*C51*VARIABLES!$B$56)</f>
        <v>9271.5168480330594</v>
      </c>
      <c r="X51" s="25">
        <f>IF($A51&lt;VARIABLES!$B$50,0,(IF($A51&lt;VARIABLES!$B$50+1,0,X50)+U51)*(1+C51)-W51)</f>
        <v>11209263.869271968</v>
      </c>
      <c r="Y51" s="25">
        <f t="shared" si="0"/>
        <v>540000</v>
      </c>
      <c r="Z51" s="25">
        <f t="shared" si="1"/>
        <v>4050</v>
      </c>
      <c r="AA51" s="25">
        <f t="shared" si="2"/>
        <v>28889.905434605382</v>
      </c>
      <c r="AB51" s="17">
        <f t="shared" si="3"/>
        <v>32939.905434605382</v>
      </c>
      <c r="AC51" s="18">
        <f t="shared" si="4"/>
        <v>50242805.52068001</v>
      </c>
      <c r="AD51" s="25">
        <f>IF($A51=1,VARIABLES!$B$12,0)</f>
        <v>0</v>
      </c>
      <c r="AE51" s="25">
        <f>IF($A51&lt;=3,VARIABLES!$B$13,IF($A51&lt;=6,VARIABLES!$B$14,VARIABLES!$B$15))</f>
        <v>46000</v>
      </c>
      <c r="AF51" s="25">
        <f>IF(MOD($A51,12)=0,AC51*VARIABLES!$B$16,0)</f>
        <v>125607.01380170003</v>
      </c>
      <c r="AG51" s="25">
        <f>VARIABLES!$B$17</f>
        <v>5000</v>
      </c>
      <c r="AH51" s="25">
        <f>IF(MOD($A51,12)=0,VARIABLES!$B$18,0)</f>
        <v>3000</v>
      </c>
      <c r="AI51" s="19">
        <f t="shared" si="5"/>
        <v>179607.01380170003</v>
      </c>
      <c r="AJ51" s="20">
        <f>IF($A51&lt;VARIABLES!$B$7,VARIABLES!$B$9,0)</f>
        <v>0</v>
      </c>
      <c r="AK51" s="27">
        <f t="shared" si="6"/>
        <v>-146667.10836709465</v>
      </c>
      <c r="AL51" s="27">
        <f t="shared" si="7"/>
        <v>-597339.43864435412</v>
      </c>
      <c r="AM51" s="22">
        <f t="shared" si="8"/>
        <v>0.11358176037902012</v>
      </c>
    </row>
    <row r="52" spans="1:39" x14ac:dyDescent="0.2">
      <c r="A52" s="43" t="s">
        <v>111</v>
      </c>
      <c r="B52" s="30"/>
      <c r="Y52" s="28">
        <f>SUM(Y4:Y51)</f>
        <v>25425000</v>
      </c>
      <c r="Z52" s="28">
        <f>SUM(Z4:Z51)</f>
        <v>190687.5</v>
      </c>
      <c r="AA52" s="28">
        <f>SUM(AA4:AA51)</f>
        <v>1939101.3982898265</v>
      </c>
      <c r="AB52" s="28">
        <f>SUM(AB4:AB51)</f>
        <v>2129788.8982898267</v>
      </c>
      <c r="AC52" s="28">
        <f>AC51</f>
        <v>50242805.52068001</v>
      </c>
      <c r="AD52" s="28">
        <f t="shared" ref="AD52:AK52" si="9">SUM(AD4:AD51)</f>
        <v>57499.999999999993</v>
      </c>
      <c r="AE52" s="28">
        <f t="shared" si="9"/>
        <v>2104500</v>
      </c>
      <c r="AF52" s="28">
        <f t="shared" si="9"/>
        <v>313128.22335241991</v>
      </c>
      <c r="AG52" s="28">
        <f t="shared" si="9"/>
        <v>240000</v>
      </c>
      <c r="AH52" s="28">
        <f t="shared" si="9"/>
        <v>12000</v>
      </c>
      <c r="AI52" s="28">
        <f t="shared" si="9"/>
        <v>2727128.2233524197</v>
      </c>
      <c r="AJ52" s="28">
        <f t="shared" si="9"/>
        <v>380882.99999999988</v>
      </c>
      <c r="AK52" s="28">
        <f t="shared" si="9"/>
        <v>-978222.32506259379</v>
      </c>
      <c r="AL52" s="28">
        <f>AL51</f>
        <v>-597339.43864435412</v>
      </c>
      <c r="AM52" s="28">
        <f>AM51</f>
        <v>0.11358176037902012</v>
      </c>
    </row>
    <row r="54" spans="1:39" ht="24.75" customHeight="1" x14ac:dyDescent="0.2">
      <c r="A54" s="37" t="s">
        <v>119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</row>
  </sheetData>
  <mergeCells count="11">
    <mergeCell ref="A54:AM54"/>
    <mergeCell ref="AJ2"/>
    <mergeCell ref="D2:S2"/>
    <mergeCell ref="A2:C2"/>
    <mergeCell ref="A1:AM1"/>
    <mergeCell ref="AD2:AI2"/>
    <mergeCell ref="AK2:AM2"/>
    <mergeCell ref="A52:B52"/>
    <mergeCell ref="T2:X2"/>
    <mergeCell ref="AC2"/>
    <mergeCell ref="Y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20"/>
  </sheetPr>
  <dimension ref="A1:F1"/>
  <sheetViews>
    <sheetView showGridLines="0" workbookViewId="0">
      <selection sqref="A1:F1"/>
    </sheetView>
  </sheetViews>
  <sheetFormatPr defaultRowHeight="15" x14ac:dyDescent="0.25"/>
  <sheetData>
    <row r="1" spans="1:6" ht="24" customHeight="1" x14ac:dyDescent="0.25">
      <c r="A1" s="45" t="s">
        <v>112</v>
      </c>
      <c r="B1" s="46"/>
      <c r="C1" s="46"/>
      <c r="D1" s="46"/>
      <c r="E1" s="46"/>
      <c r="F1" s="46"/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MONTHLY FORECAST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Davin Gaier</cp:lastModifiedBy>
  <dcterms:created xsi:type="dcterms:W3CDTF">2026-05-20T18:33:12Z</dcterms:created>
  <dcterms:modified xsi:type="dcterms:W3CDTF">2026-06-06T12:43:24Z</dcterms:modified>
</cp:coreProperties>
</file>