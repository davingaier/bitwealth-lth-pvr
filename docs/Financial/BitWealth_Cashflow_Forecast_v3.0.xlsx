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vin\Dropbox\BitWealth\bitwealth-lth-pvr\bitwealth-lth-pvr\docs\Financial\"/>
    </mc:Choice>
  </mc:AlternateContent>
  <xr:revisionPtr revIDLastSave="0" documentId="13_ncr:1_{3B4EF3C8-C68C-4906-9364-E43E1ACB561A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VARIABLES" sheetId="1" r:id="rId1"/>
    <sheet name="MONTHLY FORECAST" sheetId="2" r:id="rId2"/>
    <sheet name="CHART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/>
  <c r="B15" i="1"/>
  <c r="B14" i="1"/>
  <c r="B13" i="1"/>
  <c r="B12" i="1"/>
  <c r="AJ35" i="2"/>
  <c r="AJ51" i="2"/>
  <c r="AH51" i="2"/>
  <c r="AG51" i="2"/>
  <c r="AE51" i="2"/>
  <c r="AD51" i="2"/>
  <c r="T51" i="2"/>
  <c r="U51" i="2" s="1"/>
  <c r="V51" i="2" s="1"/>
  <c r="Q51" i="2"/>
  <c r="P51" i="2"/>
  <c r="L51" i="2"/>
  <c r="M51" i="2" s="1"/>
  <c r="H51" i="2"/>
  <c r="I51" i="2" s="1"/>
  <c r="D51" i="2"/>
  <c r="E51" i="2" s="1"/>
  <c r="C51" i="2"/>
  <c r="B51" i="2"/>
  <c r="AJ50" i="2"/>
  <c r="AH50" i="2"/>
  <c r="AG50" i="2"/>
  <c r="AF50" i="2"/>
  <c r="AE50" i="2"/>
  <c r="AD50" i="2"/>
  <c r="T50" i="2"/>
  <c r="U50" i="2" s="1"/>
  <c r="P50" i="2"/>
  <c r="Q50" i="2" s="1"/>
  <c r="L50" i="2"/>
  <c r="M50" i="2" s="1"/>
  <c r="H50" i="2"/>
  <c r="I50" i="2" s="1"/>
  <c r="E50" i="2"/>
  <c r="D50" i="2"/>
  <c r="C50" i="2"/>
  <c r="B50" i="2"/>
  <c r="AJ49" i="2"/>
  <c r="AH49" i="2"/>
  <c r="AG49" i="2"/>
  <c r="AF49" i="2"/>
  <c r="AE49" i="2"/>
  <c r="AD49" i="2"/>
  <c r="T49" i="2"/>
  <c r="U49" i="2" s="1"/>
  <c r="V49" i="2" s="1"/>
  <c r="P49" i="2"/>
  <c r="Q49" i="2" s="1"/>
  <c r="L49" i="2"/>
  <c r="M49" i="2" s="1"/>
  <c r="H49" i="2"/>
  <c r="I49" i="2" s="1"/>
  <c r="E49" i="2"/>
  <c r="D49" i="2"/>
  <c r="C49" i="2"/>
  <c r="B49" i="2"/>
  <c r="AJ48" i="2"/>
  <c r="AH48" i="2"/>
  <c r="AG48" i="2"/>
  <c r="AF48" i="2"/>
  <c r="AE48" i="2"/>
  <c r="AD48" i="2"/>
  <c r="T48" i="2"/>
  <c r="U48" i="2" s="1"/>
  <c r="V48" i="2" s="1"/>
  <c r="P48" i="2"/>
  <c r="Q48" i="2" s="1"/>
  <c r="L48" i="2"/>
  <c r="M48" i="2" s="1"/>
  <c r="H48" i="2"/>
  <c r="I48" i="2" s="1"/>
  <c r="D48" i="2"/>
  <c r="C48" i="2"/>
  <c r="B48" i="2"/>
  <c r="AJ47" i="2"/>
  <c r="AH47" i="2"/>
  <c r="AG47" i="2"/>
  <c r="AF47" i="2"/>
  <c r="AE47" i="2"/>
  <c r="AD47" i="2"/>
  <c r="T47" i="2"/>
  <c r="U47" i="2" s="1"/>
  <c r="V47" i="2" s="1"/>
  <c r="Q47" i="2"/>
  <c r="P47" i="2"/>
  <c r="L47" i="2"/>
  <c r="M47" i="2" s="1"/>
  <c r="H47" i="2"/>
  <c r="I47" i="2" s="1"/>
  <c r="D47" i="2"/>
  <c r="E47" i="2" s="1"/>
  <c r="C47" i="2"/>
  <c r="B47" i="2"/>
  <c r="AJ46" i="2"/>
  <c r="AH46" i="2"/>
  <c r="AG46" i="2"/>
  <c r="AF46" i="2"/>
  <c r="AE46" i="2"/>
  <c r="AD46" i="2"/>
  <c r="T46" i="2"/>
  <c r="U46" i="2" s="1"/>
  <c r="V46" i="2" s="1"/>
  <c r="P46" i="2"/>
  <c r="Q46" i="2" s="1"/>
  <c r="L46" i="2"/>
  <c r="M46" i="2" s="1"/>
  <c r="H46" i="2"/>
  <c r="I46" i="2" s="1"/>
  <c r="D46" i="2"/>
  <c r="E46" i="2" s="1"/>
  <c r="C46" i="2"/>
  <c r="B46" i="2"/>
  <c r="AJ45" i="2"/>
  <c r="AH45" i="2"/>
  <c r="AG45" i="2"/>
  <c r="AF45" i="2"/>
  <c r="AE45" i="2"/>
  <c r="AD45" i="2"/>
  <c r="T45" i="2"/>
  <c r="U45" i="2" s="1"/>
  <c r="V45" i="2" s="1"/>
  <c r="P45" i="2"/>
  <c r="Q45" i="2" s="1"/>
  <c r="L45" i="2"/>
  <c r="M45" i="2" s="1"/>
  <c r="H45" i="2"/>
  <c r="I45" i="2" s="1"/>
  <c r="E45" i="2"/>
  <c r="D45" i="2"/>
  <c r="C45" i="2"/>
  <c r="B45" i="2"/>
  <c r="AJ44" i="2"/>
  <c r="AH44" i="2"/>
  <c r="AG44" i="2"/>
  <c r="AF44" i="2"/>
  <c r="AE44" i="2"/>
  <c r="AD44" i="2"/>
  <c r="T44" i="2"/>
  <c r="U44" i="2" s="1"/>
  <c r="V44" i="2" s="1"/>
  <c r="P44" i="2"/>
  <c r="Q44" i="2" s="1"/>
  <c r="L44" i="2"/>
  <c r="M44" i="2" s="1"/>
  <c r="H44" i="2"/>
  <c r="I44" i="2" s="1"/>
  <c r="D44" i="2"/>
  <c r="C44" i="2"/>
  <c r="B44" i="2"/>
  <c r="AJ43" i="2"/>
  <c r="AH43" i="2"/>
  <c r="AG43" i="2"/>
  <c r="AF43" i="2"/>
  <c r="AE43" i="2"/>
  <c r="AD43" i="2"/>
  <c r="T43" i="2"/>
  <c r="U43" i="2" s="1"/>
  <c r="V43" i="2" s="1"/>
  <c r="Q43" i="2"/>
  <c r="P43" i="2"/>
  <c r="L43" i="2"/>
  <c r="M43" i="2" s="1"/>
  <c r="H43" i="2"/>
  <c r="I43" i="2" s="1"/>
  <c r="D43" i="2"/>
  <c r="E43" i="2" s="1"/>
  <c r="C43" i="2"/>
  <c r="B43" i="2"/>
  <c r="AJ42" i="2"/>
  <c r="AH42" i="2"/>
  <c r="AG42" i="2"/>
  <c r="AF42" i="2"/>
  <c r="AE42" i="2"/>
  <c r="AD42" i="2"/>
  <c r="T42" i="2"/>
  <c r="U42" i="2" s="1"/>
  <c r="V42" i="2" s="1"/>
  <c r="P42" i="2"/>
  <c r="Q42" i="2" s="1"/>
  <c r="L42" i="2"/>
  <c r="M42" i="2" s="1"/>
  <c r="H42" i="2"/>
  <c r="I42" i="2" s="1"/>
  <c r="D42" i="2"/>
  <c r="E42" i="2" s="1"/>
  <c r="C42" i="2"/>
  <c r="B42" i="2"/>
  <c r="AJ41" i="2"/>
  <c r="AH41" i="2"/>
  <c r="AG41" i="2"/>
  <c r="AF41" i="2"/>
  <c r="AE41" i="2"/>
  <c r="AD41" i="2"/>
  <c r="T41" i="2"/>
  <c r="U41" i="2" s="1"/>
  <c r="V41" i="2" s="1"/>
  <c r="P41" i="2"/>
  <c r="Q41" i="2" s="1"/>
  <c r="L41" i="2"/>
  <c r="M41" i="2" s="1"/>
  <c r="H41" i="2"/>
  <c r="I41" i="2" s="1"/>
  <c r="E41" i="2"/>
  <c r="D41" i="2"/>
  <c r="C41" i="2"/>
  <c r="B41" i="2"/>
  <c r="AJ40" i="2"/>
  <c r="AH40" i="2"/>
  <c r="AG40" i="2"/>
  <c r="AF40" i="2"/>
  <c r="AE40" i="2"/>
  <c r="AD40" i="2"/>
  <c r="T40" i="2"/>
  <c r="U40" i="2" s="1"/>
  <c r="V40" i="2" s="1"/>
  <c r="P40" i="2"/>
  <c r="Q40" i="2" s="1"/>
  <c r="L40" i="2"/>
  <c r="M40" i="2" s="1"/>
  <c r="H40" i="2"/>
  <c r="I40" i="2" s="1"/>
  <c r="E40" i="2"/>
  <c r="D40" i="2"/>
  <c r="C40" i="2"/>
  <c r="B40" i="2"/>
  <c r="AH39" i="2"/>
  <c r="AG39" i="2"/>
  <c r="AE39" i="2"/>
  <c r="AD39" i="2"/>
  <c r="T39" i="2"/>
  <c r="U39" i="2" s="1"/>
  <c r="P39" i="2"/>
  <c r="Q39" i="2" s="1"/>
  <c r="L39" i="2"/>
  <c r="M39" i="2" s="1"/>
  <c r="H39" i="2"/>
  <c r="I39" i="2" s="1"/>
  <c r="D39" i="2"/>
  <c r="E39" i="2" s="1"/>
  <c r="C39" i="2"/>
  <c r="B39" i="2"/>
  <c r="AJ38" i="2"/>
  <c r="AH38" i="2"/>
  <c r="AG38" i="2"/>
  <c r="AF38" i="2"/>
  <c r="AE38" i="2"/>
  <c r="AD38" i="2"/>
  <c r="T38" i="2"/>
  <c r="U38" i="2" s="1"/>
  <c r="V38" i="2" s="1"/>
  <c r="P38" i="2"/>
  <c r="Q38" i="2" s="1"/>
  <c r="L38" i="2"/>
  <c r="M38" i="2" s="1"/>
  <c r="H38" i="2"/>
  <c r="I38" i="2" s="1"/>
  <c r="D38" i="2"/>
  <c r="C38" i="2"/>
  <c r="B38" i="2"/>
  <c r="AJ37" i="2"/>
  <c r="AH37" i="2"/>
  <c r="AG37" i="2"/>
  <c r="AF37" i="2"/>
  <c r="AE37" i="2"/>
  <c r="AD37" i="2"/>
  <c r="T37" i="2"/>
  <c r="U37" i="2" s="1"/>
  <c r="V37" i="2" s="1"/>
  <c r="P37" i="2"/>
  <c r="Q37" i="2" s="1"/>
  <c r="L37" i="2"/>
  <c r="M37" i="2" s="1"/>
  <c r="H37" i="2"/>
  <c r="I37" i="2" s="1"/>
  <c r="E37" i="2"/>
  <c r="D37" i="2"/>
  <c r="C37" i="2"/>
  <c r="B37" i="2"/>
  <c r="AH36" i="2"/>
  <c r="AG36" i="2"/>
  <c r="AF36" i="2"/>
  <c r="AE36" i="2"/>
  <c r="AD36" i="2"/>
  <c r="T36" i="2"/>
  <c r="U36" i="2" s="1"/>
  <c r="V36" i="2" s="1"/>
  <c r="P36" i="2"/>
  <c r="Q36" i="2" s="1"/>
  <c r="L36" i="2"/>
  <c r="M36" i="2" s="1"/>
  <c r="H36" i="2"/>
  <c r="I36" i="2" s="1"/>
  <c r="E36" i="2"/>
  <c r="D36" i="2"/>
  <c r="C36" i="2"/>
  <c r="B36" i="2"/>
  <c r="AH35" i="2"/>
  <c r="AG35" i="2"/>
  <c r="AF35" i="2"/>
  <c r="AE35" i="2"/>
  <c r="AD35" i="2"/>
  <c r="T35" i="2"/>
  <c r="U35" i="2" s="1"/>
  <c r="V35" i="2" s="1"/>
  <c r="P35" i="2"/>
  <c r="Q35" i="2" s="1"/>
  <c r="L35" i="2"/>
  <c r="M35" i="2" s="1"/>
  <c r="H35" i="2"/>
  <c r="I35" i="2" s="1"/>
  <c r="D35" i="2"/>
  <c r="E35" i="2" s="1"/>
  <c r="C35" i="2"/>
  <c r="B35" i="2"/>
  <c r="AJ34" i="2"/>
  <c r="AH34" i="2"/>
  <c r="AG34" i="2"/>
  <c r="AF34" i="2"/>
  <c r="AE34" i="2"/>
  <c r="AD34" i="2"/>
  <c r="T34" i="2"/>
  <c r="U34" i="2" s="1"/>
  <c r="V34" i="2" s="1"/>
  <c r="P34" i="2"/>
  <c r="Q34" i="2" s="1"/>
  <c r="L34" i="2"/>
  <c r="M34" i="2" s="1"/>
  <c r="H34" i="2"/>
  <c r="I34" i="2" s="1"/>
  <c r="D34" i="2"/>
  <c r="C34" i="2"/>
  <c r="B34" i="2"/>
  <c r="AH33" i="2"/>
  <c r="AG33" i="2"/>
  <c r="AF33" i="2"/>
  <c r="AE33" i="2"/>
  <c r="AD33" i="2"/>
  <c r="T33" i="2"/>
  <c r="U33" i="2" s="1"/>
  <c r="V33" i="2" s="1"/>
  <c r="P33" i="2"/>
  <c r="Q33" i="2" s="1"/>
  <c r="L33" i="2"/>
  <c r="M33" i="2" s="1"/>
  <c r="H33" i="2"/>
  <c r="I33" i="2" s="1"/>
  <c r="E33" i="2"/>
  <c r="D33" i="2"/>
  <c r="C33" i="2"/>
  <c r="B33" i="2"/>
  <c r="AJ32" i="2"/>
  <c r="AH32" i="2"/>
  <c r="AG32" i="2"/>
  <c r="AF32" i="2"/>
  <c r="AE32" i="2"/>
  <c r="AD32" i="2"/>
  <c r="T32" i="2"/>
  <c r="U32" i="2" s="1"/>
  <c r="V32" i="2" s="1"/>
  <c r="P32" i="2"/>
  <c r="Q32" i="2" s="1"/>
  <c r="L32" i="2"/>
  <c r="M32" i="2" s="1"/>
  <c r="H32" i="2"/>
  <c r="I32" i="2" s="1"/>
  <c r="D32" i="2"/>
  <c r="C32" i="2"/>
  <c r="B32" i="2"/>
  <c r="AJ31" i="2"/>
  <c r="AH31" i="2"/>
  <c r="AG31" i="2"/>
  <c r="AF31" i="2"/>
  <c r="AE31" i="2"/>
  <c r="AD31" i="2"/>
  <c r="T31" i="2"/>
  <c r="U31" i="2" s="1"/>
  <c r="V31" i="2" s="1"/>
  <c r="P31" i="2"/>
  <c r="Q31" i="2" s="1"/>
  <c r="L31" i="2"/>
  <c r="M31" i="2" s="1"/>
  <c r="H31" i="2"/>
  <c r="I31" i="2" s="1"/>
  <c r="E31" i="2"/>
  <c r="D31" i="2"/>
  <c r="C31" i="2"/>
  <c r="B31" i="2"/>
  <c r="AJ30" i="2"/>
  <c r="AH30" i="2"/>
  <c r="AG30" i="2"/>
  <c r="AF30" i="2"/>
  <c r="AE30" i="2"/>
  <c r="AD30" i="2"/>
  <c r="T30" i="2"/>
  <c r="U30" i="2" s="1"/>
  <c r="V30" i="2" s="1"/>
  <c r="P30" i="2"/>
  <c r="Q30" i="2" s="1"/>
  <c r="L30" i="2"/>
  <c r="M30" i="2" s="1"/>
  <c r="H30" i="2"/>
  <c r="I30" i="2" s="1"/>
  <c r="D30" i="2"/>
  <c r="C30" i="2"/>
  <c r="B30" i="2"/>
  <c r="AJ29" i="2"/>
  <c r="AH29" i="2"/>
  <c r="AG29" i="2"/>
  <c r="AF29" i="2"/>
  <c r="AE29" i="2"/>
  <c r="AD29" i="2"/>
  <c r="T29" i="2"/>
  <c r="U29" i="2" s="1"/>
  <c r="V29" i="2" s="1"/>
  <c r="P29" i="2"/>
  <c r="Q29" i="2" s="1"/>
  <c r="L29" i="2"/>
  <c r="M29" i="2" s="1"/>
  <c r="H29" i="2"/>
  <c r="I29" i="2" s="1"/>
  <c r="D29" i="2"/>
  <c r="E29" i="2" s="1"/>
  <c r="C29" i="2"/>
  <c r="B29" i="2"/>
  <c r="AJ28" i="2"/>
  <c r="AH28" i="2"/>
  <c r="AG28" i="2"/>
  <c r="AF28" i="2"/>
  <c r="AE28" i="2"/>
  <c r="AD28" i="2"/>
  <c r="T28" i="2"/>
  <c r="U28" i="2" s="1"/>
  <c r="V28" i="2" s="1"/>
  <c r="P28" i="2"/>
  <c r="Q28" i="2" s="1"/>
  <c r="L28" i="2"/>
  <c r="M28" i="2" s="1"/>
  <c r="H28" i="2"/>
  <c r="I28" i="2" s="1"/>
  <c r="D28" i="2"/>
  <c r="E28" i="2" s="1"/>
  <c r="C28" i="2"/>
  <c r="B28" i="2"/>
  <c r="AJ27" i="2"/>
  <c r="AH27" i="2"/>
  <c r="AG27" i="2"/>
  <c r="AE27" i="2"/>
  <c r="AD27" i="2"/>
  <c r="T27" i="2"/>
  <c r="U27" i="2" s="1"/>
  <c r="V27" i="2" s="1"/>
  <c r="P27" i="2"/>
  <c r="Q27" i="2" s="1"/>
  <c r="L27" i="2"/>
  <c r="M27" i="2" s="1"/>
  <c r="H27" i="2"/>
  <c r="I27" i="2" s="1"/>
  <c r="D27" i="2"/>
  <c r="C27" i="2"/>
  <c r="B27" i="2"/>
  <c r="AJ26" i="2"/>
  <c r="AH26" i="2"/>
  <c r="AG26" i="2"/>
  <c r="AF26" i="2"/>
  <c r="AE26" i="2"/>
  <c r="AD26" i="2"/>
  <c r="T26" i="2"/>
  <c r="U26" i="2" s="1"/>
  <c r="V26" i="2" s="1"/>
  <c r="P26" i="2"/>
  <c r="Q26" i="2" s="1"/>
  <c r="L26" i="2"/>
  <c r="M26" i="2" s="1"/>
  <c r="H26" i="2"/>
  <c r="I26" i="2" s="1"/>
  <c r="E26" i="2"/>
  <c r="D26" i="2"/>
  <c r="C26" i="2"/>
  <c r="B26" i="2"/>
  <c r="AJ25" i="2"/>
  <c r="AH25" i="2"/>
  <c r="AG25" i="2"/>
  <c r="AF25" i="2"/>
  <c r="AE25" i="2"/>
  <c r="AD25" i="2"/>
  <c r="T25" i="2"/>
  <c r="U25" i="2" s="1"/>
  <c r="V25" i="2" s="1"/>
  <c r="P25" i="2"/>
  <c r="Q25" i="2" s="1"/>
  <c r="L25" i="2"/>
  <c r="M25" i="2" s="1"/>
  <c r="H25" i="2"/>
  <c r="D25" i="2"/>
  <c r="E25" i="2" s="1"/>
  <c r="C25" i="2"/>
  <c r="B25" i="2"/>
  <c r="AH24" i="2"/>
  <c r="AG24" i="2"/>
  <c r="AF24" i="2"/>
  <c r="AE24" i="2"/>
  <c r="AD24" i="2"/>
  <c r="T24" i="2"/>
  <c r="U24" i="2" s="1"/>
  <c r="V24" i="2" s="1"/>
  <c r="P24" i="2"/>
  <c r="Q24" i="2" s="1"/>
  <c r="L24" i="2"/>
  <c r="M24" i="2" s="1"/>
  <c r="H24" i="2"/>
  <c r="I24" i="2" s="1"/>
  <c r="D24" i="2"/>
  <c r="C24" i="2"/>
  <c r="B24" i="2"/>
  <c r="AJ23" i="2"/>
  <c r="AH23" i="2"/>
  <c r="AG23" i="2"/>
  <c r="AF23" i="2"/>
  <c r="AE23" i="2"/>
  <c r="AD23" i="2"/>
  <c r="T23" i="2"/>
  <c r="U23" i="2" s="1"/>
  <c r="V23" i="2" s="1"/>
  <c r="P23" i="2"/>
  <c r="Q23" i="2" s="1"/>
  <c r="L23" i="2"/>
  <c r="M23" i="2" s="1"/>
  <c r="H23" i="2"/>
  <c r="I23" i="2" s="1"/>
  <c r="E23" i="2"/>
  <c r="D23" i="2"/>
  <c r="C23" i="2"/>
  <c r="B23" i="2"/>
  <c r="AJ22" i="2"/>
  <c r="AH22" i="2"/>
  <c r="AG22" i="2"/>
  <c r="AF22" i="2"/>
  <c r="AE22" i="2"/>
  <c r="AD22" i="2"/>
  <c r="T22" i="2"/>
  <c r="U22" i="2" s="1"/>
  <c r="V22" i="2" s="1"/>
  <c r="P22" i="2"/>
  <c r="Q22" i="2" s="1"/>
  <c r="L22" i="2"/>
  <c r="M22" i="2" s="1"/>
  <c r="H22" i="2"/>
  <c r="I22" i="2" s="1"/>
  <c r="E22" i="2"/>
  <c r="D22" i="2"/>
  <c r="C22" i="2"/>
  <c r="B22" i="2"/>
  <c r="AJ21" i="2"/>
  <c r="AH21" i="2"/>
  <c r="AG21" i="2"/>
  <c r="AF21" i="2"/>
  <c r="AE21" i="2"/>
  <c r="AD21" i="2"/>
  <c r="T21" i="2"/>
  <c r="U21" i="2" s="1"/>
  <c r="V21" i="2" s="1"/>
  <c r="P21" i="2"/>
  <c r="Q21" i="2" s="1"/>
  <c r="L21" i="2"/>
  <c r="M21" i="2" s="1"/>
  <c r="H21" i="2"/>
  <c r="I21" i="2" s="1"/>
  <c r="D21" i="2"/>
  <c r="C21" i="2"/>
  <c r="B21" i="2"/>
  <c r="AJ20" i="2"/>
  <c r="AH20" i="2"/>
  <c r="AG20" i="2"/>
  <c r="AF20" i="2"/>
  <c r="AE20" i="2"/>
  <c r="AD20" i="2"/>
  <c r="T20" i="2"/>
  <c r="U20" i="2" s="1"/>
  <c r="V20" i="2" s="1"/>
  <c r="Q20" i="2"/>
  <c r="P20" i="2"/>
  <c r="L20" i="2"/>
  <c r="M20" i="2" s="1"/>
  <c r="I20" i="2"/>
  <c r="H20" i="2"/>
  <c r="D20" i="2"/>
  <c r="E20" i="2" s="1"/>
  <c r="C20" i="2"/>
  <c r="B20" i="2"/>
  <c r="AJ19" i="2"/>
  <c r="AH19" i="2"/>
  <c r="AG19" i="2"/>
  <c r="AF19" i="2"/>
  <c r="AE19" i="2"/>
  <c r="AD19" i="2"/>
  <c r="T19" i="2"/>
  <c r="U19" i="2" s="1"/>
  <c r="V19" i="2" s="1"/>
  <c r="P19" i="2"/>
  <c r="Q19" i="2" s="1"/>
  <c r="L19" i="2"/>
  <c r="M19" i="2" s="1"/>
  <c r="H19" i="2"/>
  <c r="D19" i="2"/>
  <c r="E19" i="2" s="1"/>
  <c r="C19" i="2"/>
  <c r="B19" i="2"/>
  <c r="AJ18" i="2"/>
  <c r="AH18" i="2"/>
  <c r="AG18" i="2"/>
  <c r="AF18" i="2"/>
  <c r="AE18" i="2"/>
  <c r="AD18" i="2"/>
  <c r="T18" i="2"/>
  <c r="U18" i="2" s="1"/>
  <c r="V18" i="2" s="1"/>
  <c r="P18" i="2"/>
  <c r="Q18" i="2" s="1"/>
  <c r="L18" i="2"/>
  <c r="M18" i="2" s="1"/>
  <c r="H18" i="2"/>
  <c r="I18" i="2" s="1"/>
  <c r="E18" i="2"/>
  <c r="D18" i="2"/>
  <c r="C18" i="2"/>
  <c r="B18" i="2"/>
  <c r="AJ17" i="2"/>
  <c r="AH17" i="2"/>
  <c r="AG17" i="2"/>
  <c r="AF17" i="2"/>
  <c r="AE17" i="2"/>
  <c r="AD17" i="2"/>
  <c r="T17" i="2"/>
  <c r="U17" i="2" s="1"/>
  <c r="V17" i="2" s="1"/>
  <c r="P17" i="2"/>
  <c r="Q17" i="2" s="1"/>
  <c r="L17" i="2"/>
  <c r="M17" i="2" s="1"/>
  <c r="H17" i="2"/>
  <c r="I17" i="2" s="1"/>
  <c r="E17" i="2"/>
  <c r="D17" i="2"/>
  <c r="C17" i="2"/>
  <c r="B17" i="2"/>
  <c r="AJ16" i="2"/>
  <c r="AH16" i="2"/>
  <c r="AG16" i="2"/>
  <c r="AF16" i="2"/>
  <c r="AE16" i="2"/>
  <c r="AD16" i="2"/>
  <c r="T16" i="2"/>
  <c r="U16" i="2" s="1"/>
  <c r="V16" i="2" s="1"/>
  <c r="P16" i="2"/>
  <c r="Q16" i="2" s="1"/>
  <c r="L16" i="2"/>
  <c r="M16" i="2" s="1"/>
  <c r="H16" i="2"/>
  <c r="I16" i="2" s="1"/>
  <c r="D16" i="2"/>
  <c r="C16" i="2"/>
  <c r="B16" i="2"/>
  <c r="AJ15" i="2"/>
  <c r="AH15" i="2"/>
  <c r="AG15" i="2"/>
  <c r="AE15" i="2"/>
  <c r="AD15" i="2"/>
  <c r="T15" i="2"/>
  <c r="U15" i="2" s="1"/>
  <c r="V15" i="2" s="1"/>
  <c r="Q15" i="2"/>
  <c r="P15" i="2"/>
  <c r="L15" i="2"/>
  <c r="M15" i="2" s="1"/>
  <c r="H15" i="2"/>
  <c r="I15" i="2" s="1"/>
  <c r="D15" i="2"/>
  <c r="E15" i="2" s="1"/>
  <c r="C15" i="2"/>
  <c r="B15" i="2"/>
  <c r="AJ14" i="2"/>
  <c r="AH14" i="2"/>
  <c r="AG14" i="2"/>
  <c r="AF14" i="2"/>
  <c r="AE14" i="2"/>
  <c r="AD14" i="2"/>
  <c r="T14" i="2"/>
  <c r="U14" i="2" s="1"/>
  <c r="V14" i="2" s="1"/>
  <c r="P14" i="2"/>
  <c r="Q14" i="2" s="1"/>
  <c r="L14" i="2"/>
  <c r="M14" i="2" s="1"/>
  <c r="H14" i="2"/>
  <c r="I14" i="2" s="1"/>
  <c r="E14" i="2"/>
  <c r="D14" i="2"/>
  <c r="C14" i="2"/>
  <c r="B14" i="2"/>
  <c r="AJ13" i="2"/>
  <c r="AH13" i="2"/>
  <c r="AG13" i="2"/>
  <c r="AF13" i="2"/>
  <c r="AE13" i="2"/>
  <c r="AD13" i="2"/>
  <c r="T13" i="2"/>
  <c r="U13" i="2" s="1"/>
  <c r="V13" i="2" s="1"/>
  <c r="P13" i="2"/>
  <c r="Q13" i="2" s="1"/>
  <c r="L13" i="2"/>
  <c r="M13" i="2" s="1"/>
  <c r="H13" i="2"/>
  <c r="I13" i="2" s="1"/>
  <c r="D13" i="2"/>
  <c r="C13" i="2"/>
  <c r="B13" i="2"/>
  <c r="AJ12" i="2"/>
  <c r="AH12" i="2"/>
  <c r="AG12" i="2"/>
  <c r="AF12" i="2"/>
  <c r="AE12" i="2"/>
  <c r="AD12" i="2"/>
  <c r="T12" i="2"/>
  <c r="U12" i="2" s="1"/>
  <c r="V12" i="2" s="1"/>
  <c r="P12" i="2"/>
  <c r="Q12" i="2" s="1"/>
  <c r="L12" i="2"/>
  <c r="M12" i="2" s="1"/>
  <c r="I12" i="2"/>
  <c r="H12" i="2"/>
  <c r="D12" i="2"/>
  <c r="E12" i="2" s="1"/>
  <c r="C12" i="2"/>
  <c r="B12" i="2"/>
  <c r="AJ11" i="2"/>
  <c r="AH11" i="2"/>
  <c r="AG11" i="2"/>
  <c r="AF11" i="2"/>
  <c r="AE11" i="2"/>
  <c r="AD11" i="2"/>
  <c r="T11" i="2"/>
  <c r="U11" i="2" s="1"/>
  <c r="V11" i="2" s="1"/>
  <c r="Q11" i="2"/>
  <c r="P11" i="2"/>
  <c r="L11" i="2"/>
  <c r="M11" i="2" s="1"/>
  <c r="H11" i="2"/>
  <c r="I11" i="2" s="1"/>
  <c r="D11" i="2"/>
  <c r="E11" i="2" s="1"/>
  <c r="C11" i="2"/>
  <c r="B11" i="2"/>
  <c r="AJ10" i="2"/>
  <c r="AH10" i="2"/>
  <c r="AG10" i="2"/>
  <c r="AF10" i="2"/>
  <c r="AE10" i="2"/>
  <c r="AD10" i="2"/>
  <c r="T10" i="2"/>
  <c r="U10" i="2" s="1"/>
  <c r="V10" i="2" s="1"/>
  <c r="P10" i="2"/>
  <c r="Q10" i="2" s="1"/>
  <c r="L10" i="2"/>
  <c r="M10" i="2" s="1"/>
  <c r="H10" i="2"/>
  <c r="I10" i="2" s="1"/>
  <c r="D10" i="2"/>
  <c r="C10" i="2"/>
  <c r="B10" i="2"/>
  <c r="AJ9" i="2"/>
  <c r="AH9" i="2"/>
  <c r="AG9" i="2"/>
  <c r="AF9" i="2"/>
  <c r="AE9" i="2"/>
  <c r="AD9" i="2"/>
  <c r="T9" i="2"/>
  <c r="U9" i="2" s="1"/>
  <c r="V9" i="2" s="1"/>
  <c r="P9" i="2"/>
  <c r="Q9" i="2" s="1"/>
  <c r="L9" i="2"/>
  <c r="M9" i="2" s="1"/>
  <c r="H9" i="2"/>
  <c r="I9" i="2" s="1"/>
  <c r="E9" i="2"/>
  <c r="D9" i="2"/>
  <c r="C9" i="2"/>
  <c r="B9" i="2"/>
  <c r="AJ8" i="2"/>
  <c r="AH8" i="2"/>
  <c r="AG8" i="2"/>
  <c r="AF8" i="2"/>
  <c r="AE8" i="2"/>
  <c r="AD8" i="2"/>
  <c r="T8" i="2"/>
  <c r="U8" i="2" s="1"/>
  <c r="V8" i="2" s="1"/>
  <c r="P8" i="2"/>
  <c r="Q8" i="2" s="1"/>
  <c r="L8" i="2"/>
  <c r="M8" i="2" s="1"/>
  <c r="H8" i="2"/>
  <c r="I8" i="2" s="1"/>
  <c r="D8" i="2"/>
  <c r="C8" i="2"/>
  <c r="B8" i="2"/>
  <c r="AJ7" i="2"/>
  <c r="AH7" i="2"/>
  <c r="AG7" i="2"/>
  <c r="AF7" i="2"/>
  <c r="AE7" i="2"/>
  <c r="AD7" i="2"/>
  <c r="T7" i="2"/>
  <c r="U7" i="2" s="1"/>
  <c r="P7" i="2"/>
  <c r="Q7" i="2" s="1"/>
  <c r="L7" i="2"/>
  <c r="M7" i="2" s="1"/>
  <c r="H7" i="2"/>
  <c r="I7" i="2" s="1"/>
  <c r="D7" i="2"/>
  <c r="E7" i="2" s="1"/>
  <c r="C7" i="2"/>
  <c r="B7" i="2"/>
  <c r="AJ6" i="2"/>
  <c r="AH6" i="2"/>
  <c r="AG6" i="2"/>
  <c r="AF6" i="2"/>
  <c r="AE6" i="2"/>
  <c r="AD6" i="2"/>
  <c r="T6" i="2"/>
  <c r="U6" i="2" s="1"/>
  <c r="V6" i="2" s="1"/>
  <c r="P6" i="2"/>
  <c r="Q6" i="2" s="1"/>
  <c r="L6" i="2"/>
  <c r="M6" i="2" s="1"/>
  <c r="H6" i="2"/>
  <c r="I6" i="2" s="1"/>
  <c r="D6" i="2"/>
  <c r="E6" i="2" s="1"/>
  <c r="C6" i="2"/>
  <c r="B6" i="2"/>
  <c r="AJ5" i="2"/>
  <c r="AH5" i="2"/>
  <c r="AG5" i="2"/>
  <c r="AF5" i="2"/>
  <c r="AE5" i="2"/>
  <c r="AD5" i="2"/>
  <c r="X5" i="2"/>
  <c r="W5" i="2"/>
  <c r="T5" i="2"/>
  <c r="U5" i="2" s="1"/>
  <c r="V5" i="2" s="1"/>
  <c r="P5" i="2"/>
  <c r="L5" i="2"/>
  <c r="H5" i="2"/>
  <c r="D5" i="2"/>
  <c r="C5" i="2"/>
  <c r="B5" i="2"/>
  <c r="AJ4" i="2"/>
  <c r="AH4" i="2"/>
  <c r="AG4" i="2"/>
  <c r="AF4" i="2"/>
  <c r="AE4" i="2"/>
  <c r="AD4" i="2"/>
  <c r="X4" i="2"/>
  <c r="W4" i="2"/>
  <c r="T4" i="2"/>
  <c r="U4" i="2" s="1"/>
  <c r="V4" i="2" s="1"/>
  <c r="S4" i="2"/>
  <c r="R4" i="2"/>
  <c r="P4" i="2"/>
  <c r="Q4" i="2" s="1"/>
  <c r="O4" i="2"/>
  <c r="N4" i="2"/>
  <c r="L4" i="2"/>
  <c r="M4" i="2" s="1"/>
  <c r="K4" i="2"/>
  <c r="J4" i="2"/>
  <c r="H4" i="2"/>
  <c r="I4" i="2" s="1"/>
  <c r="D4" i="2"/>
  <c r="C4" i="2"/>
  <c r="B4" i="2"/>
  <c r="AI26" i="2" l="1"/>
  <c r="AJ39" i="2"/>
  <c r="AJ33" i="2"/>
  <c r="AJ36" i="2"/>
  <c r="AJ24" i="2"/>
  <c r="AJ52" i="2" s="1"/>
  <c r="N5" i="2"/>
  <c r="O5" i="2" s="1"/>
  <c r="N6" i="2" s="1"/>
  <c r="O6" i="2" s="1"/>
  <c r="Z51" i="2"/>
  <c r="Y39" i="2"/>
  <c r="Z41" i="2"/>
  <c r="Z15" i="2"/>
  <c r="AI31" i="2"/>
  <c r="Y15" i="2"/>
  <c r="W6" i="2"/>
  <c r="X6" i="2" s="1"/>
  <c r="W7" i="2" s="1"/>
  <c r="X7" i="2" s="1"/>
  <c r="Y12" i="2"/>
  <c r="Y43" i="2"/>
  <c r="AI5" i="2"/>
  <c r="AI20" i="2"/>
  <c r="Y50" i="2"/>
  <c r="V50" i="2"/>
  <c r="Z50" i="2" s="1"/>
  <c r="Y22" i="2"/>
  <c r="Z14" i="2"/>
  <c r="AI13" i="2"/>
  <c r="Z22" i="2"/>
  <c r="Z36" i="2"/>
  <c r="Z12" i="2"/>
  <c r="Z20" i="2"/>
  <c r="AI44" i="2"/>
  <c r="Y9" i="2"/>
  <c r="Z23" i="2"/>
  <c r="Y31" i="2"/>
  <c r="V39" i="2"/>
  <c r="Z39" i="2" s="1"/>
  <c r="Y42" i="2"/>
  <c r="Z45" i="2"/>
  <c r="Z31" i="2"/>
  <c r="Y40" i="2"/>
  <c r="Z43" i="2"/>
  <c r="Y19" i="2"/>
  <c r="Y25" i="2"/>
  <c r="Z40" i="2"/>
  <c r="Z42" i="2"/>
  <c r="Z33" i="2"/>
  <c r="Y49" i="2"/>
  <c r="AI25" i="2"/>
  <c r="AI7" i="2"/>
  <c r="AI48" i="2"/>
  <c r="AI49" i="2"/>
  <c r="AI21" i="2"/>
  <c r="AI30" i="2"/>
  <c r="AI6" i="2"/>
  <c r="AI4" i="2"/>
  <c r="AI33" i="2"/>
  <c r="AI8" i="2"/>
  <c r="AI12" i="2"/>
  <c r="AI17" i="2"/>
  <c r="AI9" i="2"/>
  <c r="AI24" i="2"/>
  <c r="AI43" i="2"/>
  <c r="AI28" i="2"/>
  <c r="AI47" i="2"/>
  <c r="AI16" i="2"/>
  <c r="Z11" i="2"/>
  <c r="Z9" i="2"/>
  <c r="Y5" i="2"/>
  <c r="Z6" i="2"/>
  <c r="Y4" i="2"/>
  <c r="V7" i="2"/>
  <c r="Z7" i="2" s="1"/>
  <c r="Y8" i="2"/>
  <c r="AH52" i="2"/>
  <c r="Y13" i="2"/>
  <c r="Z17" i="2"/>
  <c r="AI19" i="2"/>
  <c r="AI23" i="2"/>
  <c r="E5" i="2"/>
  <c r="M5" i="2"/>
  <c r="Y7" i="2"/>
  <c r="AI11" i="2"/>
  <c r="E13" i="2"/>
  <c r="Z13" i="2" s="1"/>
  <c r="E16" i="2"/>
  <c r="Z16" i="2" s="1"/>
  <c r="Y16" i="2"/>
  <c r="I19" i="2"/>
  <c r="E4" i="2"/>
  <c r="Z4" i="2" s="1"/>
  <c r="Y6" i="2"/>
  <c r="E8" i="2"/>
  <c r="Z8" i="2" s="1"/>
  <c r="AI10" i="2"/>
  <c r="AI14" i="2"/>
  <c r="Z37" i="2"/>
  <c r="F4" i="2"/>
  <c r="AA4" i="2" s="1"/>
  <c r="AE52" i="2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I5" i="2"/>
  <c r="Q5" i="2"/>
  <c r="AI18" i="2"/>
  <c r="Y26" i="2"/>
  <c r="Z28" i="2"/>
  <c r="J5" i="2"/>
  <c r="K5" i="2" s="1"/>
  <c r="R5" i="2"/>
  <c r="S5" i="2" s="1"/>
  <c r="Y10" i="2"/>
  <c r="Y11" i="2"/>
  <c r="Y18" i="2"/>
  <c r="Y21" i="2"/>
  <c r="Y24" i="2"/>
  <c r="E24" i="2"/>
  <c r="Z24" i="2" s="1"/>
  <c r="Z26" i="2"/>
  <c r="Z29" i="2"/>
  <c r="AI29" i="2"/>
  <c r="Y30" i="2"/>
  <c r="E30" i="2"/>
  <c r="Z30" i="2" s="1"/>
  <c r="AD52" i="2"/>
  <c r="AG52" i="2"/>
  <c r="E10" i="2"/>
  <c r="Z10" i="2" s="1"/>
  <c r="Y14" i="2"/>
  <c r="Y17" i="2"/>
  <c r="Z18" i="2"/>
  <c r="Z19" i="2"/>
  <c r="E21" i="2"/>
  <c r="Z21" i="2" s="1"/>
  <c r="AI22" i="2"/>
  <c r="Y27" i="2"/>
  <c r="Y28" i="2"/>
  <c r="AI35" i="2"/>
  <c r="Z47" i="2"/>
  <c r="Y20" i="2"/>
  <c r="I25" i="2"/>
  <c r="Z25" i="2" s="1"/>
  <c r="E27" i="2"/>
  <c r="Z27" i="2" s="1"/>
  <c r="Y36" i="2"/>
  <c r="Z35" i="2"/>
  <c r="Z46" i="2"/>
  <c r="Y46" i="2"/>
  <c r="Y29" i="2"/>
  <c r="Y32" i="2"/>
  <c r="AI32" i="2"/>
  <c r="E34" i="2"/>
  <c r="Z34" i="2" s="1"/>
  <c r="Y34" i="2"/>
  <c r="E32" i="2"/>
  <c r="Z32" i="2" s="1"/>
  <c r="Y23" i="2"/>
  <c r="Y35" i="2"/>
  <c r="AI37" i="2"/>
  <c r="AI40" i="2"/>
  <c r="AI36" i="2"/>
  <c r="E38" i="2"/>
  <c r="Z38" i="2" s="1"/>
  <c r="Y38" i="2"/>
  <c r="Y48" i="2"/>
  <c r="E48" i="2"/>
  <c r="Z48" i="2" s="1"/>
  <c r="Y51" i="2"/>
  <c r="Y33" i="2"/>
  <c r="Y37" i="2"/>
  <c r="Y41" i="2"/>
  <c r="Y45" i="2"/>
  <c r="Y47" i="2"/>
  <c r="Y44" i="2"/>
  <c r="Z49" i="2"/>
  <c r="AI34" i="2"/>
  <c r="AI38" i="2"/>
  <c r="AI42" i="2"/>
  <c r="E44" i="2"/>
  <c r="Z44" i="2" s="1"/>
  <c r="AI46" i="2"/>
  <c r="AI50" i="2"/>
  <c r="AI41" i="2"/>
  <c r="AI45" i="2"/>
  <c r="AM24" i="2" l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R6" i="2"/>
  <c r="S6" i="2"/>
  <c r="N7" i="2"/>
  <c r="O7" i="2" s="1"/>
  <c r="J6" i="2"/>
  <c r="K6" i="2" s="1"/>
  <c r="Y52" i="2"/>
  <c r="G4" i="2"/>
  <c r="AB4" i="2"/>
  <c r="AK4" i="2" s="1"/>
  <c r="Z5" i="2"/>
  <c r="Z52" i="2" s="1"/>
  <c r="W8" i="2"/>
  <c r="X8" i="2" s="1"/>
  <c r="W9" i="2" l="1"/>
  <c r="X9" i="2" s="1"/>
  <c r="N8" i="2"/>
  <c r="O8" i="2" s="1"/>
  <c r="J7" i="2"/>
  <c r="K7" i="2" s="1"/>
  <c r="AC4" i="2"/>
  <c r="F5" i="2"/>
  <c r="AA5" i="2" s="1"/>
  <c r="R7" i="2"/>
  <c r="S7" i="2" s="1"/>
  <c r="N9" i="2" l="1"/>
  <c r="O9" i="2" s="1"/>
  <c r="W10" i="2"/>
  <c r="X10" i="2" s="1"/>
  <c r="J8" i="2"/>
  <c r="K8" i="2" s="1"/>
  <c r="R8" i="2"/>
  <c r="S8" i="2" s="1"/>
  <c r="G5" i="2"/>
  <c r="AL4" i="2"/>
  <c r="AB5" i="2"/>
  <c r="R9" i="2" l="1"/>
  <c r="S9" i="2" s="1"/>
  <c r="J9" i="2"/>
  <c r="K9" i="2" s="1"/>
  <c r="W11" i="2"/>
  <c r="X11" i="2" s="1"/>
  <c r="N10" i="2"/>
  <c r="O10" i="2" s="1"/>
  <c r="AK5" i="2"/>
  <c r="AL5" i="2" s="1"/>
  <c r="AC5" i="2"/>
  <c r="F6" i="2"/>
  <c r="AA6" i="2" s="1"/>
  <c r="W12" i="2" l="1"/>
  <c r="X12" i="2" s="1"/>
  <c r="J10" i="2"/>
  <c r="K10" i="2" s="1"/>
  <c r="R10" i="2"/>
  <c r="S10" i="2" s="1"/>
  <c r="N11" i="2"/>
  <c r="O11" i="2" s="1"/>
  <c r="AB6" i="2"/>
  <c r="G6" i="2"/>
  <c r="N12" i="2" l="1"/>
  <c r="O12" i="2" s="1"/>
  <c r="J11" i="2"/>
  <c r="K11" i="2" s="1"/>
  <c r="R11" i="2"/>
  <c r="S11" i="2" s="1"/>
  <c r="AC6" i="2"/>
  <c r="F7" i="2"/>
  <c r="AA7" i="2" s="1"/>
  <c r="AB7" i="2" s="1"/>
  <c r="AK7" i="2" s="1"/>
  <c r="W13" i="2"/>
  <c r="X13" i="2" s="1"/>
  <c r="AK6" i="2"/>
  <c r="AL6" i="2" s="1"/>
  <c r="AL7" i="2" s="1"/>
  <c r="G7" i="2" l="1"/>
  <c r="W14" i="2"/>
  <c r="X14" i="2" s="1"/>
  <c r="J12" i="2"/>
  <c r="K12" i="2" s="1"/>
  <c r="R12" i="2"/>
  <c r="S12" i="2" s="1"/>
  <c r="N13" i="2"/>
  <c r="O13" i="2" s="1"/>
  <c r="AC7" i="2"/>
  <c r="F8" i="2"/>
  <c r="AA8" i="2" s="1"/>
  <c r="AB8" i="2" s="1"/>
  <c r="N14" i="2" l="1"/>
  <c r="O14" i="2"/>
  <c r="R13" i="2"/>
  <c r="S13" i="2" s="1"/>
  <c r="W15" i="2"/>
  <c r="X15" i="2" s="1"/>
  <c r="J13" i="2"/>
  <c r="K13" i="2" s="1"/>
  <c r="G8" i="2"/>
  <c r="AK8" i="2"/>
  <c r="AL8" i="2" s="1"/>
  <c r="W16" i="2" l="1"/>
  <c r="X16" i="2" s="1"/>
  <c r="R14" i="2"/>
  <c r="S14" i="2" s="1"/>
  <c r="J14" i="2"/>
  <c r="K14" i="2" s="1"/>
  <c r="N15" i="2"/>
  <c r="O15" i="2" s="1"/>
  <c r="F9" i="2"/>
  <c r="AA9" i="2" s="1"/>
  <c r="AB9" i="2" s="1"/>
  <c r="AC8" i="2"/>
  <c r="G9" i="2" l="1"/>
  <c r="J15" i="2"/>
  <c r="K15" i="2" s="1"/>
  <c r="N16" i="2"/>
  <c r="O16" i="2" s="1"/>
  <c r="R15" i="2"/>
  <c r="S15" i="2" s="1"/>
  <c r="AC9" i="2"/>
  <c r="F10" i="2"/>
  <c r="AA10" i="2" s="1"/>
  <c r="AB10" i="2" s="1"/>
  <c r="AK10" i="2" s="1"/>
  <c r="AK9" i="2"/>
  <c r="AL9" i="2" s="1"/>
  <c r="W17" i="2"/>
  <c r="X17" i="2" s="1"/>
  <c r="AL10" i="2" l="1"/>
  <c r="G10" i="2"/>
  <c r="AC10" i="2" s="1"/>
  <c r="W18" i="2"/>
  <c r="X18" i="2" s="1"/>
  <c r="N17" i="2"/>
  <c r="O17" i="2" s="1"/>
  <c r="J16" i="2"/>
  <c r="K16" i="2" s="1"/>
  <c r="R16" i="2"/>
  <c r="S16" i="2" s="1"/>
  <c r="F11" i="2"/>
  <c r="AA11" i="2" s="1"/>
  <c r="AB11" i="2" s="1"/>
  <c r="AK11" i="2" s="1"/>
  <c r="AL11" i="2" l="1"/>
  <c r="G11" i="2"/>
  <c r="J17" i="2"/>
  <c r="K17" i="2" s="1"/>
  <c r="N18" i="2"/>
  <c r="O18" i="2" s="1"/>
  <c r="W19" i="2"/>
  <c r="X19" i="2" s="1"/>
  <c r="R17" i="2"/>
  <c r="S17" i="2" s="1"/>
  <c r="AC11" i="2"/>
  <c r="F12" i="2"/>
  <c r="AA12" i="2" s="1"/>
  <c r="AB12" i="2" s="1"/>
  <c r="AK12" i="2" s="1"/>
  <c r="AL12" i="2" l="1"/>
  <c r="N19" i="2"/>
  <c r="O19" i="2" s="1"/>
  <c r="W20" i="2"/>
  <c r="X20" i="2" s="1"/>
  <c r="J18" i="2"/>
  <c r="K18" i="2" s="1"/>
  <c r="R18" i="2"/>
  <c r="S18" i="2" s="1"/>
  <c r="G12" i="2"/>
  <c r="W21" i="2" l="1"/>
  <c r="X21" i="2" s="1"/>
  <c r="J19" i="2"/>
  <c r="K19" i="2" s="1"/>
  <c r="N20" i="2"/>
  <c r="O20" i="2" s="1"/>
  <c r="R19" i="2"/>
  <c r="S19" i="2" s="1"/>
  <c r="AC12" i="2"/>
  <c r="F13" i="2"/>
  <c r="AA13" i="2" s="1"/>
  <c r="AB13" i="2" s="1"/>
  <c r="AK13" i="2" s="1"/>
  <c r="AL13" i="2" s="1"/>
  <c r="N21" i="2" l="1"/>
  <c r="O21" i="2" s="1"/>
  <c r="J20" i="2"/>
  <c r="K20" i="2" s="1"/>
  <c r="W22" i="2"/>
  <c r="X22" i="2" s="1"/>
  <c r="R20" i="2"/>
  <c r="S20" i="2" s="1"/>
  <c r="G13" i="2"/>
  <c r="R21" i="2" l="1"/>
  <c r="S21" i="2" s="1"/>
  <c r="W23" i="2"/>
  <c r="X23" i="2" s="1"/>
  <c r="J21" i="2"/>
  <c r="K21" i="2" s="1"/>
  <c r="N22" i="2"/>
  <c r="O22" i="2" s="1"/>
  <c r="AC13" i="2"/>
  <c r="F14" i="2"/>
  <c r="AA14" i="2" s="1"/>
  <c r="AB14" i="2" s="1"/>
  <c r="AK14" i="2" s="1"/>
  <c r="AL14" i="2" s="1"/>
  <c r="G14" i="2" l="1"/>
  <c r="J22" i="2"/>
  <c r="K22" i="2" s="1"/>
  <c r="N23" i="2"/>
  <c r="O23" i="2" s="1"/>
  <c r="R22" i="2"/>
  <c r="S22" i="2" s="1"/>
  <c r="F15" i="2"/>
  <c r="AA15" i="2" s="1"/>
  <c r="AB15" i="2" s="1"/>
  <c r="AC14" i="2"/>
  <c r="W24" i="2"/>
  <c r="X24" i="2" s="1"/>
  <c r="W25" i="2" l="1"/>
  <c r="X25" i="2" s="1"/>
  <c r="R23" i="2"/>
  <c r="S23" i="2" s="1"/>
  <c r="N24" i="2"/>
  <c r="O24" i="2" s="1"/>
  <c r="J23" i="2"/>
  <c r="K23" i="2" s="1"/>
  <c r="G15" i="2"/>
  <c r="J24" i="2" l="1"/>
  <c r="K24" i="2" s="1"/>
  <c r="N25" i="2"/>
  <c r="O25" i="2" s="1"/>
  <c r="R24" i="2"/>
  <c r="S24" i="2" s="1"/>
  <c r="W26" i="2"/>
  <c r="X26" i="2" s="1"/>
  <c r="AC15" i="2"/>
  <c r="AF15" i="2" s="1"/>
  <c r="F16" i="2"/>
  <c r="AA16" i="2" s="1"/>
  <c r="AB16" i="2" s="1"/>
  <c r="AK16" i="2" s="1"/>
  <c r="N26" i="2" l="1"/>
  <c r="O26" i="2" s="1"/>
  <c r="R25" i="2"/>
  <c r="S25" i="2" s="1"/>
  <c r="J25" i="2"/>
  <c r="K25" i="2" s="1"/>
  <c r="W27" i="2"/>
  <c r="X27" i="2" s="1"/>
  <c r="AI15" i="2"/>
  <c r="G16" i="2"/>
  <c r="W28" i="2" l="1"/>
  <c r="X28" i="2" s="1"/>
  <c r="J26" i="2"/>
  <c r="K26" i="2" s="1"/>
  <c r="N27" i="2"/>
  <c r="O27" i="2" s="1"/>
  <c r="AC16" i="2"/>
  <c r="F17" i="2"/>
  <c r="AA17" i="2" s="1"/>
  <c r="AB17" i="2" s="1"/>
  <c r="AK17" i="2" s="1"/>
  <c r="R26" i="2"/>
  <c r="S26" i="2" s="1"/>
  <c r="AK15" i="2"/>
  <c r="AL15" i="2" s="1"/>
  <c r="AL16" i="2" s="1"/>
  <c r="AL17" i="2" l="1"/>
  <c r="G17" i="2"/>
  <c r="F18" i="2" s="1"/>
  <c r="AA18" i="2" s="1"/>
  <c r="AB18" i="2" s="1"/>
  <c r="AK18" i="2" s="1"/>
  <c r="J27" i="2"/>
  <c r="K27" i="2" s="1"/>
  <c r="R27" i="2"/>
  <c r="S27" i="2" s="1"/>
  <c r="N28" i="2"/>
  <c r="O28" i="2" s="1"/>
  <c r="W29" i="2"/>
  <c r="X29" i="2" s="1"/>
  <c r="AL18" i="2" l="1"/>
  <c r="AC17" i="2"/>
  <c r="W30" i="2"/>
  <c r="X30" i="2" s="1"/>
  <c r="R28" i="2"/>
  <c r="S28" i="2" s="1"/>
  <c r="J28" i="2"/>
  <c r="K28" i="2" s="1"/>
  <c r="G18" i="2"/>
  <c r="N29" i="2"/>
  <c r="O29" i="2" s="1"/>
  <c r="N30" i="2" l="1"/>
  <c r="O30" i="2" s="1"/>
  <c r="J29" i="2"/>
  <c r="K29" i="2"/>
  <c r="R29" i="2"/>
  <c r="S29" i="2" s="1"/>
  <c r="AC18" i="2"/>
  <c r="F19" i="2"/>
  <c r="AA19" i="2" s="1"/>
  <c r="AB19" i="2" s="1"/>
  <c r="AK19" i="2" s="1"/>
  <c r="AL19" i="2" s="1"/>
  <c r="W31" i="2"/>
  <c r="X31" i="2" s="1"/>
  <c r="G19" i="2" l="1"/>
  <c r="N31" i="2"/>
  <c r="O31" i="2" s="1"/>
  <c r="AC19" i="2"/>
  <c r="F20" i="2"/>
  <c r="AA20" i="2" s="1"/>
  <c r="AB20" i="2" s="1"/>
  <c r="AK20" i="2" s="1"/>
  <c r="AL20" i="2" s="1"/>
  <c r="J30" i="2"/>
  <c r="K30" i="2" s="1"/>
  <c r="W32" i="2"/>
  <c r="X32" i="2" s="1"/>
  <c r="R30" i="2"/>
  <c r="S30" i="2" s="1"/>
  <c r="R31" i="2" l="1"/>
  <c r="S31" i="2" s="1"/>
  <c r="W33" i="2"/>
  <c r="X33" i="2" s="1"/>
  <c r="J31" i="2"/>
  <c r="K31" i="2" s="1"/>
  <c r="G20" i="2"/>
  <c r="N32" i="2"/>
  <c r="O32" i="2" s="1"/>
  <c r="N33" i="2" l="1"/>
  <c r="O33" i="2" s="1"/>
  <c r="J32" i="2"/>
  <c r="K32" i="2" s="1"/>
  <c r="W34" i="2"/>
  <c r="X34" i="2" s="1"/>
  <c r="R32" i="2"/>
  <c r="S32" i="2" s="1"/>
  <c r="AC20" i="2"/>
  <c r="F21" i="2"/>
  <c r="AA21" i="2" s="1"/>
  <c r="AB21" i="2" s="1"/>
  <c r="AK21" i="2" s="1"/>
  <c r="AL21" i="2" s="1"/>
  <c r="R33" i="2" l="1"/>
  <c r="S33" i="2" s="1"/>
  <c r="W35" i="2"/>
  <c r="X35" i="2" s="1"/>
  <c r="J33" i="2"/>
  <c r="K33" i="2" s="1"/>
  <c r="N34" i="2"/>
  <c r="O34" i="2" s="1"/>
  <c r="G21" i="2"/>
  <c r="N35" i="2" l="1"/>
  <c r="O35" i="2" s="1"/>
  <c r="W36" i="2"/>
  <c r="X36" i="2" s="1"/>
  <c r="J34" i="2"/>
  <c r="K34" i="2" s="1"/>
  <c r="R34" i="2"/>
  <c r="S34" i="2" s="1"/>
  <c r="AC21" i="2"/>
  <c r="F22" i="2"/>
  <c r="AA22" i="2" s="1"/>
  <c r="AB22" i="2" s="1"/>
  <c r="AK22" i="2" s="1"/>
  <c r="AL22" i="2" s="1"/>
  <c r="J35" i="2" l="1"/>
  <c r="K35" i="2" s="1"/>
  <c r="N36" i="2"/>
  <c r="O36" i="2" s="1"/>
  <c r="R35" i="2"/>
  <c r="S35" i="2" s="1"/>
  <c r="W37" i="2"/>
  <c r="X37" i="2" s="1"/>
  <c r="G22" i="2"/>
  <c r="W38" i="2" l="1"/>
  <c r="X38" i="2" s="1"/>
  <c r="N37" i="2"/>
  <c r="O37" i="2" s="1"/>
  <c r="R36" i="2"/>
  <c r="S36" i="2" s="1"/>
  <c r="AC22" i="2"/>
  <c r="F23" i="2"/>
  <c r="AA23" i="2" s="1"/>
  <c r="AB23" i="2" s="1"/>
  <c r="AK23" i="2" s="1"/>
  <c r="AL23" i="2" s="1"/>
  <c r="J36" i="2"/>
  <c r="K36" i="2" s="1"/>
  <c r="G23" i="2" l="1"/>
  <c r="AC23" i="2" s="1"/>
  <c r="N38" i="2"/>
  <c r="O38" i="2" s="1"/>
  <c r="J37" i="2"/>
  <c r="K37" i="2" s="1"/>
  <c r="R37" i="2"/>
  <c r="S37" i="2" s="1"/>
  <c r="W39" i="2"/>
  <c r="X39" i="2" s="1"/>
  <c r="F24" i="2" l="1"/>
  <c r="AA24" i="2" s="1"/>
  <c r="AB24" i="2" s="1"/>
  <c r="AK24" i="2" s="1"/>
  <c r="AL24" i="2" s="1"/>
  <c r="W40" i="2"/>
  <c r="X40" i="2" s="1"/>
  <c r="J38" i="2"/>
  <c r="K38" i="2" s="1"/>
  <c r="R38" i="2"/>
  <c r="S38" i="2" s="1"/>
  <c r="N39" i="2"/>
  <c r="O39" i="2" s="1"/>
  <c r="G24" i="2"/>
  <c r="R39" i="2" l="1"/>
  <c r="S39" i="2" s="1"/>
  <c r="J39" i="2"/>
  <c r="K39" i="2" s="1"/>
  <c r="N40" i="2"/>
  <c r="O40" i="2" s="1"/>
  <c r="F25" i="2"/>
  <c r="AA25" i="2" s="1"/>
  <c r="AB25" i="2" s="1"/>
  <c r="AK25" i="2" s="1"/>
  <c r="AL25" i="2" s="1"/>
  <c r="AC24" i="2"/>
  <c r="W41" i="2"/>
  <c r="X41" i="2" s="1"/>
  <c r="W42" i="2" l="1"/>
  <c r="X42" i="2" s="1"/>
  <c r="N41" i="2"/>
  <c r="O41" i="2" s="1"/>
  <c r="J40" i="2"/>
  <c r="K40" i="2" s="1"/>
  <c r="R40" i="2"/>
  <c r="S40" i="2" s="1"/>
  <c r="G25" i="2"/>
  <c r="J41" i="2" l="1"/>
  <c r="K41" i="2" s="1"/>
  <c r="N42" i="2"/>
  <c r="O42" i="2" s="1"/>
  <c r="W43" i="2"/>
  <c r="X43" i="2" s="1"/>
  <c r="R41" i="2"/>
  <c r="S41" i="2" s="1"/>
  <c r="AC25" i="2"/>
  <c r="F26" i="2"/>
  <c r="AA26" i="2" s="1"/>
  <c r="AB26" i="2" s="1"/>
  <c r="AK26" i="2" s="1"/>
  <c r="AL26" i="2" s="1"/>
  <c r="R42" i="2" l="1"/>
  <c r="S42" i="2" s="1"/>
  <c r="W44" i="2"/>
  <c r="X44" i="2" s="1"/>
  <c r="J42" i="2"/>
  <c r="K42" i="2" s="1"/>
  <c r="N43" i="2"/>
  <c r="O43" i="2" s="1"/>
  <c r="G26" i="2"/>
  <c r="J43" i="2" l="1"/>
  <c r="K43" i="2" s="1"/>
  <c r="R43" i="2"/>
  <c r="S43" i="2" s="1"/>
  <c r="N44" i="2"/>
  <c r="O44" i="2" s="1"/>
  <c r="W45" i="2"/>
  <c r="X45" i="2" s="1"/>
  <c r="AC26" i="2"/>
  <c r="F27" i="2"/>
  <c r="AA27" i="2" s="1"/>
  <c r="AB27" i="2" s="1"/>
  <c r="G27" i="2" l="1"/>
  <c r="W46" i="2"/>
  <c r="X46" i="2" s="1"/>
  <c r="N45" i="2"/>
  <c r="O45" i="2" s="1"/>
  <c r="J44" i="2"/>
  <c r="K44" i="2" s="1"/>
  <c r="R44" i="2"/>
  <c r="S44" i="2" s="1"/>
  <c r="F28" i="2" l="1"/>
  <c r="AA28" i="2" s="1"/>
  <c r="AB28" i="2" s="1"/>
  <c r="AK28" i="2" s="1"/>
  <c r="AC27" i="2"/>
  <c r="AF27" i="2" s="1"/>
  <c r="AI27" i="2" s="1"/>
  <c r="AK27" i="2" s="1"/>
  <c r="AL27" i="2" s="1"/>
  <c r="AL28" i="2" s="1"/>
  <c r="N46" i="2"/>
  <c r="O46" i="2" s="1"/>
  <c r="R45" i="2"/>
  <c r="S45" i="2" s="1"/>
  <c r="J45" i="2"/>
  <c r="K45" i="2" s="1"/>
  <c r="W47" i="2"/>
  <c r="X47" i="2" s="1"/>
  <c r="G28" i="2" l="1"/>
  <c r="F29" i="2" s="1"/>
  <c r="AA29" i="2" s="1"/>
  <c r="AB29" i="2" s="1"/>
  <c r="AK29" i="2" s="1"/>
  <c r="AL29" i="2" s="1"/>
  <c r="W48" i="2"/>
  <c r="X48" i="2" s="1"/>
  <c r="R46" i="2"/>
  <c r="S46" i="2" s="1"/>
  <c r="J46" i="2"/>
  <c r="K46" i="2" s="1"/>
  <c r="N47" i="2"/>
  <c r="O47" i="2" s="1"/>
  <c r="G29" i="2"/>
  <c r="AC28" i="2" l="1"/>
  <c r="N48" i="2"/>
  <c r="O48" i="2" s="1"/>
  <c r="R47" i="2"/>
  <c r="S47" i="2" s="1"/>
  <c r="J47" i="2"/>
  <c r="K47" i="2" s="1"/>
  <c r="W49" i="2"/>
  <c r="X49" i="2" s="1"/>
  <c r="AC29" i="2"/>
  <c r="F30" i="2"/>
  <c r="AA30" i="2" s="1"/>
  <c r="AB30" i="2" s="1"/>
  <c r="AK30" i="2" s="1"/>
  <c r="AL30" i="2" s="1"/>
  <c r="J48" i="2" l="1"/>
  <c r="K48" i="2"/>
  <c r="W50" i="2"/>
  <c r="X50" i="2" s="1"/>
  <c r="R48" i="2"/>
  <c r="S48" i="2" s="1"/>
  <c r="N49" i="2"/>
  <c r="O49" i="2" s="1"/>
  <c r="G30" i="2"/>
  <c r="N50" i="2" l="1"/>
  <c r="O50" i="2" s="1"/>
  <c r="W51" i="2"/>
  <c r="X51" i="2" s="1"/>
  <c r="J49" i="2"/>
  <c r="K49" i="2" s="1"/>
  <c r="R49" i="2"/>
  <c r="S49" i="2" s="1"/>
  <c r="AC30" i="2"/>
  <c r="F31" i="2"/>
  <c r="AA31" i="2" s="1"/>
  <c r="AB31" i="2" s="1"/>
  <c r="AK31" i="2" s="1"/>
  <c r="AL31" i="2" s="1"/>
  <c r="R50" i="2" l="1"/>
  <c r="S50" i="2" s="1"/>
  <c r="J50" i="2"/>
  <c r="K50" i="2" s="1"/>
  <c r="N51" i="2"/>
  <c r="O51" i="2" s="1"/>
  <c r="G31" i="2"/>
  <c r="J51" i="2" l="1"/>
  <c r="K51" i="2" s="1"/>
  <c r="AC31" i="2"/>
  <c r="F32" i="2"/>
  <c r="AA32" i="2" s="1"/>
  <c r="AB32" i="2" s="1"/>
  <c r="AK32" i="2" s="1"/>
  <c r="AL32" i="2" s="1"/>
  <c r="R51" i="2"/>
  <c r="S51" i="2" s="1"/>
  <c r="G32" i="2" l="1"/>
  <c r="AC32" i="2" l="1"/>
  <c r="F33" i="2"/>
  <c r="AA33" i="2" s="1"/>
  <c r="AB33" i="2" s="1"/>
  <c r="AK33" i="2" s="1"/>
  <c r="AL33" i="2" s="1"/>
  <c r="G33" i="2"/>
  <c r="AC33" i="2" l="1"/>
  <c r="F34" i="2"/>
  <c r="AA34" i="2" s="1"/>
  <c r="AB34" i="2" s="1"/>
  <c r="AK34" i="2" s="1"/>
  <c r="AL34" i="2" s="1"/>
  <c r="G34" i="2" l="1"/>
  <c r="F35" i="2" l="1"/>
  <c r="AA35" i="2" s="1"/>
  <c r="AB35" i="2" s="1"/>
  <c r="AK35" i="2" s="1"/>
  <c r="AL35" i="2" s="1"/>
  <c r="AC34" i="2"/>
  <c r="G35" i="2" l="1"/>
  <c r="AC35" i="2"/>
  <c r="F36" i="2"/>
  <c r="AA36" i="2" s="1"/>
  <c r="AB36" i="2" s="1"/>
  <c r="AK36" i="2" s="1"/>
  <c r="AL36" i="2" s="1"/>
  <c r="G36" i="2" l="1"/>
  <c r="AC36" i="2" l="1"/>
  <c r="F37" i="2"/>
  <c r="AA37" i="2" s="1"/>
  <c r="AB37" i="2" s="1"/>
  <c r="AK37" i="2" s="1"/>
  <c r="AL37" i="2" s="1"/>
  <c r="G37" i="2"/>
  <c r="AC37" i="2" l="1"/>
  <c r="F38" i="2"/>
  <c r="AA38" i="2" s="1"/>
  <c r="AB38" i="2" s="1"/>
  <c r="AK38" i="2" s="1"/>
  <c r="AL38" i="2" s="1"/>
  <c r="G38" i="2" l="1"/>
  <c r="F39" i="2" l="1"/>
  <c r="AA39" i="2" s="1"/>
  <c r="AB39" i="2" s="1"/>
  <c r="AC38" i="2"/>
  <c r="G39" i="2" l="1"/>
  <c r="AC39" i="2" l="1"/>
  <c r="AF39" i="2" s="1"/>
  <c r="F40" i="2"/>
  <c r="AA40" i="2" s="1"/>
  <c r="AB40" i="2" s="1"/>
  <c r="AK40" i="2" s="1"/>
  <c r="AM40" i="2" s="1"/>
  <c r="G40" i="2" l="1"/>
  <c r="AI39" i="2"/>
  <c r="AK39" i="2" s="1"/>
  <c r="AL39" i="2" s="1"/>
  <c r="AL40" i="2" s="1"/>
  <c r="AL41" i="2" s="1"/>
  <c r="AL42" i="2" s="1"/>
  <c r="AL43" i="2" s="1"/>
  <c r="AL44" i="2" s="1"/>
  <c r="AL45" i="2" s="1"/>
  <c r="AL46" i="2" s="1"/>
  <c r="AL47" i="2" s="1"/>
  <c r="AL48" i="2" s="1"/>
  <c r="AL49" i="2" s="1"/>
  <c r="AL50" i="2" s="1"/>
  <c r="AL51" i="2" s="1"/>
  <c r="AC40" i="2"/>
  <c r="F41" i="2"/>
  <c r="AA41" i="2" s="1"/>
  <c r="AB41" i="2" s="1"/>
  <c r="AK41" i="2" s="1"/>
  <c r="AM41" i="2" s="1"/>
  <c r="G41" i="2" l="1"/>
  <c r="AC41" i="2" l="1"/>
  <c r="F42" i="2"/>
  <c r="AA42" i="2" s="1"/>
  <c r="AB42" i="2" s="1"/>
  <c r="AK42" i="2" s="1"/>
  <c r="AM42" i="2" s="1"/>
  <c r="G42" i="2" l="1"/>
  <c r="AC42" i="2" l="1"/>
  <c r="F43" i="2"/>
  <c r="AA43" i="2" s="1"/>
  <c r="AB43" i="2" s="1"/>
  <c r="AK43" i="2" s="1"/>
  <c r="AM43" i="2" s="1"/>
  <c r="G43" i="2" l="1"/>
  <c r="AC43" i="2" l="1"/>
  <c r="F44" i="2"/>
  <c r="AA44" i="2" s="1"/>
  <c r="AB44" i="2" s="1"/>
  <c r="AK44" i="2" s="1"/>
  <c r="AM44" i="2" s="1"/>
  <c r="G44" i="2" l="1"/>
  <c r="AC44" i="2" l="1"/>
  <c r="F45" i="2"/>
  <c r="AA45" i="2" s="1"/>
  <c r="AB45" i="2" s="1"/>
  <c r="AK45" i="2" s="1"/>
  <c r="AM45" i="2" s="1"/>
  <c r="G45" i="2" l="1"/>
  <c r="AC45" i="2" l="1"/>
  <c r="F46" i="2"/>
  <c r="AA46" i="2" s="1"/>
  <c r="AB46" i="2" s="1"/>
  <c r="AK46" i="2" s="1"/>
  <c r="AM46" i="2" s="1"/>
  <c r="G46" i="2" l="1"/>
  <c r="AC46" i="2" l="1"/>
  <c r="F47" i="2"/>
  <c r="AA47" i="2" s="1"/>
  <c r="AB47" i="2" s="1"/>
  <c r="AK47" i="2" s="1"/>
  <c r="AM47" i="2" s="1"/>
  <c r="G47" i="2" l="1"/>
  <c r="AC47" i="2" l="1"/>
  <c r="F48" i="2"/>
  <c r="AA48" i="2" s="1"/>
  <c r="AB48" i="2" s="1"/>
  <c r="AK48" i="2" s="1"/>
  <c r="AM48" i="2" s="1"/>
  <c r="G48" i="2" l="1"/>
  <c r="AC48" i="2" l="1"/>
  <c r="F49" i="2"/>
  <c r="AA49" i="2" s="1"/>
  <c r="AB49" i="2" s="1"/>
  <c r="AK49" i="2" s="1"/>
  <c r="AM49" i="2" s="1"/>
  <c r="G49" i="2" l="1"/>
  <c r="F50" i="2" l="1"/>
  <c r="AA50" i="2" s="1"/>
  <c r="AB50" i="2" s="1"/>
  <c r="AK50" i="2" s="1"/>
  <c r="AM50" i="2" s="1"/>
  <c r="AC49" i="2"/>
  <c r="G50" i="2" l="1"/>
  <c r="F51" i="2" l="1"/>
  <c r="AA51" i="2" s="1"/>
  <c r="G51" i="2"/>
  <c r="AC51" i="2" s="1"/>
  <c r="AC50" i="2"/>
  <c r="AC52" i="2" l="1"/>
  <c r="AF51" i="2"/>
  <c r="AB51" i="2"/>
  <c r="AA52" i="2"/>
  <c r="AB52" i="2" l="1"/>
  <c r="AI51" i="2"/>
  <c r="AI52" i="2" s="1"/>
  <c r="AF52" i="2"/>
  <c r="AK51" i="2" l="1"/>
  <c r="AM51" i="2" s="1"/>
  <c r="AM52" i="2" s="1"/>
  <c r="AK52" i="2" l="1"/>
  <c r="AL52" i="2"/>
</calcChain>
</file>

<file path=xl/sharedStrings.xml><?xml version="1.0" encoding="utf-8"?>
<sst xmlns="http://schemas.openxmlformats.org/spreadsheetml/2006/main" count="140" uniqueCount="120">
  <si>
    <t>BitWealth (Pty) Ltd — Cashflow Model Variables</t>
  </si>
  <si>
    <t>v3.0  ·  48-Month Forecast  ·  Adjust YELLOW cells  ·  All formulas in 'MONTHLY FORECAST' tab update automatically</t>
  </si>
  <si>
    <t>RETURN &amp; PERFORMANCE ASSUMPTIONS</t>
  </si>
  <si>
    <t>Annual portfolio return — Years 1–3 (p.a.)</t>
  </si>
  <si>
    <t>Annual portfolio return — Year 4 (p.a.)</t>
  </si>
  <si>
    <t>Year 4 starts (model month number)</t>
  </si>
  <si>
    <t>Month 37 = July 2029 (one month after the 36-month bull period)</t>
  </si>
  <si>
    <t>Performance fee crystallisation period (months)</t>
  </si>
  <si>
    <t>3 = quarterly (default). Change to 1 for monthly, 12 for annual</t>
  </si>
  <si>
    <t>Monthly reserve provision into Y4 buffer (R)</t>
  </si>
  <si>
    <t>Set aside this amount each month in Years 1–3 to fund Year 4 cash deficit</t>
  </si>
  <si>
    <t>COST ASSUMPTIONS</t>
  </si>
  <si>
    <t>CAEP onboarding fee (once-off, Month 1)</t>
  </si>
  <si>
    <t>Juristic Representative appointment fee</t>
  </si>
  <si>
    <t>CAEP hosting — Months 1–3</t>
  </si>
  <si>
    <t>Per month</t>
  </si>
  <si>
    <t>CAEP hosting — Months 4–6</t>
  </si>
  <si>
    <t>CAEP hosting — Month 7 onwards</t>
  </si>
  <si>
    <t>Per month steady-state; negotiate cap contractually</t>
  </si>
  <si>
    <t>CAEP AUM fee (% of AUM, billed once annually)</t>
  </si>
  <si>
    <t>0.25% p.a.; billed in months 12, 24, 36, 48 on AUM at that date</t>
  </si>
  <si>
    <t>Software &amp; infrastructure (monthly)</t>
  </si>
  <si>
    <t>Company secretarial (annual, charged in month 12/24/36/48)</t>
  </si>
  <si>
    <t>CIPC return + company secretary</t>
  </si>
  <si>
    <t>CLIENT 1 (Founding — Davin referral / existing)</t>
  </si>
  <si>
    <t>Start month</t>
  </si>
  <si>
    <t>Month 1 = June 2026</t>
  </si>
  <si>
    <t>Initial lump sum (R)</t>
  </si>
  <si>
    <t>Monthly contribution (R)</t>
  </si>
  <si>
    <t>Minimum 5 years</t>
  </si>
  <si>
    <t>Platform fee rate</t>
  </si>
  <si>
    <t>0.75%</t>
  </si>
  <si>
    <t>Performance fee rate</t>
  </si>
  <si>
    <t>2.5% — negotiated rate for this client</t>
  </si>
  <si>
    <t>CLIENT 2 (Founding — lined-up)</t>
  </si>
  <si>
    <t>Month 2 = July 2026</t>
  </si>
  <si>
    <t>Standard 10%</t>
  </si>
  <si>
    <t>CLIENT 3 (Founding — large lump sum)</t>
  </si>
  <si>
    <t>No monthly contributions</t>
  </si>
  <si>
    <t>0.75% on lump sum = R37 500 on day 1</t>
  </si>
  <si>
    <t>2.5% — preferential rate</t>
  </si>
  <si>
    <t>NEW CLIENT ACQUISITION (rolling ramp)</t>
  </si>
  <si>
    <t>Maximum cohort batches to model</t>
  </si>
  <si>
    <t>Model adds 1 batch per interval up to this cap; total clients = batches × per-cohort</t>
  </si>
  <si>
    <t>First cohort — start month</t>
  </si>
  <si>
    <t>Subsequent cohorts — interval (months)</t>
  </si>
  <si>
    <t>New clients per cohort batch</t>
  </si>
  <si>
    <t>Change to 2+ to onboard multiple clients per interval. NC Active# column shows total active clients</t>
  </si>
  <si>
    <t>New client initial lump sum (R, per client)</t>
  </si>
  <si>
    <t>Applied per client; if 2 clients per batch and lump=500k → R1m lump per batch</t>
  </si>
  <si>
    <t>New client monthly contribution (R, per client)</t>
  </si>
  <si>
    <t>Per client per month; total = active_clients × this value</t>
  </si>
  <si>
    <t>New client platform fee rate</t>
  </si>
  <si>
    <t>Standard 0.75%</t>
  </si>
  <si>
    <t>New client performance fee rate</t>
  </si>
  <si>
    <t>FORECAST PARAMETERS</t>
  </si>
  <si>
    <t>Forecast months</t>
  </si>
  <si>
    <t>Max 48 (4 years). Rows beyond this will show blank.</t>
  </si>
  <si>
    <t>Model start year</t>
  </si>
  <si>
    <t>Calendar year of Month 1</t>
  </si>
  <si>
    <t>Model start calendar month (1=Jan … 12=Dec)</t>
  </si>
  <si>
    <t>6 = June</t>
  </si>
  <si>
    <t>★  Yellow cells are editable.  The MONTHLY FORECAST sheet uses Excel formulas that reference these cells — change any value above and the forecast updates automatically.  Performance fee note: model uses simplified monthly accrual (fee = AUM × monthly_return × perf_rate) which closely approximates the quarterly HWM crystallisation approach (verified within 1% annual variance).</t>
  </si>
  <si>
    <t>BitWealth (Pty) Ltd — 48-Month Operating Cashflow Forecast v3.0  ·  All formulas auto-update when VARIABLES are changed</t>
  </si>
  <si>
    <t>PERIOD</t>
  </si>
  <si>
    <t>CLIENT DETAIL (hidden by default — click + to expand)</t>
  </si>
  <si>
    <t>NEW CLIENTS</t>
  </si>
  <si>
    <t>REVENUE</t>
  </si>
  <si>
    <t>TOTAL AUM</t>
  </si>
  <si>
    <t>COSTS</t>
  </si>
  <si>
    <t>RESERVE</t>
  </si>
  <si>
    <t>CASHFLOW</t>
  </si>
  <si>
    <t>Month
#</t>
  </si>
  <si>
    <t>Month</t>
  </si>
  <si>
    <t>Monthly
Return %</t>
  </si>
  <si>
    <t>C1
Contrib</t>
  </si>
  <si>
    <t>C1
Plat Fee</t>
  </si>
  <si>
    <t>C1
Perf Fee</t>
  </si>
  <si>
    <t>C1
AUM</t>
  </si>
  <si>
    <t>C2
Contrib</t>
  </si>
  <si>
    <t>C2
Plat Fee</t>
  </si>
  <si>
    <t>C2
Perf Fee</t>
  </si>
  <si>
    <t>C2
AUM</t>
  </si>
  <si>
    <t>C3
Contrib</t>
  </si>
  <si>
    <t>C3
Plat Fee</t>
  </si>
  <si>
    <t>C3
Perf Fee</t>
  </si>
  <si>
    <t>C3
AUM</t>
  </si>
  <si>
    <t>C4
Contrib</t>
  </si>
  <si>
    <t>C4
Plat Fee</t>
  </si>
  <si>
    <t>C4
Perf Fee</t>
  </si>
  <si>
    <t>C4
AUM</t>
  </si>
  <si>
    <t>NC
Active#</t>
  </si>
  <si>
    <t>NC
Contrib</t>
  </si>
  <si>
    <t>NC
Plat Fee</t>
  </si>
  <si>
    <t>NC
Perf Fee</t>
  </si>
  <si>
    <t>NC
AUM</t>
  </si>
  <si>
    <t>Total
Contrib</t>
  </si>
  <si>
    <t>Total
Plat Fee</t>
  </si>
  <si>
    <t>Total
Perf Fee</t>
  </si>
  <si>
    <t>TOTAL
REVENUE</t>
  </si>
  <si>
    <t>TOTAL
AUM</t>
  </si>
  <si>
    <t>CAEP
Onboard</t>
  </si>
  <si>
    <t>CAEP
Hosting</t>
  </si>
  <si>
    <t>CAEP
AUM Fee</t>
  </si>
  <si>
    <t>Software</t>
  </si>
  <si>
    <t>Co Sec</t>
  </si>
  <si>
    <t>TOTAL
COSTS</t>
  </si>
  <si>
    <t>Reserve
Provision</t>
  </si>
  <si>
    <t>NET CASH
(after reserve)</t>
  </si>
  <si>
    <t>CUMULATIVE
CASH</t>
  </si>
  <si>
    <t>Reserve
Fund Bal</t>
  </si>
  <si>
    <t>TOTAL / FINAL</t>
  </si>
  <si>
    <t>BitWealth (Pty) Ltd — Cashflow Visual Summary</t>
  </si>
  <si>
    <t>Cloud, Supabase, On-Chain API, Netlify, Domains, etc.</t>
  </si>
  <si>
    <t>CLIENT 4 (Founding — lined-up)</t>
  </si>
  <si>
    <t>Month 3 = August 2026 (first quarter after founding 3)</t>
  </si>
  <si>
    <t>1 new client every X months. Change to 1 for monthly growth</t>
  </si>
  <si>
    <t>40% p.a. BTC bull cycle; divided by 12 for monthly</t>
  </si>
  <si>
    <t>10% — BTC bear/consolidation year; set to e.g. 20% for optimistic Y4</t>
  </si>
  <si>
    <t>NOTES:  ① Detail columns (Clients 1-4 + New Clients) are hidden — click the [+] group toggle above column D to expand.  ② Performance fee uses simplified monthly accrual (AUM × monthly_return × perf_rate) — closely approximates quarterly HWM crystallisation.  ③ CAEP AUM fee (0.25%) billed annually in months 12, 24, 36, 48 on end-of-month AUM.  ④ Reserve provision set aside monthly (Years 1–3) to fund Year 4 cash deficit; tracked in Reserve Fund Balance column.  ⑤ Year 4 (months 37–48) assumes 10% portfolio return — staking to USDPC.  ⑥ NEW v3.0: nc_per_cohort variable = clients per cohort batch. NC Active# column shows total active clients. Example: nc_per_cohort=2 + nc_monthly=R50k → R50k total contribution per active batch.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</si>
</sst>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 #,##0;[Red]\(\R\ #,##0\)"/>
  </numFmts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9"/>
      <color rgb="FF555555"/>
      <name val="Aptos"/>
      <family val="2"/>
    </font>
    <font>
      <i/>
      <sz val="9"/>
      <color rgb="FF1A1A1A"/>
      <name val="Aptos"/>
      <family val="2"/>
    </font>
    <font>
      <b/>
      <sz val="9"/>
      <color rgb="FFFFFFFF"/>
      <name val="Aptos"/>
      <family val="2"/>
    </font>
    <font>
      <sz val="9"/>
      <color theme="1"/>
      <name val="Aptos"/>
      <family val="2"/>
    </font>
    <font>
      <sz val="9"/>
      <color rgb="FF1A1A1A"/>
      <name val="Aptos"/>
      <family val="2"/>
    </font>
    <font>
      <b/>
      <sz val="9"/>
      <color rgb="FF1A1A1A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C9A227"/>
      </patternFill>
    </fill>
    <fill>
      <patternFill patternType="solid">
        <fgColor rgb="FFF5EBC8"/>
      </patternFill>
    </fill>
    <fill>
      <patternFill patternType="solid">
        <fgColor rgb="FF006064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37474F"/>
      </patternFill>
    </fill>
    <fill>
      <patternFill patternType="solid">
        <fgColor rgb="FF1B5E20"/>
      </patternFill>
    </fill>
    <fill>
      <patternFill patternType="solid">
        <fgColor rgb="FF1A1A1A"/>
      </patternFill>
    </fill>
    <fill>
      <patternFill patternType="solid">
        <fgColor rgb="FFB71C1C"/>
      </patternFill>
    </fill>
    <fill>
      <patternFill patternType="solid">
        <fgColor rgb="FF6D4C41"/>
      </patternFill>
    </fill>
    <fill>
      <patternFill patternType="solid">
        <fgColor rgb="FFC8E6C9"/>
      </patternFill>
    </fill>
    <fill>
      <patternFill patternType="solid">
        <fgColor rgb="FFE3F2FD"/>
      </patternFill>
    </fill>
    <fill>
      <patternFill patternType="solid">
        <fgColor rgb="FFFFCDD2"/>
      </patternFill>
    </fill>
    <fill>
      <patternFill patternType="solid">
        <fgColor rgb="FFFFF3E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7" borderId="1" xfId="0" applyFont="1" applyFill="1" applyBorder="1" applyAlignment="1">
      <alignment horizontal="left" vertical="center"/>
    </xf>
    <xf numFmtId="0" fontId="5" fillId="0" borderId="0" xfId="0" applyFont="1"/>
    <xf numFmtId="0" fontId="6" fillId="5" borderId="1" xfId="0" applyFont="1" applyFill="1" applyBorder="1" applyAlignment="1">
      <alignment horizontal="left" vertical="center"/>
    </xf>
    <xf numFmtId="10" fontId="7" fillId="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164" fontId="7" fillId="6" borderId="2" xfId="0" applyNumberFormat="1" applyFont="1" applyFill="1" applyBorder="1" applyAlignment="1">
      <alignment horizontal="right" vertical="center"/>
    </xf>
    <xf numFmtId="164" fontId="6" fillId="7" borderId="1" xfId="0" applyNumberFormat="1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164" fontId="7" fillId="13" borderId="1" xfId="0" applyNumberFormat="1" applyFont="1" applyFill="1" applyBorder="1" applyAlignment="1">
      <alignment horizontal="right" vertical="center"/>
    </xf>
    <xf numFmtId="164" fontId="7" fillId="14" borderId="1" xfId="0" applyNumberFormat="1" applyFont="1" applyFill="1" applyBorder="1" applyAlignment="1">
      <alignment horizontal="right" vertical="center"/>
    </xf>
    <xf numFmtId="164" fontId="7" fillId="15" borderId="1" xfId="0" applyNumberFormat="1" applyFont="1" applyFill="1" applyBorder="1" applyAlignment="1">
      <alignment horizontal="right" vertical="center"/>
    </xf>
    <xf numFmtId="164" fontId="6" fillId="1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7" fillId="16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right" vertical="center"/>
    </xf>
    <xf numFmtId="1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right" vertical="center"/>
    </xf>
    <xf numFmtId="164" fontId="7" fillId="3" borderId="1" xfId="0" applyNumberFormat="1" applyFont="1" applyFill="1" applyBorder="1" applyAlignment="1">
      <alignment horizontal="right" vertical="center"/>
    </xf>
    <xf numFmtId="0" fontId="2" fillId="3" borderId="0" xfId="0" applyFont="1" applyFill="1" applyAlignment="1">
      <alignment horizontal="left" vertical="center" wrapText="1"/>
    </xf>
    <xf numFmtId="0" fontId="5" fillId="0" borderId="0" xfId="0" applyFont="1"/>
    <xf numFmtId="0" fontId="4" fillId="12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Total AUM Growth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FORECAST'!$AC$3</c:f>
              <c:strCache>
                <c:ptCount val="1"/>
                <c:pt idx="0">
                  <c:v>TOTAL
AUM</c:v>
                </c:pt>
              </c:strCache>
            </c:strRef>
          </c:tx>
          <c:spPr>
            <a:ln w="25000">
              <a:solidFill>
                <a:srgbClr val="C9A227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FORECAST'!$AC$4:$AC$51</c:f>
              <c:numCache>
                <c:formatCode>\R\ #\ ##0;[Red]\(\R\ #\ ##0\)</c:formatCode>
                <c:ptCount val="48"/>
                <c:pt idx="0">
                  <c:v>524375</c:v>
                </c:pt>
                <c:pt idx="1">
                  <c:v>6047463.28125</c:v>
                </c:pt>
                <c:pt idx="2">
                  <c:v>6652526.6162109375</c:v>
                </c:pt>
                <c:pt idx="3">
                  <c:v>7291050.7350012213</c:v>
                </c:pt>
                <c:pt idx="4">
                  <c:v>7964590.5096637793</c:v>
                </c:pt>
                <c:pt idx="5">
                  <c:v>8674773.1769010462</c:v>
                </c:pt>
                <c:pt idx="6">
                  <c:v>9423301.7112612296</c:v>
                </c:pt>
                <c:pt idx="7">
                  <c:v>10211958.355810855</c:v>
                </c:pt>
                <c:pt idx="8">
                  <c:v>11042608.317657929</c:v>
                </c:pt>
                <c:pt idx="9">
                  <c:v>11917203.636035109</c:v>
                </c:pt>
                <c:pt idx="10">
                  <c:v>12837787.231013281</c:v>
                </c:pt>
                <c:pt idx="11">
                  <c:v>13806497.141294109</c:v>
                </c:pt>
                <c:pt idx="12">
                  <c:v>14825570.959925728</c:v>
                </c:pt>
                <c:pt idx="13">
                  <c:v>15897350.477200346</c:v>
                </c:pt>
                <c:pt idx="14">
                  <c:v>17024286.54042612</c:v>
                </c:pt>
                <c:pt idx="15">
                  <c:v>18208944.140719958</c:v>
                </c:pt>
                <c:pt idx="16">
                  <c:v>19454007.737443283</c:v>
                </c:pt>
                <c:pt idx="17">
                  <c:v>20762286.831400715</c:v>
                </c:pt>
                <c:pt idx="18">
                  <c:v>22136721.798442636</c:v>
                </c:pt>
                <c:pt idx="19">
                  <c:v>23580389.995658357</c:v>
                </c:pt>
                <c:pt idx="20">
                  <c:v>25096512.152917713</c:v>
                </c:pt>
                <c:pt idx="21">
                  <c:v>26688459.063117161</c:v>
                </c:pt>
                <c:pt idx="22">
                  <c:v>28359758.585112344</c:v>
                </c:pt>
                <c:pt idx="23">
                  <c:v>30114102.973974865</c:v>
                </c:pt>
                <c:pt idx="24">
                  <c:v>31955356.553897146</c:v>
                </c:pt>
                <c:pt idx="25">
                  <c:v>33887563.749788001</c:v>
                </c:pt>
                <c:pt idx="26">
                  <c:v>35914957.494353503</c:v>
                </c:pt>
                <c:pt idx="27">
                  <c:v>38041968.028245926</c:v>
                </c:pt>
                <c:pt idx="28">
                  <c:v>40273232.111687519</c:v>
                </c:pt>
                <c:pt idx="29">
                  <c:v>42613602.666839801</c:v>
                </c:pt>
                <c:pt idx="30">
                  <c:v>45068158.871092588</c:v>
                </c:pt>
                <c:pt idx="31">
                  <c:v>47642216.722393699</c:v>
                </c:pt>
                <c:pt idx="32">
                  <c:v>50341340.09873084</c:v>
                </c:pt>
                <c:pt idx="33">
                  <c:v>53171352.334914826</c:v>
                </c:pt>
                <c:pt idx="34">
                  <c:v>56138348.340899467</c:v>
                </c:pt>
                <c:pt idx="35">
                  <c:v>59248707.287010461</c:v>
                </c:pt>
                <c:pt idx="36">
                  <c:v>60196273.719616465</c:v>
                </c:pt>
                <c:pt idx="37">
                  <c:v>61156240.22994414</c:v>
                </c:pt>
                <c:pt idx="38">
                  <c:v>62128701.897190891</c:v>
                </c:pt>
                <c:pt idx="39">
                  <c:v>63113754.53053686</c:v>
                </c:pt>
                <c:pt idx="40">
                  <c:v>64111494.674757004</c:v>
                </c:pt>
                <c:pt idx="41">
                  <c:v>65122019.615876377</c:v>
                </c:pt>
                <c:pt idx="42">
                  <c:v>66145427.386868998</c:v>
                </c:pt>
                <c:pt idx="43">
                  <c:v>67181816.77340053</c:v>
                </c:pt>
                <c:pt idx="44">
                  <c:v>68231287.319615245</c:v>
                </c:pt>
                <c:pt idx="45">
                  <c:v>69293939.333967432</c:v>
                </c:pt>
                <c:pt idx="46">
                  <c:v>70369873.895097822</c:v>
                </c:pt>
                <c:pt idx="47">
                  <c:v>71459192.857755229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34-4CC9-8E97-645A8D922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Monthly Revenue vs Costs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FORECAST'!$AB$3</c:f>
              <c:strCache>
                <c:ptCount val="1"/>
                <c:pt idx="0">
                  <c:v>TOTAL
REVENUE</c:v>
                </c:pt>
              </c:strCache>
            </c:strRef>
          </c:tx>
          <c:spPr>
            <a:ln w="20000">
              <a:solidFill>
                <a:srgbClr val="1B5E20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FORECAST'!$AB$4:$AB$51</c:f>
              <c:numCache>
                <c:formatCode>\R\ #\ ##0;[Red]\(\R\ #\ ##0\)</c:formatCode>
                <c:ptCount val="48"/>
                <c:pt idx="0">
                  <c:v>4375</c:v>
                </c:pt>
                <c:pt idx="1">
                  <c:v>65580.46875</c:v>
                </c:pt>
                <c:pt idx="2">
                  <c:v>30422.3291015625</c:v>
                </c:pt>
                <c:pt idx="3">
                  <c:v>32502.212020263672</c:v>
                </c:pt>
                <c:pt idx="4">
                  <c:v>34700.262087501527</c:v>
                </c:pt>
                <c:pt idx="5">
                  <c:v>37021.858245923475</c:v>
                </c:pt>
                <c:pt idx="6">
                  <c:v>39472.624484868022</c:v>
                </c:pt>
                <c:pt idx="7">
                  <c:v>42058.441013436634</c:v>
                </c:pt>
                <c:pt idx="8">
                  <c:v>44785.455943469868</c:v>
                </c:pt>
                <c:pt idx="9">
                  <c:v>47660.097505720507</c:v>
                </c:pt>
                <c:pt idx="10">
                  <c:v>50689.086823581136</c:v>
                </c:pt>
                <c:pt idx="11">
                  <c:v>53879.451269838042</c:v>
                </c:pt>
                <c:pt idx="12">
                  <c:v>57238.538433087284</c:v>
                </c:pt>
                <c:pt idx="13">
                  <c:v>60774.03072166795</c:v>
                </c:pt>
                <c:pt idx="14">
                  <c:v>64493.960634240444</c:v>
                </c:pt>
                <c:pt idx="15">
                  <c:v>68406.726727470974</c:v>
                </c:pt>
                <c:pt idx="16">
                  <c:v>72521.11031267549</c:v>
                </c:pt>
                <c:pt idx="17">
                  <c:v>76846.292914734557</c:v>
                </c:pt>
                <c:pt idx="18">
                  <c:v>81391.874528113229</c:v>
                </c:pt>
                <c:pt idx="19">
                  <c:v>86167.892706414437</c:v>
                </c:pt>
                <c:pt idx="20">
                  <c:v>91184.842523560335</c:v>
                </c:pt>
                <c:pt idx="21">
                  <c:v>96453.69744643895</c:v>
                </c:pt>
                <c:pt idx="22">
                  <c:v>101985.93116067642</c:v>
                </c:pt>
                <c:pt idx="23">
                  <c:v>107793.54039310047</c:v>
                </c:pt>
                <c:pt idx="24">
                  <c:v>113889.06877645561</c:v>
                </c:pt>
                <c:pt idx="25">
                  <c:v>120285.63180401287</c:v>
                </c:pt>
                <c:pt idx="26">
                  <c:v>126996.94292390031</c:v>
                </c:pt>
                <c:pt idx="27">
                  <c:v>134037.34082525712</c:v>
                </c:pt>
                <c:pt idx="28">
                  <c:v>141421.81797070184</c:v>
                </c:pt>
                <c:pt idx="29">
                  <c:v>149166.05043209658</c:v>
                </c:pt>
                <c:pt idx="30">
                  <c:v>157286.42908919885</c:v>
                </c:pt>
                <c:pt idx="31">
                  <c:v>165800.09225351908</c:v>
                </c:pt>
                <c:pt idx="32">
                  <c:v>174724.95978255486</c:v>
                </c:pt>
                <c:pt idx="33">
                  <c:v>184079.76875255664</c:v>
                </c:pt>
                <c:pt idx="34">
                  <c:v>193884.11076109807</c:v>
                </c:pt>
                <c:pt idx="35">
                  <c:v>204158.4709339893</c:v>
                </c:pt>
                <c:pt idx="36">
                  <c:v>38851.961452413663</c:v>
                </c:pt>
                <c:pt idx="37">
                  <c:v>39427.437335797062</c:v>
                </c:pt>
                <c:pt idx="38">
                  <c:v>40011.168002780243</c:v>
                </c:pt>
                <c:pt idx="39">
                  <c:v>40603.21579728488</c:v>
                </c:pt>
                <c:pt idx="40">
                  <c:v>41203.643534330564</c:v>
                </c:pt>
                <c:pt idx="41">
                  <c:v>41812.514503596605</c:v>
                </c:pt>
                <c:pt idx="42">
                  <c:v>42429.892473010812</c:v>
                </c:pt>
                <c:pt idx="43">
                  <c:v>43055.841692365379</c:v>
                </c:pt>
                <c:pt idx="44">
                  <c:v>43690.426896960198</c:v>
                </c:pt>
                <c:pt idx="45">
                  <c:v>44333.713311273699</c:v>
                </c:pt>
                <c:pt idx="46">
                  <c:v>44985.76665266139</c:v>
                </c:pt>
                <c:pt idx="47">
                  <c:v>45646.653135082524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7F-407F-A7DE-C48B351E4250}"/>
            </c:ext>
          </c:extLst>
        </c:ser>
        <c:ser>
          <c:idx val="1"/>
          <c:order val="1"/>
          <c:tx>
            <c:strRef>
              <c:f>'MONTHLY FORECAST'!$AI$3</c:f>
              <c:strCache>
                <c:ptCount val="1"/>
                <c:pt idx="0">
                  <c:v>TOTAL
COSTS</c:v>
                </c:pt>
              </c:strCache>
            </c:strRef>
          </c:tx>
          <c:spPr>
            <a:ln w="20000">
              <a:solidFill>
                <a:srgbClr val="B71C1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FORECAST'!$AI$4:$AI$51</c:f>
              <c:numCache>
                <c:formatCode>\R\ #\ ##0;[Red]\(\R\ #\ ##0\)</c:formatCode>
                <c:ptCount val="48"/>
                <c:pt idx="0">
                  <c:v>85500</c:v>
                </c:pt>
                <c:pt idx="1">
                  <c:v>28000</c:v>
                </c:pt>
                <c:pt idx="2">
                  <c:v>28000</c:v>
                </c:pt>
                <c:pt idx="3">
                  <c:v>39500</c:v>
                </c:pt>
                <c:pt idx="4">
                  <c:v>39500</c:v>
                </c:pt>
                <c:pt idx="5">
                  <c:v>39500</c:v>
                </c:pt>
                <c:pt idx="6">
                  <c:v>51000</c:v>
                </c:pt>
                <c:pt idx="7">
                  <c:v>51000</c:v>
                </c:pt>
                <c:pt idx="8">
                  <c:v>51000</c:v>
                </c:pt>
                <c:pt idx="9">
                  <c:v>51000</c:v>
                </c:pt>
                <c:pt idx="10">
                  <c:v>51000</c:v>
                </c:pt>
                <c:pt idx="11">
                  <c:v>88516.242853235279</c:v>
                </c:pt>
                <c:pt idx="12">
                  <c:v>51000</c:v>
                </c:pt>
                <c:pt idx="13">
                  <c:v>51000</c:v>
                </c:pt>
                <c:pt idx="14">
                  <c:v>51000</c:v>
                </c:pt>
                <c:pt idx="15">
                  <c:v>51000</c:v>
                </c:pt>
                <c:pt idx="16">
                  <c:v>51000</c:v>
                </c:pt>
                <c:pt idx="17">
                  <c:v>51000</c:v>
                </c:pt>
                <c:pt idx="18">
                  <c:v>51000</c:v>
                </c:pt>
                <c:pt idx="19">
                  <c:v>51000</c:v>
                </c:pt>
                <c:pt idx="20">
                  <c:v>51000</c:v>
                </c:pt>
                <c:pt idx="21">
                  <c:v>51000</c:v>
                </c:pt>
                <c:pt idx="22">
                  <c:v>51000</c:v>
                </c:pt>
                <c:pt idx="23">
                  <c:v>129285.25743493716</c:v>
                </c:pt>
                <c:pt idx="24">
                  <c:v>51000</c:v>
                </c:pt>
                <c:pt idx="25">
                  <c:v>51000</c:v>
                </c:pt>
                <c:pt idx="26">
                  <c:v>51000</c:v>
                </c:pt>
                <c:pt idx="27">
                  <c:v>51000</c:v>
                </c:pt>
                <c:pt idx="28">
                  <c:v>51000</c:v>
                </c:pt>
                <c:pt idx="29">
                  <c:v>51000</c:v>
                </c:pt>
                <c:pt idx="30">
                  <c:v>51000</c:v>
                </c:pt>
                <c:pt idx="31">
                  <c:v>51000</c:v>
                </c:pt>
                <c:pt idx="32">
                  <c:v>51000</c:v>
                </c:pt>
                <c:pt idx="33">
                  <c:v>51000</c:v>
                </c:pt>
                <c:pt idx="34">
                  <c:v>51000</c:v>
                </c:pt>
                <c:pt idx="35">
                  <c:v>202121.76821752614</c:v>
                </c:pt>
                <c:pt idx="36">
                  <c:v>51000</c:v>
                </c:pt>
                <c:pt idx="37">
                  <c:v>51000</c:v>
                </c:pt>
                <c:pt idx="38">
                  <c:v>51000</c:v>
                </c:pt>
                <c:pt idx="39">
                  <c:v>51000</c:v>
                </c:pt>
                <c:pt idx="40">
                  <c:v>51000</c:v>
                </c:pt>
                <c:pt idx="41">
                  <c:v>51000</c:v>
                </c:pt>
                <c:pt idx="42">
                  <c:v>51000</c:v>
                </c:pt>
                <c:pt idx="43">
                  <c:v>51000</c:v>
                </c:pt>
                <c:pt idx="44">
                  <c:v>51000</c:v>
                </c:pt>
                <c:pt idx="45">
                  <c:v>51000</c:v>
                </c:pt>
                <c:pt idx="46">
                  <c:v>51000</c:v>
                </c:pt>
                <c:pt idx="47">
                  <c:v>232647.98214438808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C7F-407F-A7DE-C48B351E4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Cumulative Cashflow &amp; Reserve Fund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FORECAST'!$AL$3</c:f>
              <c:strCache>
                <c:ptCount val="1"/>
                <c:pt idx="0">
                  <c:v>CUMULATIVE
CASH</c:v>
                </c:pt>
              </c:strCache>
            </c:strRef>
          </c:tx>
          <c:spPr>
            <a:ln w="20000">
              <a:solidFill>
                <a:srgbClr val="006064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FORECAST'!$AL$4:$AL$51</c:f>
              <c:numCache>
                <c:formatCode>\R\ #\ ##0;[Red]\(\R\ #\ ##0\)</c:formatCode>
                <c:ptCount val="48"/>
                <c:pt idx="0">
                  <c:v>-91705.083333333328</c:v>
                </c:pt>
                <c:pt idx="1">
                  <c:v>-64704.697916666664</c:v>
                </c:pt>
                <c:pt idx="2">
                  <c:v>-72862.4521484375</c:v>
                </c:pt>
                <c:pt idx="3">
                  <c:v>-90440.323461507156</c:v>
                </c:pt>
                <c:pt idx="4">
                  <c:v>-105820.14470733896</c:v>
                </c:pt>
                <c:pt idx="5">
                  <c:v>-118878.36979474881</c:v>
                </c:pt>
                <c:pt idx="6">
                  <c:v>-140985.82864321413</c:v>
                </c:pt>
                <c:pt idx="7">
                  <c:v>-160507.47096311083</c:v>
                </c:pt>
                <c:pt idx="8">
                  <c:v>-177302.09835297428</c:v>
                </c:pt>
                <c:pt idx="9">
                  <c:v>-191222.08418058712</c:v>
                </c:pt>
                <c:pt idx="10">
                  <c:v>-202113.08069033932</c:v>
                </c:pt>
                <c:pt idx="11">
                  <c:v>-247329.95560706989</c:v>
                </c:pt>
                <c:pt idx="12">
                  <c:v>-251671.50050731594</c:v>
                </c:pt>
                <c:pt idx="13">
                  <c:v>-252477.55311898133</c:v>
                </c:pt>
                <c:pt idx="14">
                  <c:v>-249563.67581807423</c:v>
                </c:pt>
                <c:pt idx="15">
                  <c:v>-242737.03242393659</c:v>
                </c:pt>
                <c:pt idx="16">
                  <c:v>-231796.00544459443</c:v>
                </c:pt>
                <c:pt idx="17">
                  <c:v>-216529.7958631932</c:v>
                </c:pt>
                <c:pt idx="18">
                  <c:v>-196718.00466841331</c:v>
                </c:pt>
                <c:pt idx="19">
                  <c:v>-172130.1952953322</c:v>
                </c:pt>
                <c:pt idx="20">
                  <c:v>-142525.43610510521</c:v>
                </c:pt>
                <c:pt idx="21">
                  <c:v>-107651.8219919996</c:v>
                </c:pt>
                <c:pt idx="22">
                  <c:v>-67245.974164656509</c:v>
                </c:pt>
                <c:pt idx="23">
                  <c:v>-99317.774539826525</c:v>
                </c:pt>
                <c:pt idx="24">
                  <c:v>-47008.789096704255</c:v>
                </c:pt>
                <c:pt idx="25">
                  <c:v>11696.759373975277</c:v>
                </c:pt>
                <c:pt idx="26">
                  <c:v>77113.618964542256</c:v>
                </c:pt>
                <c:pt idx="27">
                  <c:v>149570.87645646604</c:v>
                </c:pt>
                <c:pt idx="28">
                  <c:v>229412.61109383457</c:v>
                </c:pt>
                <c:pt idx="29">
                  <c:v>316998.57819259784</c:v>
                </c:pt>
                <c:pt idx="30">
                  <c:v>412704.92394846334</c:v>
                </c:pt>
                <c:pt idx="31">
                  <c:v>516924.93286864908</c:v>
                </c:pt>
                <c:pt idx="32">
                  <c:v>630069.80931787065</c:v>
                </c:pt>
                <c:pt idx="33">
                  <c:v>752569.49473709392</c:v>
                </c:pt>
                <c:pt idx="34">
                  <c:v>884873.52216485864</c:v>
                </c:pt>
                <c:pt idx="35">
                  <c:v>876330.14154798852</c:v>
                </c:pt>
                <c:pt idx="36">
                  <c:v>876330.14154798852</c:v>
                </c:pt>
                <c:pt idx="37">
                  <c:v>876330.14154798852</c:v>
                </c:pt>
                <c:pt idx="38">
                  <c:v>876330.14154798852</c:v>
                </c:pt>
                <c:pt idx="39">
                  <c:v>876330.14154798852</c:v>
                </c:pt>
                <c:pt idx="40">
                  <c:v>876330.14154798852</c:v>
                </c:pt>
                <c:pt idx="41">
                  <c:v>876330.14154798852</c:v>
                </c:pt>
                <c:pt idx="42">
                  <c:v>876330.14154798852</c:v>
                </c:pt>
                <c:pt idx="43">
                  <c:v>876330.14154798852</c:v>
                </c:pt>
                <c:pt idx="44">
                  <c:v>876330.14154798852</c:v>
                </c:pt>
                <c:pt idx="45">
                  <c:v>876330.14154798852</c:v>
                </c:pt>
                <c:pt idx="46">
                  <c:v>876330.14154798852</c:v>
                </c:pt>
                <c:pt idx="47">
                  <c:v>876330.14154798852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7-43B5-A3C6-388A326A10F2}"/>
            </c:ext>
          </c:extLst>
        </c:ser>
        <c:ser>
          <c:idx val="1"/>
          <c:order val="1"/>
          <c:tx>
            <c:strRef>
              <c:f>'MONTHLY FORECAST'!$AM$3</c:f>
              <c:strCache>
                <c:ptCount val="1"/>
                <c:pt idx="0">
                  <c:v>Reserve
Fund Bal</c:v>
                </c:pt>
              </c:strCache>
            </c:strRef>
          </c:tx>
          <c:spPr>
            <a:ln w="20000">
              <a:solidFill>
                <a:srgbClr val="BF360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FORECAST'!$AM$4:$AM$51</c:f>
              <c:numCache>
                <c:formatCode>\R\ #\ ##0;[Red]\(\R\ #\ ##0\)</c:formatCode>
                <c:ptCount val="48"/>
                <c:pt idx="0">
                  <c:v>10580.083333333334</c:v>
                </c:pt>
                <c:pt idx="1">
                  <c:v>21160.166666666668</c:v>
                </c:pt>
                <c:pt idx="2">
                  <c:v>31740.25</c:v>
                </c:pt>
                <c:pt idx="3">
                  <c:v>42320.333333333336</c:v>
                </c:pt>
                <c:pt idx="4">
                  <c:v>52900.416666666672</c:v>
                </c:pt>
                <c:pt idx="5">
                  <c:v>63480.500000000007</c:v>
                </c:pt>
                <c:pt idx="6">
                  <c:v>74060.583333333343</c:v>
                </c:pt>
                <c:pt idx="7">
                  <c:v>84640.666666666672</c:v>
                </c:pt>
                <c:pt idx="8">
                  <c:v>95220.75</c:v>
                </c:pt>
                <c:pt idx="9">
                  <c:v>105800.83333333333</c:v>
                </c:pt>
                <c:pt idx="10">
                  <c:v>116380.91666666666</c:v>
                </c:pt>
                <c:pt idx="11">
                  <c:v>126960.99999999999</c:v>
                </c:pt>
                <c:pt idx="12">
                  <c:v>137541.08333333331</c:v>
                </c:pt>
                <c:pt idx="13">
                  <c:v>148121.16666666666</c:v>
                </c:pt>
                <c:pt idx="14">
                  <c:v>158701.25</c:v>
                </c:pt>
                <c:pt idx="15">
                  <c:v>169281.33333333334</c:v>
                </c:pt>
                <c:pt idx="16">
                  <c:v>179861.41666666669</c:v>
                </c:pt>
                <c:pt idx="17">
                  <c:v>190441.50000000003</c:v>
                </c:pt>
                <c:pt idx="18">
                  <c:v>201021.58333333337</c:v>
                </c:pt>
                <c:pt idx="19">
                  <c:v>211601.66666666672</c:v>
                </c:pt>
                <c:pt idx="20">
                  <c:v>222181.75000000006</c:v>
                </c:pt>
                <c:pt idx="21">
                  <c:v>232761.8333333334</c:v>
                </c:pt>
                <c:pt idx="22">
                  <c:v>243341.91666666674</c:v>
                </c:pt>
                <c:pt idx="23">
                  <c:v>253922.00000000009</c:v>
                </c:pt>
                <c:pt idx="24">
                  <c:v>264502.08333333343</c:v>
                </c:pt>
                <c:pt idx="25">
                  <c:v>275082.16666666674</c:v>
                </c:pt>
                <c:pt idx="26">
                  <c:v>285662.25000000006</c:v>
                </c:pt>
                <c:pt idx="27">
                  <c:v>296242.33333333337</c:v>
                </c:pt>
                <c:pt idx="28">
                  <c:v>306822.41666666669</c:v>
                </c:pt>
                <c:pt idx="29">
                  <c:v>317402.5</c:v>
                </c:pt>
                <c:pt idx="30">
                  <c:v>327982.58333333331</c:v>
                </c:pt>
                <c:pt idx="31">
                  <c:v>338562.66666666663</c:v>
                </c:pt>
                <c:pt idx="32">
                  <c:v>349142.74999999994</c:v>
                </c:pt>
                <c:pt idx="33">
                  <c:v>359722.83333333326</c:v>
                </c:pt>
                <c:pt idx="34">
                  <c:v>370302.91666666657</c:v>
                </c:pt>
                <c:pt idx="35">
                  <c:v>380882.99999999988</c:v>
                </c:pt>
                <c:pt idx="36">
                  <c:v>368734.96145241352</c:v>
                </c:pt>
                <c:pt idx="37">
                  <c:v>357162.39878821059</c:v>
                </c:pt>
                <c:pt idx="38">
                  <c:v>346173.56679099082</c:v>
                </c:pt>
                <c:pt idx="39">
                  <c:v>335776.78258827573</c:v>
                </c:pt>
                <c:pt idx="40">
                  <c:v>325980.42612260627</c:v>
                </c:pt>
                <c:pt idx="41">
                  <c:v>316792.94062620285</c:v>
                </c:pt>
                <c:pt idx="42">
                  <c:v>308222.83309921366</c:v>
                </c:pt>
                <c:pt idx="43">
                  <c:v>300278.67479157902</c:v>
                </c:pt>
                <c:pt idx="44">
                  <c:v>292969.1016885392</c:v>
                </c:pt>
                <c:pt idx="45">
                  <c:v>286302.81499981292</c:v>
                </c:pt>
                <c:pt idx="46">
                  <c:v>280288.5816524743</c:v>
                </c:pt>
                <c:pt idx="47">
                  <c:v>93287.252643168729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7-43B5-A3C6-388A326A1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31</xdr:row>
      <xdr:rowOff>0</xdr:rowOff>
    </xdr:from>
    <xdr:ext cx="1008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60</xdr:row>
      <xdr:rowOff>0</xdr:rowOff>
    </xdr:from>
    <xdr:ext cx="100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A227"/>
  </sheetPr>
  <dimension ref="A1:C64"/>
  <sheetViews>
    <sheetView showGridLines="0" zoomScaleNormal="100" workbookViewId="0">
      <selection activeCell="B6" sqref="B6"/>
    </sheetView>
  </sheetViews>
  <sheetFormatPr defaultRowHeight="12" x14ac:dyDescent="0.2"/>
  <cols>
    <col min="1" max="1" width="52" style="2" customWidth="1"/>
    <col min="2" max="2" width="22" style="2" customWidth="1"/>
    <col min="3" max="3" width="75.5703125" style="2" bestFit="1" customWidth="1"/>
    <col min="4" max="16384" width="9.140625" style="2"/>
  </cols>
  <sheetData>
    <row r="1" spans="1:3" ht="30" customHeight="1" x14ac:dyDescent="0.2">
      <c r="A1" s="34" t="s">
        <v>0</v>
      </c>
      <c r="B1" s="30"/>
      <c r="C1" s="30"/>
    </row>
    <row r="2" spans="1:3" x14ac:dyDescent="0.2">
      <c r="A2" s="44" t="s">
        <v>1</v>
      </c>
      <c r="B2" s="30"/>
      <c r="C2" s="30"/>
    </row>
    <row r="4" spans="1:3" ht="18" customHeight="1" x14ac:dyDescent="0.2">
      <c r="A4" s="41" t="s">
        <v>2</v>
      </c>
      <c r="B4" s="30"/>
      <c r="C4" s="30"/>
    </row>
    <row r="5" spans="1:3" x14ac:dyDescent="0.2">
      <c r="A5" s="3" t="s">
        <v>3</v>
      </c>
      <c r="B5" s="4">
        <v>0.6</v>
      </c>
      <c r="C5" s="1" t="s">
        <v>117</v>
      </c>
    </row>
    <row r="6" spans="1:3" x14ac:dyDescent="0.2">
      <c r="A6" s="3" t="s">
        <v>4</v>
      </c>
      <c r="B6" s="4">
        <v>0.1</v>
      </c>
      <c r="C6" s="1" t="s">
        <v>118</v>
      </c>
    </row>
    <row r="7" spans="1:3" x14ac:dyDescent="0.2">
      <c r="A7" s="3" t="s">
        <v>5</v>
      </c>
      <c r="B7" s="5">
        <v>37</v>
      </c>
      <c r="C7" s="1" t="s">
        <v>6</v>
      </c>
    </row>
    <row r="8" spans="1:3" x14ac:dyDescent="0.2">
      <c r="A8" s="3" t="s">
        <v>7</v>
      </c>
      <c r="B8" s="5">
        <v>12</v>
      </c>
      <c r="C8" s="1" t="s">
        <v>8</v>
      </c>
    </row>
    <row r="9" spans="1:3" x14ac:dyDescent="0.2">
      <c r="A9" s="3" t="s">
        <v>9</v>
      </c>
      <c r="B9" s="6">
        <f>380883/36</f>
        <v>10580.083333333334</v>
      </c>
      <c r="C9" s="1" t="s">
        <v>10</v>
      </c>
    </row>
    <row r="11" spans="1:3" ht="18" customHeight="1" thickBot="1" x14ac:dyDescent="0.25">
      <c r="A11" s="41" t="s">
        <v>11</v>
      </c>
      <c r="B11" s="30"/>
      <c r="C11" s="30"/>
    </row>
    <row r="12" spans="1:3" ht="12.75" thickBot="1" x14ac:dyDescent="0.25">
      <c r="A12" s="3" t="s">
        <v>12</v>
      </c>
      <c r="B12" s="6">
        <f>50000*1.15</f>
        <v>57499.999999999993</v>
      </c>
      <c r="C12" s="1" t="s">
        <v>13</v>
      </c>
    </row>
    <row r="13" spans="1:3" ht="12.75" thickBot="1" x14ac:dyDescent="0.25">
      <c r="A13" s="3" t="s">
        <v>14</v>
      </c>
      <c r="B13" s="6">
        <f>20000*1.15</f>
        <v>23000</v>
      </c>
      <c r="C13" s="1" t="s">
        <v>15</v>
      </c>
    </row>
    <row r="14" spans="1:3" x14ac:dyDescent="0.2">
      <c r="A14" s="3" t="s">
        <v>16</v>
      </c>
      <c r="B14" s="6">
        <f>30000*1.15</f>
        <v>34500</v>
      </c>
      <c r="C14" s="1" t="s">
        <v>15</v>
      </c>
    </row>
    <row r="15" spans="1:3" x14ac:dyDescent="0.2">
      <c r="A15" s="3" t="s">
        <v>17</v>
      </c>
      <c r="B15" s="6">
        <f>40000*1.15</f>
        <v>46000</v>
      </c>
      <c r="C15" s="1" t="s">
        <v>18</v>
      </c>
    </row>
    <row r="16" spans="1:3" x14ac:dyDescent="0.2">
      <c r="A16" s="3" t="s">
        <v>19</v>
      </c>
      <c r="B16" s="4">
        <v>2.5000000000000001E-3</v>
      </c>
      <c r="C16" s="1" t="s">
        <v>20</v>
      </c>
    </row>
    <row r="17" spans="1:3" x14ac:dyDescent="0.2">
      <c r="A17" s="3" t="s">
        <v>21</v>
      </c>
      <c r="B17" s="6">
        <v>5000</v>
      </c>
      <c r="C17" s="1" t="s">
        <v>113</v>
      </c>
    </row>
    <row r="18" spans="1:3" x14ac:dyDescent="0.2">
      <c r="A18" s="3" t="s">
        <v>22</v>
      </c>
      <c r="B18" s="6">
        <v>3000</v>
      </c>
      <c r="C18" s="1" t="s">
        <v>23</v>
      </c>
    </row>
    <row r="20" spans="1:3" ht="18" customHeight="1" x14ac:dyDescent="0.2">
      <c r="A20" s="40" t="s">
        <v>24</v>
      </c>
      <c r="B20" s="30"/>
      <c r="C20" s="30"/>
    </row>
    <row r="21" spans="1:3" x14ac:dyDescent="0.2">
      <c r="A21" s="3" t="s">
        <v>25</v>
      </c>
      <c r="B21" s="5">
        <v>1</v>
      </c>
      <c r="C21" s="1" t="s">
        <v>26</v>
      </c>
    </row>
    <row r="22" spans="1:3" x14ac:dyDescent="0.2">
      <c r="A22" s="3" t="s">
        <v>27</v>
      </c>
      <c r="B22" s="6">
        <v>300000</v>
      </c>
      <c r="C22" s="1"/>
    </row>
    <row r="23" spans="1:3" x14ac:dyDescent="0.2">
      <c r="A23" s="3" t="s">
        <v>28</v>
      </c>
      <c r="B23" s="6">
        <v>200000</v>
      </c>
      <c r="C23" s="1" t="s">
        <v>29</v>
      </c>
    </row>
    <row r="24" spans="1:3" x14ac:dyDescent="0.2">
      <c r="A24" s="3" t="s">
        <v>30</v>
      </c>
      <c r="B24" s="4">
        <v>7.4999999999999997E-3</v>
      </c>
      <c r="C24" s="1" t="s">
        <v>31</v>
      </c>
    </row>
    <row r="25" spans="1:3" x14ac:dyDescent="0.2">
      <c r="A25" s="3" t="s">
        <v>32</v>
      </c>
      <c r="B25" s="4">
        <v>2.5000000000000001E-2</v>
      </c>
      <c r="C25" s="1" t="s">
        <v>33</v>
      </c>
    </row>
    <row r="27" spans="1:3" ht="18" customHeight="1" x14ac:dyDescent="0.2">
      <c r="A27" s="40" t="s">
        <v>34</v>
      </c>
      <c r="B27" s="30"/>
      <c r="C27" s="30"/>
    </row>
    <row r="28" spans="1:3" x14ac:dyDescent="0.2">
      <c r="A28" s="3" t="s">
        <v>25</v>
      </c>
      <c r="B28" s="5">
        <v>2</v>
      </c>
      <c r="C28" s="1" t="s">
        <v>35</v>
      </c>
    </row>
    <row r="29" spans="1:3" x14ac:dyDescent="0.2">
      <c r="A29" s="3" t="s">
        <v>27</v>
      </c>
      <c r="B29" s="6">
        <v>0</v>
      </c>
      <c r="C29" s="1"/>
    </row>
    <row r="30" spans="1:3" x14ac:dyDescent="0.2">
      <c r="A30" s="3" t="s">
        <v>28</v>
      </c>
      <c r="B30" s="6">
        <v>40000</v>
      </c>
      <c r="C30" s="1"/>
    </row>
    <row r="31" spans="1:3" x14ac:dyDescent="0.2">
      <c r="A31" s="3" t="s">
        <v>30</v>
      </c>
      <c r="B31" s="4">
        <v>7.4999999999999997E-3</v>
      </c>
      <c r="C31" s="1"/>
    </row>
    <row r="32" spans="1:3" x14ac:dyDescent="0.2">
      <c r="A32" s="3" t="s">
        <v>32</v>
      </c>
      <c r="B32" s="4">
        <v>0.1</v>
      </c>
      <c r="C32" s="1" t="s">
        <v>36</v>
      </c>
    </row>
    <row r="34" spans="1:3" ht="18" customHeight="1" x14ac:dyDescent="0.2">
      <c r="A34" s="40" t="s">
        <v>37</v>
      </c>
      <c r="B34" s="30"/>
      <c r="C34" s="30"/>
    </row>
    <row r="35" spans="1:3" x14ac:dyDescent="0.2">
      <c r="A35" s="3" t="s">
        <v>25</v>
      </c>
      <c r="B35" s="5">
        <v>2</v>
      </c>
      <c r="C35" s="1" t="s">
        <v>35</v>
      </c>
    </row>
    <row r="36" spans="1:3" x14ac:dyDescent="0.2">
      <c r="A36" s="3" t="s">
        <v>27</v>
      </c>
      <c r="B36" s="6">
        <v>5000000</v>
      </c>
      <c r="C36" s="1"/>
    </row>
    <row r="37" spans="1:3" x14ac:dyDescent="0.2">
      <c r="A37" s="3" t="s">
        <v>28</v>
      </c>
      <c r="B37" s="6">
        <v>0</v>
      </c>
      <c r="C37" s="1" t="s">
        <v>38</v>
      </c>
    </row>
    <row r="38" spans="1:3" x14ac:dyDescent="0.2">
      <c r="A38" s="3" t="s">
        <v>30</v>
      </c>
      <c r="B38" s="4">
        <v>7.4999999999999997E-3</v>
      </c>
      <c r="C38" s="1" t="s">
        <v>39</v>
      </c>
    </row>
    <row r="39" spans="1:3" x14ac:dyDescent="0.2">
      <c r="A39" s="3" t="s">
        <v>32</v>
      </c>
      <c r="B39" s="4">
        <v>0.1</v>
      </c>
      <c r="C39" s="1" t="s">
        <v>36</v>
      </c>
    </row>
    <row r="41" spans="1:3" ht="18" customHeight="1" x14ac:dyDescent="0.2">
      <c r="A41" s="40" t="s">
        <v>114</v>
      </c>
      <c r="B41" s="30"/>
      <c r="C41" s="30"/>
    </row>
    <row r="42" spans="1:3" x14ac:dyDescent="0.2">
      <c r="A42" s="3" t="s">
        <v>25</v>
      </c>
      <c r="B42" s="5">
        <v>2</v>
      </c>
      <c r="C42" s="1" t="s">
        <v>35</v>
      </c>
    </row>
    <row r="43" spans="1:3" x14ac:dyDescent="0.2">
      <c r="A43" s="3" t="s">
        <v>27</v>
      </c>
      <c r="B43" s="6">
        <v>0</v>
      </c>
      <c r="C43" s="1"/>
    </row>
    <row r="44" spans="1:3" x14ac:dyDescent="0.2">
      <c r="A44" s="3" t="s">
        <v>28</v>
      </c>
      <c r="B44" s="6">
        <v>20000</v>
      </c>
      <c r="C44" s="1"/>
    </row>
    <row r="45" spans="1:3" x14ac:dyDescent="0.2">
      <c r="A45" s="3" t="s">
        <v>30</v>
      </c>
      <c r="B45" s="4">
        <v>7.4999999999999997E-3</v>
      </c>
      <c r="C45" s="1"/>
    </row>
    <row r="46" spans="1:3" x14ac:dyDescent="0.2">
      <c r="A46" s="3" t="s">
        <v>32</v>
      </c>
      <c r="B46" s="4">
        <v>2.5000000000000001E-2</v>
      </c>
      <c r="C46" s="1" t="s">
        <v>40</v>
      </c>
    </row>
    <row r="48" spans="1:3" ht="18" customHeight="1" x14ac:dyDescent="0.2">
      <c r="A48" s="43" t="s">
        <v>41</v>
      </c>
      <c r="B48" s="30"/>
      <c r="C48" s="30"/>
    </row>
    <row r="49" spans="1:3" x14ac:dyDescent="0.2">
      <c r="A49" s="3" t="s">
        <v>42</v>
      </c>
      <c r="B49" s="5">
        <v>48</v>
      </c>
      <c r="C49" s="1" t="s">
        <v>43</v>
      </c>
    </row>
    <row r="50" spans="1:3" x14ac:dyDescent="0.2">
      <c r="A50" s="3" t="s">
        <v>44</v>
      </c>
      <c r="B50" s="5">
        <v>3</v>
      </c>
      <c r="C50" s="1" t="s">
        <v>115</v>
      </c>
    </row>
    <row r="51" spans="1:3" x14ac:dyDescent="0.2">
      <c r="A51" s="3" t="s">
        <v>45</v>
      </c>
      <c r="B51" s="5">
        <v>1</v>
      </c>
      <c r="C51" s="1" t="s">
        <v>116</v>
      </c>
    </row>
    <row r="52" spans="1:3" x14ac:dyDescent="0.2">
      <c r="A52" s="3" t="s">
        <v>46</v>
      </c>
      <c r="B52" s="5">
        <v>1</v>
      </c>
      <c r="C52" s="1" t="s">
        <v>47</v>
      </c>
    </row>
    <row r="53" spans="1:3" x14ac:dyDescent="0.2">
      <c r="A53" s="3" t="s">
        <v>48</v>
      </c>
      <c r="B53" s="6">
        <v>50000</v>
      </c>
      <c r="C53" s="1" t="s">
        <v>49</v>
      </c>
    </row>
    <row r="54" spans="1:3" x14ac:dyDescent="0.2">
      <c r="A54" s="3" t="s">
        <v>50</v>
      </c>
      <c r="B54" s="6">
        <v>5000</v>
      </c>
      <c r="C54" s="1" t="s">
        <v>51</v>
      </c>
    </row>
    <row r="55" spans="1:3" x14ac:dyDescent="0.2">
      <c r="A55" s="3" t="s">
        <v>52</v>
      </c>
      <c r="B55" s="4">
        <v>7.4999999999999997E-3</v>
      </c>
      <c r="C55" s="1" t="s">
        <v>53</v>
      </c>
    </row>
    <row r="56" spans="1:3" x14ac:dyDescent="0.2">
      <c r="A56" s="3" t="s">
        <v>54</v>
      </c>
      <c r="B56" s="4">
        <v>0.1</v>
      </c>
      <c r="C56" s="1" t="s">
        <v>36</v>
      </c>
    </row>
    <row r="58" spans="1:3" ht="18" customHeight="1" x14ac:dyDescent="0.2">
      <c r="A58" s="42" t="s">
        <v>55</v>
      </c>
      <c r="B58" s="30"/>
      <c r="C58" s="30"/>
    </row>
    <row r="59" spans="1:3" x14ac:dyDescent="0.2">
      <c r="A59" s="3" t="s">
        <v>56</v>
      </c>
      <c r="B59" s="5">
        <v>48</v>
      </c>
      <c r="C59" s="1" t="s">
        <v>57</v>
      </c>
    </row>
    <row r="60" spans="1:3" x14ac:dyDescent="0.2">
      <c r="A60" s="3" t="s">
        <v>58</v>
      </c>
      <c r="B60" s="8">
        <v>2026</v>
      </c>
      <c r="C60" s="1" t="s">
        <v>59</v>
      </c>
    </row>
    <row r="61" spans="1:3" x14ac:dyDescent="0.2">
      <c r="A61" s="3" t="s">
        <v>60</v>
      </c>
      <c r="B61" s="8">
        <v>6</v>
      </c>
      <c r="C61" s="1" t="s">
        <v>61</v>
      </c>
    </row>
    <row r="64" spans="1:3" ht="48" customHeight="1" x14ac:dyDescent="0.2">
      <c r="A64" s="39" t="s">
        <v>62</v>
      </c>
      <c r="B64" s="30"/>
      <c r="C64" s="30"/>
    </row>
  </sheetData>
  <mergeCells count="11">
    <mergeCell ref="A64:C64"/>
    <mergeCell ref="A41:C41"/>
    <mergeCell ref="A11:C11"/>
    <mergeCell ref="A1:C1"/>
    <mergeCell ref="A58:C58"/>
    <mergeCell ref="A27:C27"/>
    <mergeCell ref="A34:C34"/>
    <mergeCell ref="A4:C4"/>
    <mergeCell ref="A48:C48"/>
    <mergeCell ref="A20:C2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064"/>
  </sheetPr>
  <dimension ref="A1:AM54"/>
  <sheetViews>
    <sheetView showGridLines="0" tabSelected="1" zoomScaleNormal="100" workbookViewId="0">
      <pane xSplit="2" ySplit="3" topLeftCell="C4" activePane="bottomRight" state="frozen"/>
      <selection pane="topRight"/>
      <selection pane="bottomLeft"/>
      <selection pane="bottomRight" activeCell="A18" sqref="A18:XFD18"/>
    </sheetView>
  </sheetViews>
  <sheetFormatPr defaultRowHeight="12" outlineLevelCol="1" x14ac:dyDescent="0.2"/>
  <cols>
    <col min="1" max="1" width="6" style="2" customWidth="1"/>
    <col min="2" max="2" width="9" style="2" customWidth="1"/>
    <col min="3" max="3" width="8" style="2" customWidth="1"/>
    <col min="4" max="4" width="13" style="2" hidden="1" customWidth="1" outlineLevel="1"/>
    <col min="5" max="6" width="12" style="2" hidden="1" customWidth="1" outlineLevel="1"/>
    <col min="7" max="7" width="14" style="2" hidden="1" customWidth="1" outlineLevel="1"/>
    <col min="8" max="8" width="13" style="2" hidden="1" customWidth="1" outlineLevel="1"/>
    <col min="9" max="10" width="12" style="2" hidden="1" customWidth="1" outlineLevel="1"/>
    <col min="11" max="11" width="14" style="2" hidden="1" customWidth="1" outlineLevel="1"/>
    <col min="12" max="12" width="13" style="2" hidden="1" customWidth="1" outlineLevel="1"/>
    <col min="13" max="14" width="12" style="2" hidden="1" customWidth="1" outlineLevel="1"/>
    <col min="15" max="15" width="14" style="2" hidden="1" customWidth="1" outlineLevel="1"/>
    <col min="16" max="16" width="13" style="2" hidden="1" customWidth="1" outlineLevel="1"/>
    <col min="17" max="18" width="12" style="2" hidden="1" customWidth="1" outlineLevel="1"/>
    <col min="19" max="19" width="14" style="2" hidden="1" customWidth="1" outlineLevel="1"/>
    <col min="20" max="20" width="8" style="2" hidden="1" customWidth="1" outlineLevel="1"/>
    <col min="21" max="21" width="14" style="2" hidden="1" customWidth="1" outlineLevel="1"/>
    <col min="22" max="23" width="12" style="2" hidden="1" customWidth="1" outlineLevel="1"/>
    <col min="24" max="24" width="14" style="2" hidden="1" customWidth="1" outlineLevel="1"/>
    <col min="25" max="25" width="14" style="2" customWidth="1" collapsed="1"/>
    <col min="26" max="27" width="14" style="2" customWidth="1"/>
    <col min="28" max="28" width="15" style="2" customWidth="1"/>
    <col min="29" max="29" width="16" style="2" customWidth="1"/>
    <col min="30" max="30" width="14" style="2" customWidth="1"/>
    <col min="31" max="31" width="13" style="2" customWidth="1"/>
    <col min="32" max="32" width="14" style="2" customWidth="1"/>
    <col min="33" max="34" width="11" style="2" customWidth="1"/>
    <col min="35" max="35" width="13" style="2" customWidth="1"/>
    <col min="36" max="37" width="14" style="2" customWidth="1"/>
    <col min="38" max="39" width="16" style="2" customWidth="1"/>
    <col min="40" max="16384" width="9.140625" style="2"/>
  </cols>
  <sheetData>
    <row r="1" spans="1:39" ht="21.95" customHeight="1" x14ac:dyDescent="0.2">
      <c r="A1" s="34" t="s">
        <v>63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</row>
    <row r="2" spans="1:39" x14ac:dyDescent="0.2">
      <c r="A2" s="33" t="s">
        <v>64</v>
      </c>
      <c r="B2" s="30"/>
      <c r="C2" s="30"/>
      <c r="D2" s="32" t="s">
        <v>65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8" t="s">
        <v>66</v>
      </c>
      <c r="U2" s="30"/>
      <c r="V2" s="30"/>
      <c r="W2" s="30"/>
      <c r="X2" s="30"/>
      <c r="Y2" s="38" t="s">
        <v>67</v>
      </c>
      <c r="Z2" s="30"/>
      <c r="AA2" s="30"/>
      <c r="AB2" s="30"/>
      <c r="AC2" s="36" t="s">
        <v>68</v>
      </c>
      <c r="AD2" s="35" t="s">
        <v>69</v>
      </c>
      <c r="AE2" s="30"/>
      <c r="AF2" s="30"/>
      <c r="AG2" s="30"/>
      <c r="AH2" s="30"/>
      <c r="AI2" s="30"/>
      <c r="AJ2" s="31" t="s">
        <v>70</v>
      </c>
      <c r="AK2" s="36" t="s">
        <v>71</v>
      </c>
      <c r="AL2" s="30"/>
      <c r="AM2" s="30"/>
    </row>
    <row r="3" spans="1:39" ht="42" customHeight="1" x14ac:dyDescent="0.2">
      <c r="A3" s="9" t="s">
        <v>72</v>
      </c>
      <c r="B3" s="9" t="s">
        <v>73</v>
      </c>
      <c r="C3" s="9" t="s">
        <v>74</v>
      </c>
      <c r="D3" s="10" t="s">
        <v>75</v>
      </c>
      <c r="E3" s="10" t="s">
        <v>76</v>
      </c>
      <c r="F3" s="10" t="s">
        <v>77</v>
      </c>
      <c r="G3" s="10" t="s">
        <v>78</v>
      </c>
      <c r="H3" s="10" t="s">
        <v>79</v>
      </c>
      <c r="I3" s="10" t="s">
        <v>80</v>
      </c>
      <c r="J3" s="10" t="s">
        <v>81</v>
      </c>
      <c r="K3" s="10" t="s">
        <v>82</v>
      </c>
      <c r="L3" s="10" t="s">
        <v>83</v>
      </c>
      <c r="M3" s="10" t="s">
        <v>84</v>
      </c>
      <c r="N3" s="10" t="s">
        <v>85</v>
      </c>
      <c r="O3" s="10" t="s">
        <v>86</v>
      </c>
      <c r="P3" s="10" t="s">
        <v>87</v>
      </c>
      <c r="Q3" s="10" t="s">
        <v>88</v>
      </c>
      <c r="R3" s="10" t="s">
        <v>89</v>
      </c>
      <c r="S3" s="10" t="s">
        <v>90</v>
      </c>
      <c r="T3" s="10" t="s">
        <v>91</v>
      </c>
      <c r="U3" s="10" t="s">
        <v>92</v>
      </c>
      <c r="V3" s="10" t="s">
        <v>93</v>
      </c>
      <c r="W3" s="10" t="s">
        <v>94</v>
      </c>
      <c r="X3" s="10" t="s">
        <v>95</v>
      </c>
      <c r="Y3" s="11" t="s">
        <v>96</v>
      </c>
      <c r="Z3" s="11" t="s">
        <v>97</v>
      </c>
      <c r="AA3" s="11" t="s">
        <v>98</v>
      </c>
      <c r="AB3" s="11" t="s">
        <v>99</v>
      </c>
      <c r="AC3" s="9" t="s">
        <v>100</v>
      </c>
      <c r="AD3" s="12" t="s">
        <v>101</v>
      </c>
      <c r="AE3" s="12" t="s">
        <v>102</v>
      </c>
      <c r="AF3" s="12" t="s">
        <v>103</v>
      </c>
      <c r="AG3" s="12" t="s">
        <v>104</v>
      </c>
      <c r="AH3" s="12" t="s">
        <v>105</v>
      </c>
      <c r="AI3" s="12" t="s">
        <v>106</v>
      </c>
      <c r="AJ3" s="13" t="s">
        <v>107</v>
      </c>
      <c r="AK3" s="9" t="s">
        <v>108</v>
      </c>
      <c r="AL3" s="9" t="s">
        <v>109</v>
      </c>
      <c r="AM3" s="9" t="s">
        <v>110</v>
      </c>
    </row>
    <row r="4" spans="1:39" x14ac:dyDescent="0.2">
      <c r="A4" s="14">
        <v>1</v>
      </c>
      <c r="B4" s="14" t="str">
        <f>TEXT(DATE(VARIABLES!$B$60+INT((VARIABLES!$B$61+A4-2)/12),MOD(VARIABLES!$B$61+A4-2,12)+1,1),"mmm-yy")</f>
        <v>Jun-26</v>
      </c>
      <c r="C4" s="15">
        <f>IF($A4&lt;VARIABLES!$B$7,VARIABLES!$B$5/12,VARIABLES!$B$6/12)</f>
        <v>4.9999999999999996E-2</v>
      </c>
      <c r="D4" s="7">
        <f>IF($A4&lt;VARIABLES!$B$21,0,IF($A4=VARIABLES!$B$21,VARIABLES!$B$22+VARIABLES!$B$23,VARIABLES!$B$23))</f>
        <v>500000</v>
      </c>
      <c r="E4" s="7">
        <f>D4*VARIABLES!$B$24</f>
        <v>3750</v>
      </c>
      <c r="F4" s="7">
        <f>IF($A4&lt;VARIABLES!$B$21,0,(IF($A4=VARIABLES!$B$21,0,G3)+D4)*C4*VARIABLES!$B$25)</f>
        <v>625</v>
      </c>
      <c r="G4" s="7">
        <f>IF($A4&lt;VARIABLES!$B$21,0,(IF($A4=VARIABLES!$B$21,0,G3)+D4)*(1+C4)-F4)</f>
        <v>524375</v>
      </c>
      <c r="H4" s="7">
        <f>IF($A4&lt;VARIABLES!$B$28,0,IF($A4=VARIABLES!$B$28,VARIABLES!$B$29+VARIABLES!$B$30,VARIABLES!$B$30))</f>
        <v>0</v>
      </c>
      <c r="I4" s="7">
        <f>H4*VARIABLES!$B$31</f>
        <v>0</v>
      </c>
      <c r="J4" s="7">
        <f>IF($A4&lt;VARIABLES!$B$28,0,(IF($A4=VARIABLES!$B$28,0,K3)+H4)*C4*VARIABLES!$B$32)</f>
        <v>0</v>
      </c>
      <c r="K4" s="7">
        <f>IF($A4&lt;VARIABLES!$B$28,0,(IF($A4=VARIABLES!$B$28,0,K3)+H4)*(1+C4)-J4)</f>
        <v>0</v>
      </c>
      <c r="L4" s="7">
        <f>IF($A4&lt;VARIABLES!$B$35,0,IF($A4=VARIABLES!$B$35,VARIABLES!$B$36+VARIABLES!$B$37,VARIABLES!$B$37))</f>
        <v>0</v>
      </c>
      <c r="M4" s="7">
        <f>L4*VARIABLES!$B$38</f>
        <v>0</v>
      </c>
      <c r="N4" s="7">
        <f>IF($A4&lt;VARIABLES!$B$35,0,(IF($A4=VARIABLES!$B$35,0,O3)+L4)*C4*VARIABLES!$B$39)</f>
        <v>0</v>
      </c>
      <c r="O4" s="7">
        <f>IF($A4&lt;VARIABLES!$B$35,0,(IF($A4=VARIABLES!$B$35,0,O3)+L4)*(1+C4)-N4)</f>
        <v>0</v>
      </c>
      <c r="P4" s="7">
        <f>IF($A4&lt;VARIABLES!$B$42,0,IF($A4=VARIABLES!$B$42,VARIABLES!$B$43+VARIABLES!$B$44,VARIABLES!$B$44))</f>
        <v>0</v>
      </c>
      <c r="Q4" s="7">
        <f>P4*VARIABLES!$B$45</f>
        <v>0</v>
      </c>
      <c r="R4" s="7">
        <f>IF($A4&lt;VARIABLES!$B$42,0,(IF($A4=VARIABLES!$B$42,0,S3)+P4)*C4*VARIABLES!$B$46)</f>
        <v>0</v>
      </c>
      <c r="S4" s="7">
        <f>IF($A4&lt;VARIABLES!$B$42,0,(IF($A4=VARIABLES!$B$42,0,S3)+P4)*(1+C4)-R4)</f>
        <v>0</v>
      </c>
      <c r="T4" s="16">
        <f>IF($A4&lt;VARIABLES!$B$50,0,MIN(VARIABLES!$B$49,INT(($A4-VARIABLES!$B$50)/VARIABLES!$B$51)+1)*VARIABLES!$B$52)</f>
        <v>0</v>
      </c>
      <c r="U4" s="7">
        <f>T4*VARIABLES!$B$54+IF(AND($A4&gt;=VARIABLES!$B$50,MOD($A4-VARIABLES!$B$50,VARIABLES!$B$51)=0,INT(($A4-VARIABLES!$B$50)/VARIABLES!$B$51)&lt;VARIABLES!$B$49),VARIABLES!$B$52*VARIABLES!$B$53,0)</f>
        <v>0</v>
      </c>
      <c r="V4" s="7">
        <f>U4*VARIABLES!$B$55</f>
        <v>0</v>
      </c>
      <c r="W4" s="7">
        <f>IF($A4&lt;VARIABLES!$B$50,0,(IF($A4&lt;VARIABLES!$B$50+1,0,X3)+U4)*C4*VARIABLES!$B$56)</f>
        <v>0</v>
      </c>
      <c r="X4" s="7">
        <f>IF($A4&lt;VARIABLES!$B$50,0,(IF($A4&lt;VARIABLES!$B$50+1,0,X3)+U4)*(1+C4)-W4)</f>
        <v>0</v>
      </c>
      <c r="Y4" s="7">
        <f t="shared" ref="Y4:Y51" si="0">D4+H4+L4+P4+U4</f>
        <v>500000</v>
      </c>
      <c r="Z4" s="7">
        <f t="shared" ref="Z4:Z51" si="1">E4+I4+M4+Q4+V4</f>
        <v>3750</v>
      </c>
      <c r="AA4" s="7">
        <f t="shared" ref="AA4:AA51" si="2">F4+J4+N4+R4+W4</f>
        <v>625</v>
      </c>
      <c r="AB4" s="17">
        <f t="shared" ref="AB4:AB51" si="3">Z4+AA4</f>
        <v>4375</v>
      </c>
      <c r="AC4" s="18">
        <f t="shared" ref="AC4:AC51" si="4">G4+K4+O4+S4+X4</f>
        <v>524375</v>
      </c>
      <c r="AD4" s="7">
        <f>IF($A4=1,VARIABLES!$B$12,0)</f>
        <v>57499.999999999993</v>
      </c>
      <c r="AE4" s="7">
        <f>IF($A4&lt;=3,VARIABLES!$B$13,IF($A4&lt;=6,VARIABLES!$B$14,VARIABLES!$B$15))</f>
        <v>23000</v>
      </c>
      <c r="AF4" s="7">
        <f>IF(MOD($A4,12)=0,AC4*VARIABLES!$B$16,0)</f>
        <v>0</v>
      </c>
      <c r="AG4" s="7">
        <f>VARIABLES!$B$17</f>
        <v>5000</v>
      </c>
      <c r="AH4" s="7">
        <f>IF(MOD($A4,12)=0,VARIABLES!$B$18,0)</f>
        <v>0</v>
      </c>
      <c r="AI4" s="19">
        <f t="shared" ref="AI4:AI51" si="5">AD4+AE4+AF4+AG4+AH4</f>
        <v>85500</v>
      </c>
      <c r="AJ4" s="20">
        <f>IF($A4&lt;VARIABLES!$B$7,VARIABLES!$B$9,0)</f>
        <v>10580.083333333334</v>
      </c>
      <c r="AK4" s="21">
        <f t="shared" ref="AK4:AK51" si="6">AB4-AI4-AJ4</f>
        <v>-91705.083333333328</v>
      </c>
      <c r="AL4" s="21">
        <f>AK4</f>
        <v>-91705.083333333328</v>
      </c>
      <c r="AM4" s="22">
        <f>AJ4</f>
        <v>10580.083333333334</v>
      </c>
    </row>
    <row r="5" spans="1:39" x14ac:dyDescent="0.2">
      <c r="A5" s="23">
        <v>2</v>
      </c>
      <c r="B5" s="23" t="str">
        <f>TEXT(DATE(VARIABLES!$B$60+INT((VARIABLES!$B$61+A5-2)/12),MOD(VARIABLES!$B$61+A5-2,12)+1,1),"mmm-yy")</f>
        <v>Jul-26</v>
      </c>
      <c r="C5" s="24">
        <f>IF($A5&lt;VARIABLES!$B$7,VARIABLES!$B$5/12,VARIABLES!$B$6/12)</f>
        <v>4.9999999999999996E-2</v>
      </c>
      <c r="D5" s="25">
        <f>IF($A5&lt;VARIABLES!$B$21,0,IF($A5=VARIABLES!$B$21,VARIABLES!$B$22+VARIABLES!$B$23,VARIABLES!$B$23))</f>
        <v>200000</v>
      </c>
      <c r="E5" s="25">
        <f>D5*VARIABLES!$B$24</f>
        <v>1500</v>
      </c>
      <c r="F5" s="25">
        <f>IF($A5&lt;VARIABLES!$B$21,0,(IF($A5=VARIABLES!$B$21,0,G4)+D5)*C5*VARIABLES!$B$25)</f>
        <v>905.46875</v>
      </c>
      <c r="G5" s="25">
        <f>IF($A5&lt;VARIABLES!$B$21,0,(IF($A5=VARIABLES!$B$21,0,G4)+D5)*(1+C5)-F5)</f>
        <v>759688.28125</v>
      </c>
      <c r="H5" s="25">
        <f>IF($A5&lt;VARIABLES!$B$28,0,IF($A5=VARIABLES!$B$28,VARIABLES!$B$29+VARIABLES!$B$30,VARIABLES!$B$30))</f>
        <v>40000</v>
      </c>
      <c r="I5" s="25">
        <f>H5*VARIABLES!$B$31</f>
        <v>300</v>
      </c>
      <c r="J5" s="25">
        <f>IF($A5&lt;VARIABLES!$B$28,0,(IF($A5=VARIABLES!$B$28,0,K4)+H5)*C5*VARIABLES!$B$32)</f>
        <v>200</v>
      </c>
      <c r="K5" s="25">
        <f>IF($A5&lt;VARIABLES!$B$28,0,(IF($A5=VARIABLES!$B$28,0,K4)+H5)*(1+C5)-J5)</f>
        <v>41800</v>
      </c>
      <c r="L5" s="25">
        <f>IF($A5&lt;VARIABLES!$B$35,0,IF($A5=VARIABLES!$B$35,VARIABLES!$B$36+VARIABLES!$B$37,VARIABLES!$B$37))</f>
        <v>5000000</v>
      </c>
      <c r="M5" s="25">
        <f>L5*VARIABLES!$B$38</f>
        <v>37500</v>
      </c>
      <c r="N5" s="25">
        <f>IF($A5&lt;VARIABLES!$B$35,0,(IF($A5=VARIABLES!$B$35,0,O4)+L5)*C5*VARIABLES!$B$39)</f>
        <v>25000</v>
      </c>
      <c r="O5" s="25">
        <f>IF($A5&lt;VARIABLES!$B$35,0,(IF($A5=VARIABLES!$B$35,0,O4)+L5)*(1+C5)-N5)</f>
        <v>5225000</v>
      </c>
      <c r="P5" s="25">
        <f>IF($A5&lt;VARIABLES!$B$42,0,IF($A5=VARIABLES!$B$42,VARIABLES!$B$43+VARIABLES!$B$44,VARIABLES!$B$44))</f>
        <v>20000</v>
      </c>
      <c r="Q5" s="25">
        <f>P5*VARIABLES!$B$45</f>
        <v>150</v>
      </c>
      <c r="R5" s="25">
        <f>IF($A5&lt;VARIABLES!$B$42,0,(IF($A5=VARIABLES!$B$42,0,S4)+P5)*C5*VARIABLES!$B$46)</f>
        <v>25</v>
      </c>
      <c r="S5" s="25">
        <f>IF($A5&lt;VARIABLES!$B$42,0,(IF($A5=VARIABLES!$B$42,0,S4)+P5)*(1+C5)-R5)</f>
        <v>20975</v>
      </c>
      <c r="T5" s="26">
        <f>IF($A5&lt;VARIABLES!$B$50,0,MIN(VARIABLES!$B$49,INT(($A5-VARIABLES!$B$50)/VARIABLES!$B$51)+1)*VARIABLES!$B$52)</f>
        <v>0</v>
      </c>
      <c r="U5" s="25">
        <f>T5*VARIABLES!$B$54+IF(AND($A5&gt;=VARIABLES!$B$50,MOD($A5-VARIABLES!$B$50,VARIABLES!$B$51)=0,INT(($A5-VARIABLES!$B$50)/VARIABLES!$B$51)&lt;VARIABLES!$B$49),VARIABLES!$B$52*VARIABLES!$B$53,0)</f>
        <v>0</v>
      </c>
      <c r="V5" s="25">
        <f>U5*VARIABLES!$B$55</f>
        <v>0</v>
      </c>
      <c r="W5" s="25">
        <f>IF($A5&lt;VARIABLES!$B$50,0,(IF($A5&lt;VARIABLES!$B$50+1,0,X4)+U5)*C5*VARIABLES!$B$56)</f>
        <v>0</v>
      </c>
      <c r="X5" s="25">
        <f>IF($A5&lt;VARIABLES!$B$50,0,(IF($A5&lt;VARIABLES!$B$50+1,0,X4)+U5)*(1+C5)-W5)</f>
        <v>0</v>
      </c>
      <c r="Y5" s="25">
        <f t="shared" si="0"/>
        <v>5260000</v>
      </c>
      <c r="Z5" s="25">
        <f t="shared" si="1"/>
        <v>39450</v>
      </c>
      <c r="AA5" s="25">
        <f t="shared" si="2"/>
        <v>26130.46875</v>
      </c>
      <c r="AB5" s="17">
        <f t="shared" si="3"/>
        <v>65580.46875</v>
      </c>
      <c r="AC5" s="18">
        <f t="shared" si="4"/>
        <v>6047463.28125</v>
      </c>
      <c r="AD5" s="25">
        <f>IF($A5=1,VARIABLES!$B$12,0)</f>
        <v>0</v>
      </c>
      <c r="AE5" s="25">
        <f>IF($A5&lt;=3,VARIABLES!$B$13,IF($A5&lt;=6,VARIABLES!$B$14,VARIABLES!$B$15))</f>
        <v>23000</v>
      </c>
      <c r="AF5" s="25">
        <f>IF(MOD($A5,12)=0,AC5*VARIABLES!$B$16,0)</f>
        <v>0</v>
      </c>
      <c r="AG5" s="25">
        <f>VARIABLES!$B$17</f>
        <v>5000</v>
      </c>
      <c r="AH5" s="25">
        <f>IF(MOD($A5,12)=0,VARIABLES!$B$18,0)</f>
        <v>0</v>
      </c>
      <c r="AI5" s="19">
        <f t="shared" si="5"/>
        <v>28000</v>
      </c>
      <c r="AJ5" s="20">
        <f>IF($A5&lt;VARIABLES!$B$7,VARIABLES!$B$9,0)</f>
        <v>10580.083333333334</v>
      </c>
      <c r="AK5" s="27">
        <f t="shared" si="6"/>
        <v>27000.385416666664</v>
      </c>
      <c r="AL5" s="27">
        <f t="shared" ref="AL5:AL51" si="7">IF(AJ5&gt;0,AL4+AK5,AL4)</f>
        <v>-64704.697916666664</v>
      </c>
      <c r="AM5" s="22">
        <f t="shared" ref="AM5:AM51" si="8">IF(AJ5&gt;0,AM4+AJ5,AM4+AK5)</f>
        <v>21160.166666666668</v>
      </c>
    </row>
    <row r="6" spans="1:39" x14ac:dyDescent="0.2">
      <c r="A6" s="14">
        <v>3</v>
      </c>
      <c r="B6" s="14" t="str">
        <f>TEXT(DATE(VARIABLES!$B$60+INT((VARIABLES!$B$61+A6-2)/12),MOD(VARIABLES!$B$61+A6-2,12)+1,1),"mmm-yy")</f>
        <v>Aug-26</v>
      </c>
      <c r="C6" s="15">
        <f>IF($A6&lt;VARIABLES!$B$7,VARIABLES!$B$5/12,VARIABLES!$B$6/12)</f>
        <v>4.9999999999999996E-2</v>
      </c>
      <c r="D6" s="7">
        <f>IF($A6&lt;VARIABLES!$B$21,0,IF($A6=VARIABLES!$B$21,VARIABLES!$B$22+VARIABLES!$B$23,VARIABLES!$B$23))</f>
        <v>200000</v>
      </c>
      <c r="E6" s="7">
        <f>D6*VARIABLES!$B$24</f>
        <v>1500</v>
      </c>
      <c r="F6" s="7">
        <f>IF($A6&lt;VARIABLES!$B$21,0,(IF($A6=VARIABLES!$B$21,0,G5)+D6)*C6*VARIABLES!$B$25)</f>
        <v>1199.6103515624998</v>
      </c>
      <c r="G6" s="7">
        <f>IF($A6&lt;VARIABLES!$B$21,0,(IF($A6=VARIABLES!$B$21,0,G5)+D6)*(1+C6)-F6)</f>
        <v>1006473.0849609375</v>
      </c>
      <c r="H6" s="7">
        <f>IF($A6&lt;VARIABLES!$B$28,0,IF($A6=VARIABLES!$B$28,VARIABLES!$B$29+VARIABLES!$B$30,VARIABLES!$B$30))</f>
        <v>40000</v>
      </c>
      <c r="I6" s="7">
        <f>H6*VARIABLES!$B$31</f>
        <v>300</v>
      </c>
      <c r="J6" s="7">
        <f>IF($A6&lt;VARIABLES!$B$28,0,(IF($A6=VARIABLES!$B$28,0,K5)+H6)*C6*VARIABLES!$B$32)</f>
        <v>409</v>
      </c>
      <c r="K6" s="7">
        <f>IF($A6&lt;VARIABLES!$B$28,0,(IF($A6=VARIABLES!$B$28,0,K5)+H6)*(1+C6)-J6)</f>
        <v>85481</v>
      </c>
      <c r="L6" s="7">
        <f>IF($A6&lt;VARIABLES!$B$35,0,IF($A6=VARIABLES!$B$35,VARIABLES!$B$36+VARIABLES!$B$37,VARIABLES!$B$37))</f>
        <v>0</v>
      </c>
      <c r="M6" s="7">
        <f>L6*VARIABLES!$B$38</f>
        <v>0</v>
      </c>
      <c r="N6" s="7">
        <f>IF($A6&lt;VARIABLES!$B$35,0,(IF($A6=VARIABLES!$B$35,0,O5)+L6)*C6*VARIABLES!$B$39)</f>
        <v>26125</v>
      </c>
      <c r="O6" s="7">
        <f>IF($A6&lt;VARIABLES!$B$35,0,(IF($A6=VARIABLES!$B$35,0,O5)+L6)*(1+C6)-N6)</f>
        <v>5460125</v>
      </c>
      <c r="P6" s="7">
        <f>IF($A6&lt;VARIABLES!$B$42,0,IF($A6=VARIABLES!$B$42,VARIABLES!$B$43+VARIABLES!$B$44,VARIABLES!$B$44))</f>
        <v>20000</v>
      </c>
      <c r="Q6" s="7">
        <f>P6*VARIABLES!$B$45</f>
        <v>150</v>
      </c>
      <c r="R6" s="7">
        <f>IF($A6&lt;VARIABLES!$B$42,0,(IF($A6=VARIABLES!$B$42,0,S5)+P6)*C6*VARIABLES!$B$46)</f>
        <v>51.21875</v>
      </c>
      <c r="S6" s="7">
        <f>IF($A6&lt;VARIABLES!$B$42,0,(IF($A6=VARIABLES!$B$42,0,S5)+P6)*(1+C6)-R6)</f>
        <v>42972.53125</v>
      </c>
      <c r="T6" s="16">
        <f>IF($A6&lt;VARIABLES!$B$50,0,MIN(VARIABLES!$B$49,INT(($A6-VARIABLES!$B$50)/VARIABLES!$B$51)+1)*VARIABLES!$B$52)</f>
        <v>1</v>
      </c>
      <c r="U6" s="7">
        <f>T6*VARIABLES!$B$54+IF(AND($A6&gt;=VARIABLES!$B$50,MOD($A6-VARIABLES!$B$50,VARIABLES!$B$51)=0,INT(($A6-VARIABLES!$B$50)/VARIABLES!$B$51)&lt;VARIABLES!$B$49),VARIABLES!$B$52*VARIABLES!$B$53,0)</f>
        <v>55000</v>
      </c>
      <c r="V6" s="7">
        <f>U6*VARIABLES!$B$55</f>
        <v>412.5</v>
      </c>
      <c r="W6" s="7">
        <f>IF($A6&lt;VARIABLES!$B$50,0,(IF($A6&lt;VARIABLES!$B$50+1,0,X5)+U6)*C6*VARIABLES!$B$56)</f>
        <v>274.99999999999994</v>
      </c>
      <c r="X6" s="7">
        <f>IF($A6&lt;VARIABLES!$B$50,0,(IF($A6&lt;VARIABLES!$B$50+1,0,X5)+U6)*(1+C6)-W6)</f>
        <v>57475</v>
      </c>
      <c r="Y6" s="7">
        <f t="shared" si="0"/>
        <v>315000</v>
      </c>
      <c r="Z6" s="7">
        <f t="shared" si="1"/>
        <v>2362.5</v>
      </c>
      <c r="AA6" s="7">
        <f t="shared" si="2"/>
        <v>28059.8291015625</v>
      </c>
      <c r="AB6" s="17">
        <f t="shared" si="3"/>
        <v>30422.3291015625</v>
      </c>
      <c r="AC6" s="18">
        <f t="shared" si="4"/>
        <v>6652526.6162109375</v>
      </c>
      <c r="AD6" s="7">
        <f>IF($A6=1,VARIABLES!$B$12,0)</f>
        <v>0</v>
      </c>
      <c r="AE6" s="7">
        <f>IF($A6&lt;=3,VARIABLES!$B$13,IF($A6&lt;=6,VARIABLES!$B$14,VARIABLES!$B$15))</f>
        <v>23000</v>
      </c>
      <c r="AF6" s="7">
        <f>IF(MOD($A6,12)=0,AC6*VARIABLES!$B$16,0)</f>
        <v>0</v>
      </c>
      <c r="AG6" s="7">
        <f>VARIABLES!$B$17</f>
        <v>5000</v>
      </c>
      <c r="AH6" s="7">
        <f>IF(MOD($A6,12)=0,VARIABLES!$B$18,0)</f>
        <v>0</v>
      </c>
      <c r="AI6" s="19">
        <f t="shared" si="5"/>
        <v>28000</v>
      </c>
      <c r="AJ6" s="20">
        <f>IF($A6&lt;VARIABLES!$B$7,VARIABLES!$B$9,0)</f>
        <v>10580.083333333334</v>
      </c>
      <c r="AK6" s="21">
        <f t="shared" si="6"/>
        <v>-8157.7542317708339</v>
      </c>
      <c r="AL6" s="21">
        <f t="shared" si="7"/>
        <v>-72862.4521484375</v>
      </c>
      <c r="AM6" s="22">
        <f t="shared" si="8"/>
        <v>31740.25</v>
      </c>
    </row>
    <row r="7" spans="1:39" x14ac:dyDescent="0.2">
      <c r="A7" s="23">
        <v>4</v>
      </c>
      <c r="B7" s="23" t="str">
        <f>TEXT(DATE(VARIABLES!$B$60+INT((VARIABLES!$B$61+A7-2)/12),MOD(VARIABLES!$B$61+A7-2,12)+1,1),"mmm-yy")</f>
        <v>Sept-26</v>
      </c>
      <c r="C7" s="24">
        <f>IF($A7&lt;VARIABLES!$B$7,VARIABLES!$B$5/12,VARIABLES!$B$6/12)</f>
        <v>4.9999999999999996E-2</v>
      </c>
      <c r="D7" s="25">
        <f>IF($A7&lt;VARIABLES!$B$21,0,IF($A7=VARIABLES!$B$21,VARIABLES!$B$22+VARIABLES!$B$23,VARIABLES!$B$23))</f>
        <v>200000</v>
      </c>
      <c r="E7" s="25">
        <f>D7*VARIABLES!$B$24</f>
        <v>1500</v>
      </c>
      <c r="F7" s="25">
        <f>IF($A7&lt;VARIABLES!$B$21,0,(IF($A7=VARIABLES!$B$21,0,G6)+D7)*C7*VARIABLES!$B$25)</f>
        <v>1508.0913562011719</v>
      </c>
      <c r="G7" s="25">
        <f>IF($A7&lt;VARIABLES!$B$21,0,(IF($A7=VARIABLES!$B$21,0,G6)+D7)*(1+C7)-F7)</f>
        <v>1265288.6478527833</v>
      </c>
      <c r="H7" s="25">
        <f>IF($A7&lt;VARIABLES!$B$28,0,IF($A7=VARIABLES!$B$28,VARIABLES!$B$29+VARIABLES!$B$30,VARIABLES!$B$30))</f>
        <v>40000</v>
      </c>
      <c r="I7" s="25">
        <f>H7*VARIABLES!$B$31</f>
        <v>300</v>
      </c>
      <c r="J7" s="25">
        <f>IF($A7&lt;VARIABLES!$B$28,0,(IF($A7=VARIABLES!$B$28,0,K6)+H7)*C7*VARIABLES!$B$32)</f>
        <v>627.40499999999997</v>
      </c>
      <c r="K7" s="25">
        <f>IF($A7&lt;VARIABLES!$B$28,0,(IF($A7=VARIABLES!$B$28,0,K6)+H7)*(1+C7)-J7)</f>
        <v>131127.64500000002</v>
      </c>
      <c r="L7" s="25">
        <f>IF($A7&lt;VARIABLES!$B$35,0,IF($A7=VARIABLES!$B$35,VARIABLES!$B$36+VARIABLES!$B$37,VARIABLES!$B$37))</f>
        <v>0</v>
      </c>
      <c r="M7" s="25">
        <f>L7*VARIABLES!$B$38</f>
        <v>0</v>
      </c>
      <c r="N7" s="25">
        <f>IF($A7&lt;VARIABLES!$B$35,0,(IF($A7=VARIABLES!$B$35,0,O6)+L7)*C7*VARIABLES!$B$39)</f>
        <v>27300.625</v>
      </c>
      <c r="O7" s="25">
        <f>IF($A7&lt;VARIABLES!$B$35,0,(IF($A7=VARIABLES!$B$35,0,O6)+L7)*(1+C7)-N7)</f>
        <v>5705830.625</v>
      </c>
      <c r="P7" s="25">
        <f>IF($A7&lt;VARIABLES!$B$42,0,IF($A7=VARIABLES!$B$42,VARIABLES!$B$43+VARIABLES!$B$44,VARIABLES!$B$44))</f>
        <v>20000</v>
      </c>
      <c r="Q7" s="25">
        <f>P7*VARIABLES!$B$45</f>
        <v>150</v>
      </c>
      <c r="R7" s="25">
        <f>IF($A7&lt;VARIABLES!$B$42,0,(IF($A7=VARIABLES!$B$42,0,S6)+P7)*C7*VARIABLES!$B$46)</f>
        <v>78.715664062499997</v>
      </c>
      <c r="S7" s="25">
        <f>IF($A7&lt;VARIABLES!$B$42,0,(IF($A7=VARIABLES!$B$42,0,S6)+P7)*(1+C7)-R7)</f>
        <v>66042.442148437505</v>
      </c>
      <c r="T7" s="26">
        <f>IF($A7&lt;VARIABLES!$B$50,0,MIN(VARIABLES!$B$49,INT(($A7-VARIABLES!$B$50)/VARIABLES!$B$51)+1)*VARIABLES!$B$52)</f>
        <v>2</v>
      </c>
      <c r="U7" s="25">
        <f>T7*VARIABLES!$B$54+IF(AND($A7&gt;=VARIABLES!$B$50,MOD($A7-VARIABLES!$B$50,VARIABLES!$B$51)=0,INT(($A7-VARIABLES!$B$50)/VARIABLES!$B$51)&lt;VARIABLES!$B$49),VARIABLES!$B$52*VARIABLES!$B$53,0)</f>
        <v>60000</v>
      </c>
      <c r="V7" s="25">
        <f>U7*VARIABLES!$B$55</f>
        <v>450</v>
      </c>
      <c r="W7" s="25">
        <f>IF($A7&lt;VARIABLES!$B$50,0,(IF($A7&lt;VARIABLES!$B$50+1,0,X6)+U7)*C7*VARIABLES!$B$56)</f>
        <v>587.37499999999989</v>
      </c>
      <c r="X7" s="25">
        <f>IF($A7&lt;VARIABLES!$B$50,0,(IF($A7&lt;VARIABLES!$B$50+1,0,X6)+U7)*(1+C7)-W7)</f>
        <v>122761.375</v>
      </c>
      <c r="Y7" s="25">
        <f t="shared" si="0"/>
        <v>320000</v>
      </c>
      <c r="Z7" s="25">
        <f t="shared" si="1"/>
        <v>2400</v>
      </c>
      <c r="AA7" s="25">
        <f t="shared" si="2"/>
        <v>30102.212020263672</v>
      </c>
      <c r="AB7" s="17">
        <f t="shared" si="3"/>
        <v>32502.212020263672</v>
      </c>
      <c r="AC7" s="18">
        <f t="shared" si="4"/>
        <v>7291050.7350012213</v>
      </c>
      <c r="AD7" s="25">
        <f>IF($A7=1,VARIABLES!$B$12,0)</f>
        <v>0</v>
      </c>
      <c r="AE7" s="25">
        <f>IF($A7&lt;=3,VARIABLES!$B$13,IF($A7&lt;=6,VARIABLES!$B$14,VARIABLES!$B$15))</f>
        <v>34500</v>
      </c>
      <c r="AF7" s="25">
        <f>IF(MOD($A7,12)=0,AC7*VARIABLES!$B$16,0)</f>
        <v>0</v>
      </c>
      <c r="AG7" s="25">
        <f>VARIABLES!$B$17</f>
        <v>5000</v>
      </c>
      <c r="AH7" s="25">
        <f>IF(MOD($A7,12)=0,VARIABLES!$B$18,0)</f>
        <v>0</v>
      </c>
      <c r="AI7" s="19">
        <f t="shared" si="5"/>
        <v>39500</v>
      </c>
      <c r="AJ7" s="20">
        <f>IF($A7&lt;VARIABLES!$B$7,VARIABLES!$B$9,0)</f>
        <v>10580.083333333334</v>
      </c>
      <c r="AK7" s="27">
        <f t="shared" si="6"/>
        <v>-17577.871313069663</v>
      </c>
      <c r="AL7" s="27">
        <f t="shared" si="7"/>
        <v>-90440.323461507156</v>
      </c>
      <c r="AM7" s="22">
        <f t="shared" si="8"/>
        <v>42320.333333333336</v>
      </c>
    </row>
    <row r="8" spans="1:39" x14ac:dyDescent="0.2">
      <c r="A8" s="14">
        <v>5</v>
      </c>
      <c r="B8" s="14" t="str">
        <f>TEXT(DATE(VARIABLES!$B$60+INT((VARIABLES!$B$61+A8-2)/12),MOD(VARIABLES!$B$61+A8-2,12)+1,1),"mmm-yy")</f>
        <v>Oct-26</v>
      </c>
      <c r="C8" s="15">
        <f>IF($A8&lt;VARIABLES!$B$7,VARIABLES!$B$5/12,VARIABLES!$B$6/12)</f>
        <v>4.9999999999999996E-2</v>
      </c>
      <c r="D8" s="7">
        <f>IF($A8&lt;VARIABLES!$B$21,0,IF($A8=VARIABLES!$B$21,VARIABLES!$B$22+VARIABLES!$B$23,VARIABLES!$B$23))</f>
        <v>200000</v>
      </c>
      <c r="E8" s="7">
        <f>D8*VARIABLES!$B$24</f>
        <v>1500</v>
      </c>
      <c r="F8" s="7">
        <f>IF($A8&lt;VARIABLES!$B$21,0,(IF($A8=VARIABLES!$B$21,0,G7)+D8)*C8*VARIABLES!$B$25)</f>
        <v>1831.6108098159793</v>
      </c>
      <c r="G8" s="7">
        <f>IF($A8&lt;VARIABLES!$B$21,0,(IF($A8=VARIABLES!$B$21,0,G7)+D8)*(1+C8)-F8)</f>
        <v>1536721.4694356066</v>
      </c>
      <c r="H8" s="7">
        <f>IF($A8&lt;VARIABLES!$B$28,0,IF($A8=VARIABLES!$B$28,VARIABLES!$B$29+VARIABLES!$B$30,VARIABLES!$B$30))</f>
        <v>40000</v>
      </c>
      <c r="I8" s="7">
        <f>H8*VARIABLES!$B$31</f>
        <v>300</v>
      </c>
      <c r="J8" s="7">
        <f>IF($A8&lt;VARIABLES!$B$28,0,(IF($A8=VARIABLES!$B$28,0,K7)+H8)*C8*VARIABLES!$B$32)</f>
        <v>855.63822500000015</v>
      </c>
      <c r="K8" s="7">
        <f>IF($A8&lt;VARIABLES!$B$28,0,(IF($A8=VARIABLES!$B$28,0,K7)+H8)*(1+C8)-J8)</f>
        <v>178828.38902500001</v>
      </c>
      <c r="L8" s="7">
        <f>IF($A8&lt;VARIABLES!$B$35,0,IF($A8=VARIABLES!$B$35,VARIABLES!$B$36+VARIABLES!$B$37,VARIABLES!$B$37))</f>
        <v>0</v>
      </c>
      <c r="M8" s="7">
        <f>L8*VARIABLES!$B$38</f>
        <v>0</v>
      </c>
      <c r="N8" s="7">
        <f>IF($A8&lt;VARIABLES!$B$35,0,(IF($A8=VARIABLES!$B$35,0,O7)+L8)*C8*VARIABLES!$B$39)</f>
        <v>28529.153125000001</v>
      </c>
      <c r="O8" s="7">
        <f>IF($A8&lt;VARIABLES!$B$35,0,(IF($A8=VARIABLES!$B$35,0,O7)+L8)*(1+C8)-N8)</f>
        <v>5962593.0031249998</v>
      </c>
      <c r="P8" s="7">
        <f>IF($A8&lt;VARIABLES!$B$42,0,IF($A8=VARIABLES!$B$42,VARIABLES!$B$43+VARIABLES!$B$44,VARIABLES!$B$44))</f>
        <v>20000</v>
      </c>
      <c r="Q8" s="7">
        <f>P8*VARIABLES!$B$45</f>
        <v>150</v>
      </c>
      <c r="R8" s="7">
        <f>IF($A8&lt;VARIABLES!$B$42,0,(IF($A8=VARIABLES!$B$42,0,S7)+P8)*C8*VARIABLES!$B$46)</f>
        <v>107.55305268554687</v>
      </c>
      <c r="S8" s="7">
        <f>IF($A8&lt;VARIABLES!$B$42,0,(IF($A8=VARIABLES!$B$42,0,S7)+P8)*(1+C8)-R8)</f>
        <v>90237.011203173839</v>
      </c>
      <c r="T8" s="16">
        <f>IF($A8&lt;VARIABLES!$B$50,0,MIN(VARIABLES!$B$49,INT(($A8-VARIABLES!$B$50)/VARIABLES!$B$51)+1)*VARIABLES!$B$52)</f>
        <v>3</v>
      </c>
      <c r="U8" s="7">
        <f>T8*VARIABLES!$B$54+IF(AND($A8&gt;=VARIABLES!$B$50,MOD($A8-VARIABLES!$B$50,VARIABLES!$B$51)=0,INT(($A8-VARIABLES!$B$50)/VARIABLES!$B$51)&lt;VARIABLES!$B$49),VARIABLES!$B$52*VARIABLES!$B$53,0)</f>
        <v>65000</v>
      </c>
      <c r="V8" s="7">
        <f>U8*VARIABLES!$B$55</f>
        <v>487.5</v>
      </c>
      <c r="W8" s="7">
        <f>IF($A8&lt;VARIABLES!$B$50,0,(IF($A8&lt;VARIABLES!$B$50+1,0,X7)+U8)*C8*VARIABLES!$B$56)</f>
        <v>938.80687499999988</v>
      </c>
      <c r="X8" s="7">
        <f>IF($A8&lt;VARIABLES!$B$50,0,(IF($A8&lt;VARIABLES!$B$50+1,0,X7)+U8)*(1+C8)-W8)</f>
        <v>196210.636875</v>
      </c>
      <c r="Y8" s="7">
        <f t="shared" si="0"/>
        <v>325000</v>
      </c>
      <c r="Z8" s="7">
        <f t="shared" si="1"/>
        <v>2437.5</v>
      </c>
      <c r="AA8" s="7">
        <f t="shared" si="2"/>
        <v>32262.762087501527</v>
      </c>
      <c r="AB8" s="17">
        <f t="shared" si="3"/>
        <v>34700.262087501527</v>
      </c>
      <c r="AC8" s="18">
        <f t="shared" si="4"/>
        <v>7964590.5096637793</v>
      </c>
      <c r="AD8" s="7">
        <f>IF($A8=1,VARIABLES!$B$12,0)</f>
        <v>0</v>
      </c>
      <c r="AE8" s="7">
        <f>IF($A8&lt;=3,VARIABLES!$B$13,IF($A8&lt;=6,VARIABLES!$B$14,VARIABLES!$B$15))</f>
        <v>34500</v>
      </c>
      <c r="AF8" s="7">
        <f>IF(MOD($A8,12)=0,AC8*VARIABLES!$B$16,0)</f>
        <v>0</v>
      </c>
      <c r="AG8" s="7">
        <f>VARIABLES!$B$17</f>
        <v>5000</v>
      </c>
      <c r="AH8" s="7">
        <f>IF(MOD($A8,12)=0,VARIABLES!$B$18,0)</f>
        <v>0</v>
      </c>
      <c r="AI8" s="19">
        <f t="shared" si="5"/>
        <v>39500</v>
      </c>
      <c r="AJ8" s="20">
        <f>IF($A8&lt;VARIABLES!$B$7,VARIABLES!$B$9,0)</f>
        <v>10580.083333333334</v>
      </c>
      <c r="AK8" s="21">
        <f t="shared" si="6"/>
        <v>-15379.821245831807</v>
      </c>
      <c r="AL8" s="21">
        <f t="shared" si="7"/>
        <v>-105820.14470733896</v>
      </c>
      <c r="AM8" s="22">
        <f t="shared" si="8"/>
        <v>52900.416666666672</v>
      </c>
    </row>
    <row r="9" spans="1:39" x14ac:dyDescent="0.2">
      <c r="A9" s="23">
        <v>6</v>
      </c>
      <c r="B9" s="23" t="str">
        <f>TEXT(DATE(VARIABLES!$B$60+INT((VARIABLES!$B$61+A9-2)/12),MOD(VARIABLES!$B$61+A9-2,12)+1,1),"mmm-yy")</f>
        <v>Nov-26</v>
      </c>
      <c r="C9" s="24">
        <f>IF($A9&lt;VARIABLES!$B$7,VARIABLES!$B$5/12,VARIABLES!$B$6/12)</f>
        <v>4.9999999999999996E-2</v>
      </c>
      <c r="D9" s="25">
        <f>IF($A9&lt;VARIABLES!$B$21,0,IF($A9=VARIABLES!$B$21,VARIABLES!$B$22+VARIABLES!$B$23,VARIABLES!$B$23))</f>
        <v>200000</v>
      </c>
      <c r="E9" s="25">
        <f>D9*VARIABLES!$B$24</f>
        <v>1500</v>
      </c>
      <c r="F9" s="25">
        <f>IF($A9&lt;VARIABLES!$B$21,0,(IF($A9=VARIABLES!$B$21,0,G8)+D9)*C9*VARIABLES!$B$25)</f>
        <v>2170.9018367945082</v>
      </c>
      <c r="G9" s="25">
        <f>IF($A9&lt;VARIABLES!$B$21,0,(IF($A9=VARIABLES!$B$21,0,G8)+D9)*(1+C9)-F9)</f>
        <v>1821386.6410705924</v>
      </c>
      <c r="H9" s="25">
        <f>IF($A9&lt;VARIABLES!$B$28,0,IF($A9=VARIABLES!$B$28,VARIABLES!$B$29+VARIABLES!$B$30,VARIABLES!$B$30))</f>
        <v>40000</v>
      </c>
      <c r="I9" s="25">
        <f>H9*VARIABLES!$B$31</f>
        <v>300</v>
      </c>
      <c r="J9" s="25">
        <f>IF($A9&lt;VARIABLES!$B$28,0,(IF($A9=VARIABLES!$B$28,0,K8)+H9)*C9*VARIABLES!$B$32)</f>
        <v>1094.1419451250001</v>
      </c>
      <c r="K9" s="25">
        <f>IF($A9&lt;VARIABLES!$B$28,0,(IF($A9=VARIABLES!$B$28,0,K8)+H9)*(1+C9)-J9)</f>
        <v>228675.666531125</v>
      </c>
      <c r="L9" s="25">
        <f>IF($A9&lt;VARIABLES!$B$35,0,IF($A9=VARIABLES!$B$35,VARIABLES!$B$36+VARIABLES!$B$37,VARIABLES!$B$37))</f>
        <v>0</v>
      </c>
      <c r="M9" s="25">
        <f>L9*VARIABLES!$B$38</f>
        <v>0</v>
      </c>
      <c r="N9" s="25">
        <f>IF($A9&lt;VARIABLES!$B$35,0,(IF($A9=VARIABLES!$B$35,0,O8)+L9)*C9*VARIABLES!$B$39)</f>
        <v>29812.965015624999</v>
      </c>
      <c r="O9" s="25">
        <f>IF($A9&lt;VARIABLES!$B$35,0,(IF($A9=VARIABLES!$B$35,0,O8)+L9)*(1+C9)-N9)</f>
        <v>6230909.6882656254</v>
      </c>
      <c r="P9" s="25">
        <f>IF($A9&lt;VARIABLES!$B$42,0,IF($A9=VARIABLES!$B$42,VARIABLES!$B$43+VARIABLES!$B$44,VARIABLES!$B$44))</f>
        <v>20000</v>
      </c>
      <c r="Q9" s="25">
        <f>P9*VARIABLES!$B$45</f>
        <v>150</v>
      </c>
      <c r="R9" s="25">
        <f>IF($A9&lt;VARIABLES!$B$42,0,(IF($A9=VARIABLES!$B$42,0,S8)+P9)*C9*VARIABLES!$B$46)</f>
        <v>137.79626400396728</v>
      </c>
      <c r="S9" s="25">
        <f>IF($A9&lt;VARIABLES!$B$42,0,(IF($A9=VARIABLES!$B$42,0,S8)+P9)*(1+C9)-R9)</f>
        <v>115611.06549932857</v>
      </c>
      <c r="T9" s="26">
        <f>IF($A9&lt;VARIABLES!$B$50,0,MIN(VARIABLES!$B$49,INT(($A9-VARIABLES!$B$50)/VARIABLES!$B$51)+1)*VARIABLES!$B$52)</f>
        <v>4</v>
      </c>
      <c r="U9" s="25">
        <f>T9*VARIABLES!$B$54+IF(AND($A9&gt;=VARIABLES!$B$50,MOD($A9-VARIABLES!$B$50,VARIABLES!$B$51)=0,INT(($A9-VARIABLES!$B$50)/VARIABLES!$B$51)&lt;VARIABLES!$B$49),VARIABLES!$B$52*VARIABLES!$B$53,0)</f>
        <v>70000</v>
      </c>
      <c r="V9" s="25">
        <f>U9*VARIABLES!$B$55</f>
        <v>525</v>
      </c>
      <c r="W9" s="25">
        <f>IF($A9&lt;VARIABLES!$B$50,0,(IF($A9&lt;VARIABLES!$B$50+1,0,X8)+U9)*C9*VARIABLES!$B$56)</f>
        <v>1331.0531843749998</v>
      </c>
      <c r="X9" s="25">
        <f>IF($A9&lt;VARIABLES!$B$50,0,(IF($A9&lt;VARIABLES!$B$50+1,0,X8)+U9)*(1+C9)-W9)</f>
        <v>278190.11553437501</v>
      </c>
      <c r="Y9" s="25">
        <f t="shared" si="0"/>
        <v>330000</v>
      </c>
      <c r="Z9" s="25">
        <f t="shared" si="1"/>
        <v>2475</v>
      </c>
      <c r="AA9" s="25">
        <f t="shared" si="2"/>
        <v>34546.858245923475</v>
      </c>
      <c r="AB9" s="17">
        <f t="shared" si="3"/>
        <v>37021.858245923475</v>
      </c>
      <c r="AC9" s="18">
        <f t="shared" si="4"/>
        <v>8674773.1769010462</v>
      </c>
      <c r="AD9" s="25">
        <f>IF($A9=1,VARIABLES!$B$12,0)</f>
        <v>0</v>
      </c>
      <c r="AE9" s="25">
        <f>IF($A9&lt;=3,VARIABLES!$B$13,IF($A9&lt;=6,VARIABLES!$B$14,VARIABLES!$B$15))</f>
        <v>34500</v>
      </c>
      <c r="AF9" s="25">
        <f>IF(MOD($A9,12)=0,AC9*VARIABLES!$B$16,0)</f>
        <v>0</v>
      </c>
      <c r="AG9" s="25">
        <f>VARIABLES!$B$17</f>
        <v>5000</v>
      </c>
      <c r="AH9" s="25">
        <f>IF(MOD($A9,12)=0,VARIABLES!$B$18,0)</f>
        <v>0</v>
      </c>
      <c r="AI9" s="19">
        <f t="shared" si="5"/>
        <v>39500</v>
      </c>
      <c r="AJ9" s="20">
        <f>IF($A9&lt;VARIABLES!$B$7,VARIABLES!$B$9,0)</f>
        <v>10580.083333333334</v>
      </c>
      <c r="AK9" s="27">
        <f t="shared" si="6"/>
        <v>-13058.225087409859</v>
      </c>
      <c r="AL9" s="27">
        <f t="shared" si="7"/>
        <v>-118878.36979474881</v>
      </c>
      <c r="AM9" s="22">
        <f t="shared" si="8"/>
        <v>63480.500000000007</v>
      </c>
    </row>
    <row r="10" spans="1:39" x14ac:dyDescent="0.2">
      <c r="A10" s="14">
        <v>7</v>
      </c>
      <c r="B10" s="14" t="str">
        <f>TEXT(DATE(VARIABLES!$B$60+INT((VARIABLES!$B$61+A10-2)/12),MOD(VARIABLES!$B$61+A10-2,12)+1,1),"mmm-yy")</f>
        <v>Dec-26</v>
      </c>
      <c r="C10" s="15">
        <f>IF($A10&lt;VARIABLES!$B$7,VARIABLES!$B$5/12,VARIABLES!$B$6/12)</f>
        <v>4.9999999999999996E-2</v>
      </c>
      <c r="D10" s="7">
        <f>IF($A10&lt;VARIABLES!$B$21,0,IF($A10=VARIABLES!$B$21,VARIABLES!$B$22+VARIABLES!$B$23,VARIABLES!$B$23))</f>
        <v>200000</v>
      </c>
      <c r="E10" s="7">
        <f>D10*VARIABLES!$B$24</f>
        <v>1500</v>
      </c>
      <c r="F10" s="7">
        <f>IF($A10&lt;VARIABLES!$B$21,0,(IF($A10=VARIABLES!$B$21,0,G9)+D10)*C10*VARIABLES!$B$25)</f>
        <v>2526.7333013382404</v>
      </c>
      <c r="G10" s="7">
        <f>IF($A10&lt;VARIABLES!$B$21,0,(IF($A10=VARIABLES!$B$21,0,G9)+D10)*(1+C10)-F10)</f>
        <v>2119929.239822784</v>
      </c>
      <c r="H10" s="7">
        <f>IF($A10&lt;VARIABLES!$B$28,0,IF($A10=VARIABLES!$B$28,VARIABLES!$B$29+VARIABLES!$B$30,VARIABLES!$B$30))</f>
        <v>40000</v>
      </c>
      <c r="I10" s="7">
        <f>H10*VARIABLES!$B$31</f>
        <v>300</v>
      </c>
      <c r="J10" s="7">
        <f>IF($A10&lt;VARIABLES!$B$28,0,(IF($A10=VARIABLES!$B$28,0,K9)+H10)*C10*VARIABLES!$B$32)</f>
        <v>1343.3783326556249</v>
      </c>
      <c r="K10" s="7">
        <f>IF($A10&lt;VARIABLES!$B$28,0,(IF($A10=VARIABLES!$B$28,0,K9)+H10)*(1+C10)-J10)</f>
        <v>280766.07152502559</v>
      </c>
      <c r="L10" s="7">
        <f>IF($A10&lt;VARIABLES!$B$35,0,IF($A10=VARIABLES!$B$35,VARIABLES!$B$36+VARIABLES!$B$37,VARIABLES!$B$37))</f>
        <v>0</v>
      </c>
      <c r="M10" s="7">
        <f>L10*VARIABLES!$B$38</f>
        <v>0</v>
      </c>
      <c r="N10" s="7">
        <f>IF($A10&lt;VARIABLES!$B$35,0,(IF($A10=VARIABLES!$B$35,0,O9)+L10)*C10*VARIABLES!$B$39)</f>
        <v>31154.548441328127</v>
      </c>
      <c r="O10" s="7">
        <f>IF($A10&lt;VARIABLES!$B$35,0,(IF($A10=VARIABLES!$B$35,0,O9)+L10)*(1+C10)-N10)</f>
        <v>6511300.6242375784</v>
      </c>
      <c r="P10" s="7">
        <f>IF($A10&lt;VARIABLES!$B$42,0,IF($A10=VARIABLES!$B$42,VARIABLES!$B$43+VARIABLES!$B$44,VARIABLES!$B$44))</f>
        <v>20000</v>
      </c>
      <c r="Q10" s="7">
        <f>P10*VARIABLES!$B$45</f>
        <v>150</v>
      </c>
      <c r="R10" s="7">
        <f>IF($A10&lt;VARIABLES!$B$42,0,(IF($A10=VARIABLES!$B$42,0,S9)+P10)*C10*VARIABLES!$B$46)</f>
        <v>169.5138318741607</v>
      </c>
      <c r="S10" s="7">
        <f>IF($A10&lt;VARIABLES!$B$42,0,(IF($A10=VARIABLES!$B$42,0,S9)+P10)*(1+C10)-R10)</f>
        <v>142222.10494242085</v>
      </c>
      <c r="T10" s="16">
        <f>IF($A10&lt;VARIABLES!$B$50,0,MIN(VARIABLES!$B$49,INT(($A10-VARIABLES!$B$50)/VARIABLES!$B$51)+1)*VARIABLES!$B$52)</f>
        <v>5</v>
      </c>
      <c r="U10" s="7">
        <f>T10*VARIABLES!$B$54+IF(AND($A10&gt;=VARIABLES!$B$50,MOD($A10-VARIABLES!$B$50,VARIABLES!$B$51)=0,INT(($A10-VARIABLES!$B$50)/VARIABLES!$B$51)&lt;VARIABLES!$B$49),VARIABLES!$B$52*VARIABLES!$B$53,0)</f>
        <v>75000</v>
      </c>
      <c r="V10" s="7">
        <f>U10*VARIABLES!$B$55</f>
        <v>562.5</v>
      </c>
      <c r="W10" s="7">
        <f>IF($A10&lt;VARIABLES!$B$50,0,(IF($A10&lt;VARIABLES!$B$50+1,0,X9)+U10)*C10*VARIABLES!$B$56)</f>
        <v>1765.9505776718752</v>
      </c>
      <c r="X10" s="7">
        <f>IF($A10&lt;VARIABLES!$B$50,0,(IF($A10&lt;VARIABLES!$B$50+1,0,X9)+U10)*(1+C10)-W10)</f>
        <v>369083.67073342192</v>
      </c>
      <c r="Y10" s="7">
        <f t="shared" si="0"/>
        <v>335000</v>
      </c>
      <c r="Z10" s="7">
        <f t="shared" si="1"/>
        <v>2512.5</v>
      </c>
      <c r="AA10" s="7">
        <f t="shared" si="2"/>
        <v>36960.124484868022</v>
      </c>
      <c r="AB10" s="17">
        <f t="shared" si="3"/>
        <v>39472.624484868022</v>
      </c>
      <c r="AC10" s="18">
        <f t="shared" si="4"/>
        <v>9423301.7112612296</v>
      </c>
      <c r="AD10" s="7">
        <f>IF($A10=1,VARIABLES!$B$12,0)</f>
        <v>0</v>
      </c>
      <c r="AE10" s="7">
        <f>IF($A10&lt;=3,VARIABLES!$B$13,IF($A10&lt;=6,VARIABLES!$B$14,VARIABLES!$B$15))</f>
        <v>46000</v>
      </c>
      <c r="AF10" s="7">
        <f>IF(MOD($A10,12)=0,AC10*VARIABLES!$B$16,0)</f>
        <v>0</v>
      </c>
      <c r="AG10" s="7">
        <f>VARIABLES!$B$17</f>
        <v>5000</v>
      </c>
      <c r="AH10" s="7">
        <f>IF(MOD($A10,12)=0,VARIABLES!$B$18,0)</f>
        <v>0</v>
      </c>
      <c r="AI10" s="19">
        <f t="shared" si="5"/>
        <v>51000</v>
      </c>
      <c r="AJ10" s="20">
        <f>IF($A10&lt;VARIABLES!$B$7,VARIABLES!$B$9,0)</f>
        <v>10580.083333333334</v>
      </c>
      <c r="AK10" s="21">
        <f t="shared" si="6"/>
        <v>-22107.458848465314</v>
      </c>
      <c r="AL10" s="21">
        <f t="shared" si="7"/>
        <v>-140985.82864321413</v>
      </c>
      <c r="AM10" s="22">
        <f t="shared" si="8"/>
        <v>74060.583333333343</v>
      </c>
    </row>
    <row r="11" spans="1:39" x14ac:dyDescent="0.2">
      <c r="A11" s="23">
        <v>8</v>
      </c>
      <c r="B11" s="23" t="str">
        <f>TEXT(DATE(VARIABLES!$B$60+INT((VARIABLES!$B$61+A11-2)/12),MOD(VARIABLES!$B$61+A11-2,12)+1,1),"mmm-yy")</f>
        <v>Jan-27</v>
      </c>
      <c r="C11" s="24">
        <f>IF($A11&lt;VARIABLES!$B$7,VARIABLES!$B$5/12,VARIABLES!$B$6/12)</f>
        <v>4.9999999999999996E-2</v>
      </c>
      <c r="D11" s="25">
        <f>IF($A11&lt;VARIABLES!$B$21,0,IF($A11=VARIABLES!$B$21,VARIABLES!$B$22+VARIABLES!$B$23,VARIABLES!$B$23))</f>
        <v>200000</v>
      </c>
      <c r="E11" s="25">
        <f>D11*VARIABLES!$B$24</f>
        <v>1500</v>
      </c>
      <c r="F11" s="25">
        <f>IF($A11&lt;VARIABLES!$B$21,0,(IF($A11=VARIABLES!$B$21,0,G10)+D11)*C11*VARIABLES!$B$25)</f>
        <v>2899.9115497784801</v>
      </c>
      <c r="G11" s="25">
        <f>IF($A11&lt;VARIABLES!$B$21,0,(IF($A11=VARIABLES!$B$21,0,G10)+D11)*(1+C11)-F11)</f>
        <v>2433025.7902641445</v>
      </c>
      <c r="H11" s="25">
        <f>IF($A11&lt;VARIABLES!$B$28,0,IF($A11=VARIABLES!$B$28,VARIABLES!$B$29+VARIABLES!$B$30,VARIABLES!$B$30))</f>
        <v>40000</v>
      </c>
      <c r="I11" s="25">
        <f>H11*VARIABLES!$B$31</f>
        <v>300</v>
      </c>
      <c r="J11" s="25">
        <f>IF($A11&lt;VARIABLES!$B$28,0,(IF($A11=VARIABLES!$B$28,0,K10)+H11)*C11*VARIABLES!$B$32)</f>
        <v>1603.8303576251278</v>
      </c>
      <c r="K11" s="25">
        <f>IF($A11&lt;VARIABLES!$B$28,0,(IF($A11=VARIABLES!$B$28,0,K10)+H11)*(1+C11)-J11)</f>
        <v>335200.54474365176</v>
      </c>
      <c r="L11" s="25">
        <f>IF($A11&lt;VARIABLES!$B$35,0,IF($A11=VARIABLES!$B$35,VARIABLES!$B$36+VARIABLES!$B$37,VARIABLES!$B$37))</f>
        <v>0</v>
      </c>
      <c r="M11" s="25">
        <f>L11*VARIABLES!$B$38</f>
        <v>0</v>
      </c>
      <c r="N11" s="25">
        <f>IF($A11&lt;VARIABLES!$B$35,0,(IF($A11=VARIABLES!$B$35,0,O10)+L11)*C11*VARIABLES!$B$39)</f>
        <v>32556.503121187889</v>
      </c>
      <c r="O11" s="25">
        <f>IF($A11&lt;VARIABLES!$B$35,0,(IF($A11=VARIABLES!$B$35,0,O10)+L11)*(1+C11)-N11)</f>
        <v>6804309.1523282696</v>
      </c>
      <c r="P11" s="25">
        <f>IF($A11&lt;VARIABLES!$B$42,0,IF($A11=VARIABLES!$B$42,VARIABLES!$B$43+VARIABLES!$B$44,VARIABLES!$B$44))</f>
        <v>20000</v>
      </c>
      <c r="Q11" s="25">
        <f>P11*VARIABLES!$B$45</f>
        <v>150</v>
      </c>
      <c r="R11" s="25">
        <f>IF($A11&lt;VARIABLES!$B$42,0,(IF($A11=VARIABLES!$B$42,0,S10)+P11)*C11*VARIABLES!$B$46)</f>
        <v>202.77763117802604</v>
      </c>
      <c r="S11" s="25">
        <f>IF($A11&lt;VARIABLES!$B$42,0,(IF($A11=VARIABLES!$B$42,0,S10)+P11)*(1+C11)-R11)</f>
        <v>170130.43255836386</v>
      </c>
      <c r="T11" s="26">
        <f>IF($A11&lt;VARIABLES!$B$50,0,MIN(VARIABLES!$B$49,INT(($A11-VARIABLES!$B$50)/VARIABLES!$B$51)+1)*VARIABLES!$B$52)</f>
        <v>6</v>
      </c>
      <c r="U11" s="25">
        <f>T11*VARIABLES!$B$54+IF(AND($A11&gt;=VARIABLES!$B$50,MOD($A11-VARIABLES!$B$50,VARIABLES!$B$51)=0,INT(($A11-VARIABLES!$B$50)/VARIABLES!$B$51)&lt;VARIABLES!$B$49),VARIABLES!$B$52*VARIABLES!$B$53,0)</f>
        <v>80000</v>
      </c>
      <c r="V11" s="25">
        <f>U11*VARIABLES!$B$55</f>
        <v>600</v>
      </c>
      <c r="W11" s="25">
        <f>IF($A11&lt;VARIABLES!$B$50,0,(IF($A11&lt;VARIABLES!$B$50+1,0,X10)+U11)*C11*VARIABLES!$B$56)</f>
        <v>2245.4183536671094</v>
      </c>
      <c r="X11" s="25">
        <f>IF($A11&lt;VARIABLES!$B$50,0,(IF($A11&lt;VARIABLES!$B$50+1,0,X10)+U11)*(1+C11)-W11)</f>
        <v>469292.43591642589</v>
      </c>
      <c r="Y11" s="25">
        <f t="shared" si="0"/>
        <v>340000</v>
      </c>
      <c r="Z11" s="25">
        <f t="shared" si="1"/>
        <v>2550</v>
      </c>
      <c r="AA11" s="25">
        <f t="shared" si="2"/>
        <v>39508.441013436634</v>
      </c>
      <c r="AB11" s="17">
        <f t="shared" si="3"/>
        <v>42058.441013436634</v>
      </c>
      <c r="AC11" s="18">
        <f t="shared" si="4"/>
        <v>10211958.355810855</v>
      </c>
      <c r="AD11" s="25">
        <f>IF($A11=1,VARIABLES!$B$12,0)</f>
        <v>0</v>
      </c>
      <c r="AE11" s="25">
        <f>IF($A11&lt;=3,VARIABLES!$B$13,IF($A11&lt;=6,VARIABLES!$B$14,VARIABLES!$B$15))</f>
        <v>46000</v>
      </c>
      <c r="AF11" s="25">
        <f>IF(MOD($A11,12)=0,AC11*VARIABLES!$B$16,0)</f>
        <v>0</v>
      </c>
      <c r="AG11" s="25">
        <f>VARIABLES!$B$17</f>
        <v>5000</v>
      </c>
      <c r="AH11" s="25">
        <f>IF(MOD($A11,12)=0,VARIABLES!$B$18,0)</f>
        <v>0</v>
      </c>
      <c r="AI11" s="19">
        <f t="shared" si="5"/>
        <v>51000</v>
      </c>
      <c r="AJ11" s="20">
        <f>IF($A11&lt;VARIABLES!$B$7,VARIABLES!$B$9,0)</f>
        <v>10580.083333333334</v>
      </c>
      <c r="AK11" s="27">
        <f t="shared" si="6"/>
        <v>-19521.642319896702</v>
      </c>
      <c r="AL11" s="27">
        <f t="shared" si="7"/>
        <v>-160507.47096311083</v>
      </c>
      <c r="AM11" s="22">
        <f t="shared" si="8"/>
        <v>84640.666666666672</v>
      </c>
    </row>
    <row r="12" spans="1:39" x14ac:dyDescent="0.2">
      <c r="A12" s="14">
        <v>9</v>
      </c>
      <c r="B12" s="14" t="str">
        <f>TEXT(DATE(VARIABLES!$B$60+INT((VARIABLES!$B$61+A12-2)/12),MOD(VARIABLES!$B$61+A12-2,12)+1,1),"mmm-yy")</f>
        <v>Feb-27</v>
      </c>
      <c r="C12" s="15">
        <f>IF($A12&lt;VARIABLES!$B$7,VARIABLES!$B$5/12,VARIABLES!$B$6/12)</f>
        <v>4.9999999999999996E-2</v>
      </c>
      <c r="D12" s="7">
        <f>IF($A12&lt;VARIABLES!$B$21,0,IF($A12=VARIABLES!$B$21,VARIABLES!$B$22+VARIABLES!$B$23,VARIABLES!$B$23))</f>
        <v>200000</v>
      </c>
      <c r="E12" s="7">
        <f>D12*VARIABLES!$B$24</f>
        <v>1500</v>
      </c>
      <c r="F12" s="7">
        <f>IF($A12&lt;VARIABLES!$B$21,0,(IF($A12=VARIABLES!$B$21,0,G11)+D12)*C12*VARIABLES!$B$25)</f>
        <v>3291.2822378301807</v>
      </c>
      <c r="G12" s="7">
        <f>IF($A12&lt;VARIABLES!$B$21,0,(IF($A12=VARIABLES!$B$21,0,G11)+D12)*(1+C12)-F12)</f>
        <v>2761385.7975395219</v>
      </c>
      <c r="H12" s="7">
        <f>IF($A12&lt;VARIABLES!$B$28,0,IF($A12=VARIABLES!$B$28,VARIABLES!$B$29+VARIABLES!$B$30,VARIABLES!$B$30))</f>
        <v>40000</v>
      </c>
      <c r="I12" s="7">
        <f>H12*VARIABLES!$B$31</f>
        <v>300</v>
      </c>
      <c r="J12" s="7">
        <f>IF($A12&lt;VARIABLES!$B$28,0,(IF($A12=VARIABLES!$B$28,0,K11)+H12)*C12*VARIABLES!$B$32)</f>
        <v>1876.0027237182585</v>
      </c>
      <c r="K12" s="7">
        <f>IF($A12&lt;VARIABLES!$B$28,0,(IF($A12=VARIABLES!$B$28,0,K11)+H12)*(1+C12)-J12)</f>
        <v>392084.56925711612</v>
      </c>
      <c r="L12" s="7">
        <f>IF($A12&lt;VARIABLES!$B$35,0,IF($A12=VARIABLES!$B$35,VARIABLES!$B$36+VARIABLES!$B$37,VARIABLES!$B$37))</f>
        <v>0</v>
      </c>
      <c r="M12" s="7">
        <f>L12*VARIABLES!$B$38</f>
        <v>0</v>
      </c>
      <c r="N12" s="7">
        <f>IF($A12&lt;VARIABLES!$B$35,0,(IF($A12=VARIABLES!$B$35,0,O11)+L12)*C12*VARIABLES!$B$39)</f>
        <v>34021.545761641348</v>
      </c>
      <c r="O12" s="7">
        <f>IF($A12&lt;VARIABLES!$B$35,0,(IF($A12=VARIABLES!$B$35,0,O11)+L12)*(1+C12)-N12)</f>
        <v>7110503.0641830424</v>
      </c>
      <c r="P12" s="7">
        <f>IF($A12&lt;VARIABLES!$B$42,0,IF($A12=VARIABLES!$B$42,VARIABLES!$B$43+VARIABLES!$B$44,VARIABLES!$B$44))</f>
        <v>20000</v>
      </c>
      <c r="Q12" s="7">
        <f>P12*VARIABLES!$B$45</f>
        <v>150</v>
      </c>
      <c r="R12" s="7">
        <f>IF($A12&lt;VARIABLES!$B$42,0,(IF($A12=VARIABLES!$B$42,0,S11)+P12)*C12*VARIABLES!$B$46)</f>
        <v>237.66304069795478</v>
      </c>
      <c r="S12" s="7">
        <f>IF($A12&lt;VARIABLES!$B$42,0,(IF($A12=VARIABLES!$B$42,0,S11)+P12)*(1+C12)-R12)</f>
        <v>199399.29114558411</v>
      </c>
      <c r="T12" s="16">
        <f>IF($A12&lt;VARIABLES!$B$50,0,MIN(VARIABLES!$B$49,INT(($A12-VARIABLES!$B$50)/VARIABLES!$B$51)+1)*VARIABLES!$B$52)</f>
        <v>7</v>
      </c>
      <c r="U12" s="7">
        <f>T12*VARIABLES!$B$54+IF(AND($A12&gt;=VARIABLES!$B$50,MOD($A12-VARIABLES!$B$50,VARIABLES!$B$51)=0,INT(($A12-VARIABLES!$B$50)/VARIABLES!$B$51)&lt;VARIABLES!$B$49),VARIABLES!$B$52*VARIABLES!$B$53,0)</f>
        <v>85000</v>
      </c>
      <c r="V12" s="7">
        <f>U12*VARIABLES!$B$55</f>
        <v>637.5</v>
      </c>
      <c r="W12" s="7">
        <f>IF($A12&lt;VARIABLES!$B$50,0,(IF($A12&lt;VARIABLES!$B$50+1,0,X11)+U12)*C12*VARIABLES!$B$56)</f>
        <v>2771.4621795821295</v>
      </c>
      <c r="X12" s="7">
        <f>IF($A12&lt;VARIABLES!$B$50,0,(IF($A12&lt;VARIABLES!$B$50+1,0,X11)+U12)*(1+C12)-W12)</f>
        <v>579235.59553266515</v>
      </c>
      <c r="Y12" s="7">
        <f t="shared" si="0"/>
        <v>345000</v>
      </c>
      <c r="Z12" s="7">
        <f t="shared" si="1"/>
        <v>2587.5</v>
      </c>
      <c r="AA12" s="7">
        <f t="shared" si="2"/>
        <v>42197.955943469868</v>
      </c>
      <c r="AB12" s="17">
        <f t="shared" si="3"/>
        <v>44785.455943469868</v>
      </c>
      <c r="AC12" s="18">
        <f t="shared" si="4"/>
        <v>11042608.317657929</v>
      </c>
      <c r="AD12" s="7">
        <f>IF($A12=1,VARIABLES!$B$12,0)</f>
        <v>0</v>
      </c>
      <c r="AE12" s="7">
        <f>IF($A12&lt;=3,VARIABLES!$B$13,IF($A12&lt;=6,VARIABLES!$B$14,VARIABLES!$B$15))</f>
        <v>46000</v>
      </c>
      <c r="AF12" s="7">
        <f>IF(MOD($A12,12)=0,AC12*VARIABLES!$B$16,0)</f>
        <v>0</v>
      </c>
      <c r="AG12" s="7">
        <f>VARIABLES!$B$17</f>
        <v>5000</v>
      </c>
      <c r="AH12" s="7">
        <f>IF(MOD($A12,12)=0,VARIABLES!$B$18,0)</f>
        <v>0</v>
      </c>
      <c r="AI12" s="19">
        <f t="shared" si="5"/>
        <v>51000</v>
      </c>
      <c r="AJ12" s="20">
        <f>IF($A12&lt;VARIABLES!$B$7,VARIABLES!$B$9,0)</f>
        <v>10580.083333333334</v>
      </c>
      <c r="AK12" s="21">
        <f t="shared" si="6"/>
        <v>-16794.627389863468</v>
      </c>
      <c r="AL12" s="21">
        <f t="shared" si="7"/>
        <v>-177302.09835297428</v>
      </c>
      <c r="AM12" s="22">
        <f t="shared" si="8"/>
        <v>95220.75</v>
      </c>
    </row>
    <row r="13" spans="1:39" x14ac:dyDescent="0.2">
      <c r="A13" s="23">
        <v>10</v>
      </c>
      <c r="B13" s="23" t="str">
        <f>TEXT(DATE(VARIABLES!$B$60+INT((VARIABLES!$B$61+A13-2)/12),MOD(VARIABLES!$B$61+A13-2,12)+1,1),"mmm-yy")</f>
        <v>Mar-27</v>
      </c>
      <c r="C13" s="24">
        <f>IF($A13&lt;VARIABLES!$B$7,VARIABLES!$B$5/12,VARIABLES!$B$6/12)</f>
        <v>4.9999999999999996E-2</v>
      </c>
      <c r="D13" s="25">
        <f>IF($A13&lt;VARIABLES!$B$21,0,IF($A13=VARIABLES!$B$21,VARIABLES!$B$22+VARIABLES!$B$23,VARIABLES!$B$23))</f>
        <v>200000</v>
      </c>
      <c r="E13" s="25">
        <f>D13*VARIABLES!$B$24</f>
        <v>1500</v>
      </c>
      <c r="F13" s="25">
        <f>IF($A13&lt;VARIABLES!$B$21,0,(IF($A13=VARIABLES!$B$21,0,G12)+D13)*C13*VARIABLES!$B$25)</f>
        <v>3701.7322469244023</v>
      </c>
      <c r="G13" s="25">
        <f>IF($A13&lt;VARIABLES!$B$21,0,(IF($A13=VARIABLES!$B$21,0,G12)+D13)*(1+C13)-F13)</f>
        <v>3105753.3551695738</v>
      </c>
      <c r="H13" s="25">
        <f>IF($A13&lt;VARIABLES!$B$28,0,IF($A13=VARIABLES!$B$28,VARIABLES!$B$29+VARIABLES!$B$30,VARIABLES!$B$30))</f>
        <v>40000</v>
      </c>
      <c r="I13" s="25">
        <f>H13*VARIABLES!$B$31</f>
        <v>300</v>
      </c>
      <c r="J13" s="25">
        <f>IF($A13&lt;VARIABLES!$B$28,0,(IF($A13=VARIABLES!$B$28,0,K12)+H13)*C13*VARIABLES!$B$32)</f>
        <v>2160.4228462855804</v>
      </c>
      <c r="K13" s="25">
        <f>IF($A13&lt;VARIABLES!$B$28,0,(IF($A13=VARIABLES!$B$28,0,K12)+H13)*(1+C13)-J13)</f>
        <v>451528.37487368635</v>
      </c>
      <c r="L13" s="25">
        <f>IF($A13&lt;VARIABLES!$B$35,0,IF($A13=VARIABLES!$B$35,VARIABLES!$B$36+VARIABLES!$B$37,VARIABLES!$B$37))</f>
        <v>0</v>
      </c>
      <c r="M13" s="25">
        <f>L13*VARIABLES!$B$38</f>
        <v>0</v>
      </c>
      <c r="N13" s="25">
        <f>IF($A13&lt;VARIABLES!$B$35,0,(IF($A13=VARIABLES!$B$35,0,O12)+L13)*C13*VARIABLES!$B$39)</f>
        <v>35552.515320915212</v>
      </c>
      <c r="O13" s="25">
        <f>IF($A13&lt;VARIABLES!$B$35,0,(IF($A13=VARIABLES!$B$35,0,O12)+L13)*(1+C13)-N13)</f>
        <v>7430475.7020712802</v>
      </c>
      <c r="P13" s="25">
        <f>IF($A13&lt;VARIABLES!$B$42,0,IF($A13=VARIABLES!$B$42,VARIABLES!$B$43+VARIABLES!$B$44,VARIABLES!$B$44))</f>
        <v>20000</v>
      </c>
      <c r="Q13" s="25">
        <f>P13*VARIABLES!$B$45</f>
        <v>150</v>
      </c>
      <c r="R13" s="25">
        <f>IF($A13&lt;VARIABLES!$B$42,0,(IF($A13=VARIABLES!$B$42,0,S12)+P13)*C13*VARIABLES!$B$46)</f>
        <v>274.24911393198016</v>
      </c>
      <c r="S13" s="25">
        <f>IF($A13&lt;VARIABLES!$B$42,0,(IF($A13=VARIABLES!$B$42,0,S12)+P13)*(1+C13)-R13)</f>
        <v>230095.00658893134</v>
      </c>
      <c r="T13" s="26">
        <f>IF($A13&lt;VARIABLES!$B$50,0,MIN(VARIABLES!$B$49,INT(($A13-VARIABLES!$B$50)/VARIABLES!$B$51)+1)*VARIABLES!$B$52)</f>
        <v>8</v>
      </c>
      <c r="U13" s="25">
        <f>T13*VARIABLES!$B$54+IF(AND($A13&gt;=VARIABLES!$B$50,MOD($A13-VARIABLES!$B$50,VARIABLES!$B$51)=0,INT(($A13-VARIABLES!$B$50)/VARIABLES!$B$51)&lt;VARIABLES!$B$49),VARIABLES!$B$52*VARIABLES!$B$53,0)</f>
        <v>90000</v>
      </c>
      <c r="V13" s="25">
        <f>U13*VARIABLES!$B$55</f>
        <v>675</v>
      </c>
      <c r="W13" s="25">
        <f>IF($A13&lt;VARIABLES!$B$50,0,(IF($A13&lt;VARIABLES!$B$50+1,0,X12)+U13)*C13*VARIABLES!$B$56)</f>
        <v>3346.1779776633252</v>
      </c>
      <c r="X13" s="25">
        <f>IF($A13&lt;VARIABLES!$B$50,0,(IF($A13&lt;VARIABLES!$B$50+1,0,X12)+U13)*(1+C13)-W13)</f>
        <v>699351.19733163505</v>
      </c>
      <c r="Y13" s="25">
        <f t="shared" si="0"/>
        <v>350000</v>
      </c>
      <c r="Z13" s="25">
        <f t="shared" si="1"/>
        <v>2625</v>
      </c>
      <c r="AA13" s="25">
        <f t="shared" si="2"/>
        <v>45035.097505720507</v>
      </c>
      <c r="AB13" s="17">
        <f t="shared" si="3"/>
        <v>47660.097505720507</v>
      </c>
      <c r="AC13" s="18">
        <f t="shared" si="4"/>
        <v>11917203.636035109</v>
      </c>
      <c r="AD13" s="25">
        <f>IF($A13=1,VARIABLES!$B$12,0)</f>
        <v>0</v>
      </c>
      <c r="AE13" s="25">
        <f>IF($A13&lt;=3,VARIABLES!$B$13,IF($A13&lt;=6,VARIABLES!$B$14,VARIABLES!$B$15))</f>
        <v>46000</v>
      </c>
      <c r="AF13" s="25">
        <f>IF(MOD($A13,12)=0,AC13*VARIABLES!$B$16,0)</f>
        <v>0</v>
      </c>
      <c r="AG13" s="25">
        <f>VARIABLES!$B$17</f>
        <v>5000</v>
      </c>
      <c r="AH13" s="25">
        <f>IF(MOD($A13,12)=0,VARIABLES!$B$18,0)</f>
        <v>0</v>
      </c>
      <c r="AI13" s="19">
        <f t="shared" si="5"/>
        <v>51000</v>
      </c>
      <c r="AJ13" s="20">
        <f>IF($A13&lt;VARIABLES!$B$7,VARIABLES!$B$9,0)</f>
        <v>10580.083333333334</v>
      </c>
      <c r="AK13" s="27">
        <f t="shared" si="6"/>
        <v>-13919.985827612827</v>
      </c>
      <c r="AL13" s="27">
        <f t="shared" si="7"/>
        <v>-191222.08418058712</v>
      </c>
      <c r="AM13" s="22">
        <f t="shared" si="8"/>
        <v>105800.83333333333</v>
      </c>
    </row>
    <row r="14" spans="1:39" x14ac:dyDescent="0.2">
      <c r="A14" s="14">
        <v>11</v>
      </c>
      <c r="B14" s="14" t="str">
        <f>TEXT(DATE(VARIABLES!$B$60+INT((VARIABLES!$B$61+A14-2)/12),MOD(VARIABLES!$B$61+A14-2,12)+1,1),"mmm-yy")</f>
        <v>Apr-27</v>
      </c>
      <c r="C14" s="15">
        <f>IF($A14&lt;VARIABLES!$B$7,VARIABLES!$B$5/12,VARIABLES!$B$6/12)</f>
        <v>4.9999999999999996E-2</v>
      </c>
      <c r="D14" s="7">
        <f>IF($A14&lt;VARIABLES!$B$21,0,IF($A14=VARIABLES!$B$21,VARIABLES!$B$22+VARIABLES!$B$23,VARIABLES!$B$23))</f>
        <v>200000</v>
      </c>
      <c r="E14" s="7">
        <f>D14*VARIABLES!$B$24</f>
        <v>1500</v>
      </c>
      <c r="F14" s="7">
        <f>IF($A14&lt;VARIABLES!$B$21,0,(IF($A14=VARIABLES!$B$21,0,G13)+D14)*C14*VARIABLES!$B$25)</f>
        <v>4132.1916939619668</v>
      </c>
      <c r="G14" s="7">
        <f>IF($A14&lt;VARIABLES!$B$21,0,(IF($A14=VARIABLES!$B$21,0,G13)+D14)*(1+C14)-F14)</f>
        <v>3466908.8312340905</v>
      </c>
      <c r="H14" s="7">
        <f>IF($A14&lt;VARIABLES!$B$28,0,IF($A14=VARIABLES!$B$28,VARIABLES!$B$29+VARIABLES!$B$30,VARIABLES!$B$30))</f>
        <v>40000</v>
      </c>
      <c r="I14" s="7">
        <f>H14*VARIABLES!$B$31</f>
        <v>300</v>
      </c>
      <c r="J14" s="7">
        <f>IF($A14&lt;VARIABLES!$B$28,0,(IF($A14=VARIABLES!$B$28,0,K13)+H14)*C14*VARIABLES!$B$32)</f>
        <v>2457.6418743684317</v>
      </c>
      <c r="K14" s="7">
        <f>IF($A14&lt;VARIABLES!$B$28,0,(IF($A14=VARIABLES!$B$28,0,K13)+H14)*(1+C14)-J14)</f>
        <v>513647.15174300229</v>
      </c>
      <c r="L14" s="7">
        <f>IF($A14&lt;VARIABLES!$B$35,0,IF($A14=VARIABLES!$B$35,VARIABLES!$B$36+VARIABLES!$B$37,VARIABLES!$B$37))</f>
        <v>0</v>
      </c>
      <c r="M14" s="7">
        <f>L14*VARIABLES!$B$38</f>
        <v>0</v>
      </c>
      <c r="N14" s="7">
        <f>IF($A14&lt;VARIABLES!$B$35,0,(IF($A14=VARIABLES!$B$35,0,O13)+L14)*C14*VARIABLES!$B$39)</f>
        <v>37152.378510356401</v>
      </c>
      <c r="O14" s="7">
        <f>IF($A14&lt;VARIABLES!$B$35,0,(IF($A14=VARIABLES!$B$35,0,O13)+L14)*(1+C14)-N14)</f>
        <v>7764847.1086644884</v>
      </c>
      <c r="P14" s="7">
        <f>IF($A14&lt;VARIABLES!$B$42,0,IF($A14=VARIABLES!$B$42,VARIABLES!$B$43+VARIABLES!$B$44,VARIABLES!$B$44))</f>
        <v>20000</v>
      </c>
      <c r="Q14" s="7">
        <f>P14*VARIABLES!$B$45</f>
        <v>150</v>
      </c>
      <c r="R14" s="7">
        <f>IF($A14&lt;VARIABLES!$B$42,0,(IF($A14=VARIABLES!$B$42,0,S13)+P14)*C14*VARIABLES!$B$46)</f>
        <v>312.61875823616418</v>
      </c>
      <c r="S14" s="7">
        <f>IF($A14&lt;VARIABLES!$B$42,0,(IF($A14=VARIABLES!$B$42,0,S13)+P14)*(1+C14)-R14)</f>
        <v>262287.13816014177</v>
      </c>
      <c r="T14" s="16">
        <f>IF($A14&lt;VARIABLES!$B$50,0,MIN(VARIABLES!$B$49,INT(($A14-VARIABLES!$B$50)/VARIABLES!$B$51)+1)*VARIABLES!$B$52)</f>
        <v>9</v>
      </c>
      <c r="U14" s="7">
        <f>T14*VARIABLES!$B$54+IF(AND($A14&gt;=VARIABLES!$B$50,MOD($A14-VARIABLES!$B$50,VARIABLES!$B$51)=0,INT(($A14-VARIABLES!$B$50)/VARIABLES!$B$51)&lt;VARIABLES!$B$49),VARIABLES!$B$52*VARIABLES!$B$53,0)</f>
        <v>95000</v>
      </c>
      <c r="V14" s="7">
        <f>U14*VARIABLES!$B$55</f>
        <v>712.5</v>
      </c>
      <c r="W14" s="7">
        <f>IF($A14&lt;VARIABLES!$B$50,0,(IF($A14&lt;VARIABLES!$B$50+1,0,X13)+U14)*C14*VARIABLES!$B$56)</f>
        <v>3971.7559866581755</v>
      </c>
      <c r="X14" s="7">
        <f>IF($A14&lt;VARIABLES!$B$50,0,(IF($A14&lt;VARIABLES!$B$50+1,0,X13)+U14)*(1+C14)-W14)</f>
        <v>830097.0012115587</v>
      </c>
      <c r="Y14" s="7">
        <f t="shared" si="0"/>
        <v>355000</v>
      </c>
      <c r="Z14" s="7">
        <f t="shared" si="1"/>
        <v>2662.5</v>
      </c>
      <c r="AA14" s="7">
        <f t="shared" si="2"/>
        <v>48026.586823581136</v>
      </c>
      <c r="AB14" s="17">
        <f t="shared" si="3"/>
        <v>50689.086823581136</v>
      </c>
      <c r="AC14" s="18">
        <f t="shared" si="4"/>
        <v>12837787.231013281</v>
      </c>
      <c r="AD14" s="7">
        <f>IF($A14=1,VARIABLES!$B$12,0)</f>
        <v>0</v>
      </c>
      <c r="AE14" s="7">
        <f>IF($A14&lt;=3,VARIABLES!$B$13,IF($A14&lt;=6,VARIABLES!$B$14,VARIABLES!$B$15))</f>
        <v>46000</v>
      </c>
      <c r="AF14" s="7">
        <f>IF(MOD($A14,12)=0,AC14*VARIABLES!$B$16,0)</f>
        <v>0</v>
      </c>
      <c r="AG14" s="7">
        <f>VARIABLES!$B$17</f>
        <v>5000</v>
      </c>
      <c r="AH14" s="7">
        <f>IF(MOD($A14,12)=0,VARIABLES!$B$18,0)</f>
        <v>0</v>
      </c>
      <c r="AI14" s="19">
        <f t="shared" si="5"/>
        <v>51000</v>
      </c>
      <c r="AJ14" s="20">
        <f>IF($A14&lt;VARIABLES!$B$7,VARIABLES!$B$9,0)</f>
        <v>10580.083333333334</v>
      </c>
      <c r="AK14" s="21">
        <f t="shared" si="6"/>
        <v>-10890.996509752198</v>
      </c>
      <c r="AL14" s="21">
        <f t="shared" si="7"/>
        <v>-202113.08069033932</v>
      </c>
      <c r="AM14" s="22">
        <f t="shared" si="8"/>
        <v>116380.91666666666</v>
      </c>
    </row>
    <row r="15" spans="1:39" x14ac:dyDescent="0.2">
      <c r="A15" s="23">
        <v>12</v>
      </c>
      <c r="B15" s="23" t="str">
        <f>TEXT(DATE(VARIABLES!$B$60+INT((VARIABLES!$B$61+A15-2)/12),MOD(VARIABLES!$B$61+A15-2,12)+1,1),"mmm-yy")</f>
        <v>May-27</v>
      </c>
      <c r="C15" s="24">
        <f>IF($A15&lt;VARIABLES!$B$7,VARIABLES!$B$5/12,VARIABLES!$B$6/12)</f>
        <v>4.9999999999999996E-2</v>
      </c>
      <c r="D15" s="25">
        <f>IF($A15&lt;VARIABLES!$B$21,0,IF($A15=VARIABLES!$B$21,VARIABLES!$B$22+VARIABLES!$B$23,VARIABLES!$B$23))</f>
        <v>200000</v>
      </c>
      <c r="E15" s="25">
        <f>D15*VARIABLES!$B$24</f>
        <v>1500</v>
      </c>
      <c r="F15" s="25">
        <f>IF($A15&lt;VARIABLES!$B$21,0,(IF($A15=VARIABLES!$B$21,0,G14)+D15)*C15*VARIABLES!$B$25)</f>
        <v>4583.6360390426125</v>
      </c>
      <c r="G15" s="25">
        <f>IF($A15&lt;VARIABLES!$B$21,0,(IF($A15=VARIABLES!$B$21,0,G14)+D15)*(1+C15)-F15)</f>
        <v>3845670.6367567526</v>
      </c>
      <c r="H15" s="25">
        <f>IF($A15&lt;VARIABLES!$B$28,0,IF($A15=VARIABLES!$B$28,VARIABLES!$B$29+VARIABLES!$B$30,VARIABLES!$B$30))</f>
        <v>40000</v>
      </c>
      <c r="I15" s="25">
        <f>H15*VARIABLES!$B$31</f>
        <v>300</v>
      </c>
      <c r="J15" s="25">
        <f>IF($A15&lt;VARIABLES!$B$28,0,(IF($A15=VARIABLES!$B$28,0,K14)+H15)*C15*VARIABLES!$B$32)</f>
        <v>2768.2357587150109</v>
      </c>
      <c r="K15" s="25">
        <f>IF($A15&lt;VARIABLES!$B$28,0,(IF($A15=VARIABLES!$B$28,0,K14)+H15)*(1+C15)-J15)</f>
        <v>578561.27357143746</v>
      </c>
      <c r="L15" s="25">
        <f>IF($A15&lt;VARIABLES!$B$35,0,IF($A15=VARIABLES!$B$35,VARIABLES!$B$36+VARIABLES!$B$37,VARIABLES!$B$37))</f>
        <v>0</v>
      </c>
      <c r="M15" s="25">
        <f>L15*VARIABLES!$B$38</f>
        <v>0</v>
      </c>
      <c r="N15" s="25">
        <f>IF($A15&lt;VARIABLES!$B$35,0,(IF($A15=VARIABLES!$B$35,0,O14)+L15)*C15*VARIABLES!$B$39)</f>
        <v>38824.235543322444</v>
      </c>
      <c r="O15" s="25">
        <f>IF($A15&lt;VARIABLES!$B$35,0,(IF($A15=VARIABLES!$B$35,0,O14)+L15)*(1+C15)-N15)</f>
        <v>8114265.2285543904</v>
      </c>
      <c r="P15" s="25">
        <f>IF($A15&lt;VARIABLES!$B$42,0,IF($A15=VARIABLES!$B$42,VARIABLES!$B$43+VARIABLES!$B$44,VARIABLES!$B$44))</f>
        <v>20000</v>
      </c>
      <c r="Q15" s="25">
        <f>P15*VARIABLES!$B$45</f>
        <v>150</v>
      </c>
      <c r="R15" s="25">
        <f>IF($A15&lt;VARIABLES!$B$42,0,(IF($A15=VARIABLES!$B$42,0,S14)+P15)*C15*VARIABLES!$B$46)</f>
        <v>352.85892270017717</v>
      </c>
      <c r="S15" s="25">
        <f>IF($A15&lt;VARIABLES!$B$42,0,(IF($A15=VARIABLES!$B$42,0,S14)+P15)*(1+C15)-R15)</f>
        <v>296048.63614544872</v>
      </c>
      <c r="T15" s="26">
        <f>IF($A15&lt;VARIABLES!$B$50,0,MIN(VARIABLES!$B$49,INT(($A15-VARIABLES!$B$50)/VARIABLES!$B$51)+1)*VARIABLES!$B$52)</f>
        <v>10</v>
      </c>
      <c r="U15" s="25">
        <f>T15*VARIABLES!$B$54+IF(AND($A15&gt;=VARIABLES!$B$50,MOD($A15-VARIABLES!$B$50,VARIABLES!$B$51)=0,INT(($A15-VARIABLES!$B$50)/VARIABLES!$B$51)&lt;VARIABLES!$B$49),VARIABLES!$B$52*VARIABLES!$B$53,0)</f>
        <v>100000</v>
      </c>
      <c r="V15" s="25">
        <f>U15*VARIABLES!$B$55</f>
        <v>750</v>
      </c>
      <c r="W15" s="25">
        <f>IF($A15&lt;VARIABLES!$B$50,0,(IF($A15&lt;VARIABLES!$B$50+1,0,X14)+U15)*C15*VARIABLES!$B$56)</f>
        <v>4650.4850060577937</v>
      </c>
      <c r="X15" s="25">
        <f>IF($A15&lt;VARIABLES!$B$50,0,(IF($A15&lt;VARIABLES!$B$50+1,0,X14)+U15)*(1+C15)-W15)</f>
        <v>971951.3662660789</v>
      </c>
      <c r="Y15" s="25">
        <f t="shared" si="0"/>
        <v>360000</v>
      </c>
      <c r="Z15" s="25">
        <f t="shared" si="1"/>
        <v>2700</v>
      </c>
      <c r="AA15" s="25">
        <f t="shared" si="2"/>
        <v>51179.451269838042</v>
      </c>
      <c r="AB15" s="17">
        <f t="shared" si="3"/>
        <v>53879.451269838042</v>
      </c>
      <c r="AC15" s="18">
        <f t="shared" si="4"/>
        <v>13806497.141294109</v>
      </c>
      <c r="AD15" s="25">
        <f>IF($A15=1,VARIABLES!$B$12,0)</f>
        <v>0</v>
      </c>
      <c r="AE15" s="25">
        <f>IF($A15&lt;=3,VARIABLES!$B$13,IF($A15&lt;=6,VARIABLES!$B$14,VARIABLES!$B$15))</f>
        <v>46000</v>
      </c>
      <c r="AF15" s="25">
        <f>IF(MOD($A15,12)=0,AC15*VARIABLES!$B$16,0)</f>
        <v>34516.242853235271</v>
      </c>
      <c r="AG15" s="25">
        <f>VARIABLES!$B$17</f>
        <v>5000</v>
      </c>
      <c r="AH15" s="25">
        <f>IF(MOD($A15,12)=0,VARIABLES!$B$18,0)</f>
        <v>3000</v>
      </c>
      <c r="AI15" s="19">
        <f t="shared" si="5"/>
        <v>88516.242853235279</v>
      </c>
      <c r="AJ15" s="20">
        <f>IF($A15&lt;VARIABLES!$B$7,VARIABLES!$B$9,0)</f>
        <v>10580.083333333334</v>
      </c>
      <c r="AK15" s="27">
        <f t="shared" si="6"/>
        <v>-45216.874916730572</v>
      </c>
      <c r="AL15" s="27">
        <f t="shared" si="7"/>
        <v>-247329.95560706989</v>
      </c>
      <c r="AM15" s="22">
        <f t="shared" si="8"/>
        <v>126960.99999999999</v>
      </c>
    </row>
    <row r="16" spans="1:39" x14ac:dyDescent="0.2">
      <c r="A16" s="14">
        <v>13</v>
      </c>
      <c r="B16" s="14" t="str">
        <f>TEXT(DATE(VARIABLES!$B$60+INT((VARIABLES!$B$61+A16-2)/12),MOD(VARIABLES!$B$61+A16-2,12)+1,1),"mmm-yy")</f>
        <v>Jun-27</v>
      </c>
      <c r="C16" s="15">
        <f>IF($A16&lt;VARIABLES!$B$7,VARIABLES!$B$5/12,VARIABLES!$B$6/12)</f>
        <v>4.9999999999999996E-2</v>
      </c>
      <c r="D16" s="7">
        <f>IF($A16&lt;VARIABLES!$B$21,0,IF($A16=VARIABLES!$B$21,VARIABLES!$B$22+VARIABLES!$B$23,VARIABLES!$B$23))</f>
        <v>200000</v>
      </c>
      <c r="E16" s="7">
        <f>D16*VARIABLES!$B$24</f>
        <v>1500</v>
      </c>
      <c r="F16" s="7">
        <f>IF($A16&lt;VARIABLES!$B$21,0,(IF($A16=VARIABLES!$B$21,0,G15)+D16)*C16*VARIABLES!$B$25)</f>
        <v>5057.0882959459414</v>
      </c>
      <c r="G16" s="7">
        <f>IF($A16&lt;VARIABLES!$B$21,0,(IF($A16=VARIABLES!$B$21,0,G15)+D16)*(1+C16)-F16)</f>
        <v>4242897.0802986445</v>
      </c>
      <c r="H16" s="7">
        <f>IF($A16&lt;VARIABLES!$B$28,0,IF($A16=VARIABLES!$B$28,VARIABLES!$B$29+VARIABLES!$B$30,VARIABLES!$B$30))</f>
        <v>40000</v>
      </c>
      <c r="I16" s="7">
        <f>H16*VARIABLES!$B$31</f>
        <v>300</v>
      </c>
      <c r="J16" s="7">
        <f>IF($A16&lt;VARIABLES!$B$28,0,(IF($A16=VARIABLES!$B$28,0,K15)+H16)*C16*VARIABLES!$B$32)</f>
        <v>3092.8063678571871</v>
      </c>
      <c r="K16" s="7">
        <f>IF($A16&lt;VARIABLES!$B$28,0,(IF($A16=VARIABLES!$B$28,0,K15)+H16)*(1+C16)-J16)</f>
        <v>646396.53088215226</v>
      </c>
      <c r="L16" s="7">
        <f>IF($A16&lt;VARIABLES!$B$35,0,IF($A16=VARIABLES!$B$35,VARIABLES!$B$36+VARIABLES!$B$37,VARIABLES!$B$37))</f>
        <v>0</v>
      </c>
      <c r="M16" s="7">
        <f>L16*VARIABLES!$B$38</f>
        <v>0</v>
      </c>
      <c r="N16" s="7">
        <f>IF($A16&lt;VARIABLES!$B$35,0,(IF($A16=VARIABLES!$B$35,0,O15)+L16)*C16*VARIABLES!$B$39)</f>
        <v>40571.326142771955</v>
      </c>
      <c r="O16" s="7">
        <f>IF($A16&lt;VARIABLES!$B$35,0,(IF($A16=VARIABLES!$B$35,0,O15)+L16)*(1+C16)-N16)</f>
        <v>8479407.1638393383</v>
      </c>
      <c r="P16" s="7">
        <f>IF($A16&lt;VARIABLES!$B$42,0,IF($A16=VARIABLES!$B$42,VARIABLES!$B$43+VARIABLES!$B$44,VARIABLES!$B$44))</f>
        <v>20000</v>
      </c>
      <c r="Q16" s="7">
        <f>P16*VARIABLES!$B$45</f>
        <v>150</v>
      </c>
      <c r="R16" s="7">
        <f>IF($A16&lt;VARIABLES!$B$42,0,(IF($A16=VARIABLES!$B$42,0,S15)+P16)*C16*VARIABLES!$B$46)</f>
        <v>395.06079518181087</v>
      </c>
      <c r="S16" s="7">
        <f>IF($A16&lt;VARIABLES!$B$42,0,(IF($A16=VARIABLES!$B$42,0,S15)+P16)*(1+C16)-R16)</f>
        <v>331456.00715753931</v>
      </c>
      <c r="T16" s="16">
        <f>IF($A16&lt;VARIABLES!$B$50,0,MIN(VARIABLES!$B$49,INT(($A16-VARIABLES!$B$50)/VARIABLES!$B$51)+1)*VARIABLES!$B$52)</f>
        <v>11</v>
      </c>
      <c r="U16" s="7">
        <f>T16*VARIABLES!$B$54+IF(AND($A16&gt;=VARIABLES!$B$50,MOD($A16-VARIABLES!$B$50,VARIABLES!$B$51)=0,INT(($A16-VARIABLES!$B$50)/VARIABLES!$B$51)&lt;VARIABLES!$B$49),VARIABLES!$B$52*VARIABLES!$B$53,0)</f>
        <v>105000</v>
      </c>
      <c r="V16" s="7">
        <f>U16*VARIABLES!$B$55</f>
        <v>787.5</v>
      </c>
      <c r="W16" s="7">
        <f>IF($A16&lt;VARIABLES!$B$50,0,(IF($A16&lt;VARIABLES!$B$50+1,0,X15)+U16)*C16*VARIABLES!$B$56)</f>
        <v>5384.7568313303937</v>
      </c>
      <c r="X16" s="7">
        <f>IF($A16&lt;VARIABLES!$B$50,0,(IF($A16&lt;VARIABLES!$B$50+1,0,X15)+U16)*(1+C16)-W16)</f>
        <v>1125414.1777480524</v>
      </c>
      <c r="Y16" s="7">
        <f t="shared" si="0"/>
        <v>365000</v>
      </c>
      <c r="Z16" s="7">
        <f t="shared" si="1"/>
        <v>2737.5</v>
      </c>
      <c r="AA16" s="7">
        <f t="shared" si="2"/>
        <v>54501.038433087284</v>
      </c>
      <c r="AB16" s="17">
        <f t="shared" si="3"/>
        <v>57238.538433087284</v>
      </c>
      <c r="AC16" s="18">
        <f t="shared" si="4"/>
        <v>14825570.959925728</v>
      </c>
      <c r="AD16" s="7">
        <f>IF($A16=1,VARIABLES!$B$12,0)</f>
        <v>0</v>
      </c>
      <c r="AE16" s="7">
        <f>IF($A16&lt;=3,VARIABLES!$B$13,IF($A16&lt;=6,VARIABLES!$B$14,VARIABLES!$B$15))</f>
        <v>46000</v>
      </c>
      <c r="AF16" s="7">
        <f>IF(MOD($A16,12)=0,AC16*VARIABLES!$B$16,0)</f>
        <v>0</v>
      </c>
      <c r="AG16" s="7">
        <f>VARIABLES!$B$17</f>
        <v>5000</v>
      </c>
      <c r="AH16" s="7">
        <f>IF(MOD($A16,12)=0,VARIABLES!$B$18,0)</f>
        <v>0</v>
      </c>
      <c r="AI16" s="19">
        <f t="shared" si="5"/>
        <v>51000</v>
      </c>
      <c r="AJ16" s="20">
        <f>IF($A16&lt;VARIABLES!$B$7,VARIABLES!$B$9,0)</f>
        <v>10580.083333333334</v>
      </c>
      <c r="AK16" s="21">
        <f t="shared" si="6"/>
        <v>-4341.54490024605</v>
      </c>
      <c r="AL16" s="21">
        <f t="shared" si="7"/>
        <v>-251671.50050731594</v>
      </c>
      <c r="AM16" s="22">
        <f t="shared" si="8"/>
        <v>137541.08333333331</v>
      </c>
    </row>
    <row r="17" spans="1:39" x14ac:dyDescent="0.2">
      <c r="A17" s="23">
        <v>14</v>
      </c>
      <c r="B17" s="23" t="str">
        <f>TEXT(DATE(VARIABLES!$B$60+INT((VARIABLES!$B$61+A17-2)/12),MOD(VARIABLES!$B$61+A17-2,12)+1,1),"mmm-yy")</f>
        <v>Jul-27</v>
      </c>
      <c r="C17" s="24">
        <f>IF($A17&lt;VARIABLES!$B$7,VARIABLES!$B$5/12,VARIABLES!$B$6/12)</f>
        <v>4.9999999999999996E-2</v>
      </c>
      <c r="D17" s="25">
        <f>IF($A17&lt;VARIABLES!$B$21,0,IF($A17=VARIABLES!$B$21,VARIABLES!$B$22+VARIABLES!$B$23,VARIABLES!$B$23))</f>
        <v>200000</v>
      </c>
      <c r="E17" s="25">
        <f>D17*VARIABLES!$B$24</f>
        <v>1500</v>
      </c>
      <c r="F17" s="25">
        <f>IF($A17&lt;VARIABLES!$B$21,0,(IF($A17=VARIABLES!$B$21,0,G16)+D17)*C17*VARIABLES!$B$25)</f>
        <v>5553.6213503733052</v>
      </c>
      <c r="G17" s="25">
        <f>IF($A17&lt;VARIABLES!$B$21,0,(IF($A17=VARIABLES!$B$21,0,G16)+D17)*(1+C17)-F17)</f>
        <v>4659488.3129632035</v>
      </c>
      <c r="H17" s="25">
        <f>IF($A17&lt;VARIABLES!$B$28,0,IF($A17=VARIABLES!$B$28,VARIABLES!$B$29+VARIABLES!$B$30,VARIABLES!$B$30))</f>
        <v>40000</v>
      </c>
      <c r="I17" s="25">
        <f>H17*VARIABLES!$B$31</f>
        <v>300</v>
      </c>
      <c r="J17" s="25">
        <f>IF($A17&lt;VARIABLES!$B$28,0,(IF($A17=VARIABLES!$B$28,0,K16)+H17)*C17*VARIABLES!$B$32)</f>
        <v>3431.9826544107609</v>
      </c>
      <c r="K17" s="25">
        <f>IF($A17&lt;VARIABLES!$B$28,0,(IF($A17=VARIABLES!$B$28,0,K16)+H17)*(1+C17)-J17)</f>
        <v>717284.37477184914</v>
      </c>
      <c r="L17" s="25">
        <f>IF($A17&lt;VARIABLES!$B$35,0,IF($A17=VARIABLES!$B$35,VARIABLES!$B$36+VARIABLES!$B$37,VARIABLES!$B$37))</f>
        <v>0</v>
      </c>
      <c r="M17" s="25">
        <f>L17*VARIABLES!$B$38</f>
        <v>0</v>
      </c>
      <c r="N17" s="25">
        <f>IF($A17&lt;VARIABLES!$B$35,0,(IF($A17=VARIABLES!$B$35,0,O16)+L17)*C17*VARIABLES!$B$39)</f>
        <v>42397.035819196695</v>
      </c>
      <c r="O17" s="25">
        <f>IF($A17&lt;VARIABLES!$B$35,0,(IF($A17=VARIABLES!$B$35,0,O16)+L17)*(1+C17)-N17)</f>
        <v>8860980.4862121083</v>
      </c>
      <c r="P17" s="25">
        <f>IF($A17&lt;VARIABLES!$B$42,0,IF($A17=VARIABLES!$B$42,VARIABLES!$B$43+VARIABLES!$B$44,VARIABLES!$B$44))</f>
        <v>20000</v>
      </c>
      <c r="Q17" s="25">
        <f>P17*VARIABLES!$B$45</f>
        <v>150</v>
      </c>
      <c r="R17" s="25">
        <f>IF($A17&lt;VARIABLES!$B$42,0,(IF($A17=VARIABLES!$B$42,0,S16)+P17)*C17*VARIABLES!$B$46)</f>
        <v>439.32000894692413</v>
      </c>
      <c r="S17" s="25">
        <f>IF($A17&lt;VARIABLES!$B$42,0,(IF($A17=VARIABLES!$B$42,0,S16)+P17)*(1+C17)-R17)</f>
        <v>368589.48750646936</v>
      </c>
      <c r="T17" s="26">
        <f>IF($A17&lt;VARIABLES!$B$50,0,MIN(VARIABLES!$B$49,INT(($A17-VARIABLES!$B$50)/VARIABLES!$B$51)+1)*VARIABLES!$B$52)</f>
        <v>12</v>
      </c>
      <c r="U17" s="25">
        <f>T17*VARIABLES!$B$54+IF(AND($A17&gt;=VARIABLES!$B$50,MOD($A17-VARIABLES!$B$50,VARIABLES!$B$51)=0,INT(($A17-VARIABLES!$B$50)/VARIABLES!$B$51)&lt;VARIABLES!$B$49),VARIABLES!$B$52*VARIABLES!$B$53,0)</f>
        <v>110000</v>
      </c>
      <c r="V17" s="25">
        <f>U17*VARIABLES!$B$55</f>
        <v>825</v>
      </c>
      <c r="W17" s="25">
        <f>IF($A17&lt;VARIABLES!$B$50,0,(IF($A17&lt;VARIABLES!$B$50+1,0,X16)+U17)*C17*VARIABLES!$B$56)</f>
        <v>6177.0708887402616</v>
      </c>
      <c r="X17" s="25">
        <f>IF($A17&lt;VARIABLES!$B$50,0,(IF($A17&lt;VARIABLES!$B$50+1,0,X16)+U17)*(1+C17)-W17)</f>
        <v>1291007.8157467148</v>
      </c>
      <c r="Y17" s="25">
        <f t="shared" si="0"/>
        <v>370000</v>
      </c>
      <c r="Z17" s="25">
        <f t="shared" si="1"/>
        <v>2775</v>
      </c>
      <c r="AA17" s="25">
        <f t="shared" si="2"/>
        <v>57999.03072166795</v>
      </c>
      <c r="AB17" s="17">
        <f t="shared" si="3"/>
        <v>60774.03072166795</v>
      </c>
      <c r="AC17" s="18">
        <f t="shared" si="4"/>
        <v>15897350.477200346</v>
      </c>
      <c r="AD17" s="25">
        <f>IF($A17=1,VARIABLES!$B$12,0)</f>
        <v>0</v>
      </c>
      <c r="AE17" s="25">
        <f>IF($A17&lt;=3,VARIABLES!$B$13,IF($A17&lt;=6,VARIABLES!$B$14,VARIABLES!$B$15))</f>
        <v>46000</v>
      </c>
      <c r="AF17" s="25">
        <f>IF(MOD($A17,12)=0,AC17*VARIABLES!$B$16,0)</f>
        <v>0</v>
      </c>
      <c r="AG17" s="25">
        <f>VARIABLES!$B$17</f>
        <v>5000</v>
      </c>
      <c r="AH17" s="25">
        <f>IF(MOD($A17,12)=0,VARIABLES!$B$18,0)</f>
        <v>0</v>
      </c>
      <c r="AI17" s="19">
        <f t="shared" si="5"/>
        <v>51000</v>
      </c>
      <c r="AJ17" s="20">
        <f>IF($A17&lt;VARIABLES!$B$7,VARIABLES!$B$9,0)</f>
        <v>10580.083333333334</v>
      </c>
      <c r="AK17" s="27">
        <f t="shared" si="6"/>
        <v>-806.05261166538367</v>
      </c>
      <c r="AL17" s="27">
        <f t="shared" si="7"/>
        <v>-252477.55311898133</v>
      </c>
      <c r="AM17" s="22">
        <f t="shared" si="8"/>
        <v>148121.16666666666</v>
      </c>
    </row>
    <row r="18" spans="1:39" x14ac:dyDescent="0.2">
      <c r="A18" s="14">
        <v>15</v>
      </c>
      <c r="B18" s="14" t="str">
        <f>TEXT(DATE(VARIABLES!$B$60+INT((VARIABLES!$B$61+A18-2)/12),MOD(VARIABLES!$B$61+A18-2,12)+1,1),"mmm-yy")</f>
        <v>Aug-27</v>
      </c>
      <c r="C18" s="15">
        <f>IF($A18&lt;VARIABLES!$B$7,VARIABLES!$B$5/12,VARIABLES!$B$6/12)</f>
        <v>4.9999999999999996E-2</v>
      </c>
      <c r="D18" s="7">
        <f>IF($A18&lt;VARIABLES!$B$21,0,IF($A18=VARIABLES!$B$21,VARIABLES!$B$22+VARIABLES!$B$23,VARIABLES!$B$23))</f>
        <v>200000</v>
      </c>
      <c r="E18" s="7">
        <f>D18*VARIABLES!$B$24</f>
        <v>1500</v>
      </c>
      <c r="F18" s="7">
        <f>IF($A18&lt;VARIABLES!$B$21,0,(IF($A18=VARIABLES!$B$21,0,G17)+D18)*C18*VARIABLES!$B$25)</f>
        <v>6074.3603912040044</v>
      </c>
      <c r="G18" s="7">
        <f>IF($A18&lt;VARIABLES!$B$21,0,(IF($A18=VARIABLES!$B$21,0,G17)+D18)*(1+C18)-F18)</f>
        <v>5096388.3682201598</v>
      </c>
      <c r="H18" s="7">
        <f>IF($A18&lt;VARIABLES!$B$28,0,IF($A18=VARIABLES!$B$28,VARIABLES!$B$29+VARIABLES!$B$30,VARIABLES!$B$30))</f>
        <v>40000</v>
      </c>
      <c r="I18" s="7">
        <f>H18*VARIABLES!$B$31</f>
        <v>300</v>
      </c>
      <c r="J18" s="7">
        <f>IF($A18&lt;VARIABLES!$B$28,0,(IF($A18=VARIABLES!$B$28,0,K17)+H18)*C18*VARIABLES!$B$32)</f>
        <v>3786.4218738592458</v>
      </c>
      <c r="K18" s="7">
        <f>IF($A18&lt;VARIABLES!$B$28,0,(IF($A18=VARIABLES!$B$28,0,K17)+H18)*(1+C18)-J18)</f>
        <v>791362.17163658235</v>
      </c>
      <c r="L18" s="7">
        <f>IF($A18&lt;VARIABLES!$B$35,0,IF($A18=VARIABLES!$B$35,VARIABLES!$B$36+VARIABLES!$B$37,VARIABLES!$B$37))</f>
        <v>0</v>
      </c>
      <c r="M18" s="7">
        <f>L18*VARIABLES!$B$38</f>
        <v>0</v>
      </c>
      <c r="N18" s="7">
        <f>IF($A18&lt;VARIABLES!$B$35,0,(IF($A18=VARIABLES!$B$35,0,O17)+L18)*C18*VARIABLES!$B$39)</f>
        <v>44304.902431060538</v>
      </c>
      <c r="O18" s="7">
        <f>IF($A18&lt;VARIABLES!$B$35,0,(IF($A18=VARIABLES!$B$35,0,O17)+L18)*(1+C18)-N18)</f>
        <v>9259724.6080916543</v>
      </c>
      <c r="P18" s="7">
        <f>IF($A18&lt;VARIABLES!$B$42,0,IF($A18=VARIABLES!$B$42,VARIABLES!$B$43+VARIABLES!$B$44,VARIABLES!$B$44))</f>
        <v>20000</v>
      </c>
      <c r="Q18" s="7">
        <f>P18*VARIABLES!$B$45</f>
        <v>150</v>
      </c>
      <c r="R18" s="7">
        <f>IF($A18&lt;VARIABLES!$B$42,0,(IF($A18=VARIABLES!$B$42,0,S17)+P18)*C18*VARIABLES!$B$46)</f>
        <v>485.73685938308665</v>
      </c>
      <c r="S18" s="7">
        <f>IF($A18&lt;VARIABLES!$B$42,0,(IF($A18=VARIABLES!$B$42,0,S17)+P18)*(1+C18)-R18)</f>
        <v>407533.22502240981</v>
      </c>
      <c r="T18" s="16">
        <f>IF($A18&lt;VARIABLES!$B$50,0,MIN(VARIABLES!$B$49,INT(($A18-VARIABLES!$B$50)/VARIABLES!$B$51)+1)*VARIABLES!$B$52)</f>
        <v>13</v>
      </c>
      <c r="U18" s="7">
        <f>T18*VARIABLES!$B$54+IF(AND($A18&gt;=VARIABLES!$B$50,MOD($A18-VARIABLES!$B$50,VARIABLES!$B$51)=0,INT(($A18-VARIABLES!$B$50)/VARIABLES!$B$51)&lt;VARIABLES!$B$49),VARIABLES!$B$52*VARIABLES!$B$53,0)</f>
        <v>115000</v>
      </c>
      <c r="V18" s="7">
        <f>U18*VARIABLES!$B$55</f>
        <v>862.5</v>
      </c>
      <c r="W18" s="7">
        <f>IF($A18&lt;VARIABLES!$B$50,0,(IF($A18&lt;VARIABLES!$B$50+1,0,X17)+U18)*C18*VARIABLES!$B$56)</f>
        <v>7030.0390787335746</v>
      </c>
      <c r="X18" s="7">
        <f>IF($A18&lt;VARIABLES!$B$50,0,(IF($A18&lt;VARIABLES!$B$50+1,0,X17)+U18)*(1+C18)-W18)</f>
        <v>1469278.167455317</v>
      </c>
      <c r="Y18" s="7">
        <f t="shared" si="0"/>
        <v>375000</v>
      </c>
      <c r="Z18" s="7">
        <f t="shared" si="1"/>
        <v>2812.5</v>
      </c>
      <c r="AA18" s="7">
        <f t="shared" si="2"/>
        <v>61681.460634240444</v>
      </c>
      <c r="AB18" s="17">
        <f t="shared" si="3"/>
        <v>64493.960634240444</v>
      </c>
      <c r="AC18" s="18">
        <f t="shared" si="4"/>
        <v>17024286.54042612</v>
      </c>
      <c r="AD18" s="7">
        <f>IF($A18=1,VARIABLES!$B$12,0)</f>
        <v>0</v>
      </c>
      <c r="AE18" s="7">
        <f>IF($A18&lt;=3,VARIABLES!$B$13,IF($A18&lt;=6,VARIABLES!$B$14,VARIABLES!$B$15))</f>
        <v>46000</v>
      </c>
      <c r="AF18" s="7">
        <f>IF(MOD($A18,12)=0,AC18*VARIABLES!$B$16,0)</f>
        <v>0</v>
      </c>
      <c r="AG18" s="7">
        <f>VARIABLES!$B$17</f>
        <v>5000</v>
      </c>
      <c r="AH18" s="7">
        <f>IF(MOD($A18,12)=0,VARIABLES!$B$18,0)</f>
        <v>0</v>
      </c>
      <c r="AI18" s="19">
        <f t="shared" si="5"/>
        <v>51000</v>
      </c>
      <c r="AJ18" s="20">
        <f>IF($A18&lt;VARIABLES!$B$7,VARIABLES!$B$9,0)</f>
        <v>10580.083333333334</v>
      </c>
      <c r="AK18" s="21">
        <f t="shared" si="6"/>
        <v>2913.8773009071101</v>
      </c>
      <c r="AL18" s="21">
        <f t="shared" si="7"/>
        <v>-249563.67581807423</v>
      </c>
      <c r="AM18" s="22">
        <f t="shared" si="8"/>
        <v>158701.25</v>
      </c>
    </row>
    <row r="19" spans="1:39" x14ac:dyDescent="0.2">
      <c r="A19" s="23">
        <v>16</v>
      </c>
      <c r="B19" s="23" t="str">
        <f>TEXT(DATE(VARIABLES!$B$60+INT((VARIABLES!$B$61+A19-2)/12),MOD(VARIABLES!$B$61+A19-2,12)+1,1),"mmm-yy")</f>
        <v>Sept-27</v>
      </c>
      <c r="C19" s="24">
        <f>IF($A19&lt;VARIABLES!$B$7,VARIABLES!$B$5/12,VARIABLES!$B$6/12)</f>
        <v>4.9999999999999996E-2</v>
      </c>
      <c r="D19" s="25">
        <f>IF($A19&lt;VARIABLES!$B$21,0,IF($A19=VARIABLES!$B$21,VARIABLES!$B$22+VARIABLES!$B$23,VARIABLES!$B$23))</f>
        <v>200000</v>
      </c>
      <c r="E19" s="25">
        <f>D19*VARIABLES!$B$24</f>
        <v>1500</v>
      </c>
      <c r="F19" s="25">
        <f>IF($A19&lt;VARIABLES!$B$21,0,(IF($A19=VARIABLES!$B$21,0,G18)+D19)*C19*VARIABLES!$B$25)</f>
        <v>6620.4854602751993</v>
      </c>
      <c r="G19" s="25">
        <f>IF($A19&lt;VARIABLES!$B$21,0,(IF($A19=VARIABLES!$B$21,0,G18)+D19)*(1+C19)-F19)</f>
        <v>5554587.301170893</v>
      </c>
      <c r="H19" s="25">
        <f>IF($A19&lt;VARIABLES!$B$28,0,IF($A19=VARIABLES!$B$28,VARIABLES!$B$29+VARIABLES!$B$30,VARIABLES!$B$30))</f>
        <v>40000</v>
      </c>
      <c r="I19" s="25">
        <f>H19*VARIABLES!$B$31</f>
        <v>300</v>
      </c>
      <c r="J19" s="25">
        <f>IF($A19&lt;VARIABLES!$B$28,0,(IF($A19=VARIABLES!$B$28,0,K18)+H19)*C19*VARIABLES!$B$32)</f>
        <v>4156.8108581829119</v>
      </c>
      <c r="K19" s="25">
        <f>IF($A19&lt;VARIABLES!$B$28,0,(IF($A19=VARIABLES!$B$28,0,K18)+H19)*(1+C19)-J19)</f>
        <v>868773.46936022851</v>
      </c>
      <c r="L19" s="25">
        <f>IF($A19&lt;VARIABLES!$B$35,0,IF($A19=VARIABLES!$B$35,VARIABLES!$B$36+VARIABLES!$B$37,VARIABLES!$B$37))</f>
        <v>0</v>
      </c>
      <c r="M19" s="25">
        <f>L19*VARIABLES!$B$38</f>
        <v>0</v>
      </c>
      <c r="N19" s="25">
        <f>IF($A19&lt;VARIABLES!$B$35,0,(IF($A19=VARIABLES!$B$35,0,O18)+L19)*C19*VARIABLES!$B$39)</f>
        <v>46298.623040458275</v>
      </c>
      <c r="O19" s="25">
        <f>IF($A19&lt;VARIABLES!$B$35,0,(IF($A19=VARIABLES!$B$35,0,O18)+L19)*(1+C19)-N19)</f>
        <v>9676412.2154557798</v>
      </c>
      <c r="P19" s="25">
        <f>IF($A19&lt;VARIABLES!$B$42,0,IF($A19=VARIABLES!$B$42,VARIABLES!$B$43+VARIABLES!$B$44,VARIABLES!$B$44))</f>
        <v>20000</v>
      </c>
      <c r="Q19" s="25">
        <f>P19*VARIABLES!$B$45</f>
        <v>150</v>
      </c>
      <c r="R19" s="25">
        <f>IF($A19&lt;VARIABLES!$B$42,0,(IF($A19=VARIABLES!$B$42,0,S18)+P19)*C19*VARIABLES!$B$46)</f>
        <v>534.41653127801226</v>
      </c>
      <c r="S19" s="25">
        <f>IF($A19&lt;VARIABLES!$B$42,0,(IF($A19=VARIABLES!$B$42,0,S18)+P19)*(1+C19)-R19)</f>
        <v>448375.46974225232</v>
      </c>
      <c r="T19" s="26">
        <f>IF($A19&lt;VARIABLES!$B$50,0,MIN(VARIABLES!$B$49,INT(($A19-VARIABLES!$B$50)/VARIABLES!$B$51)+1)*VARIABLES!$B$52)</f>
        <v>14</v>
      </c>
      <c r="U19" s="25">
        <f>T19*VARIABLES!$B$54+IF(AND($A19&gt;=VARIABLES!$B$50,MOD($A19-VARIABLES!$B$50,VARIABLES!$B$51)=0,INT(($A19-VARIABLES!$B$50)/VARIABLES!$B$51)&lt;VARIABLES!$B$49),VARIABLES!$B$52*VARIABLES!$B$53,0)</f>
        <v>120000</v>
      </c>
      <c r="V19" s="25">
        <f>U19*VARIABLES!$B$55</f>
        <v>900</v>
      </c>
      <c r="W19" s="25">
        <f>IF($A19&lt;VARIABLES!$B$50,0,(IF($A19&lt;VARIABLES!$B$50+1,0,X18)+U19)*C19*VARIABLES!$B$56)</f>
        <v>7946.3908372765845</v>
      </c>
      <c r="X19" s="25">
        <f>IF($A19&lt;VARIABLES!$B$50,0,(IF($A19&lt;VARIABLES!$B$50+1,0,X18)+U19)*(1+C19)-W19)</f>
        <v>1660795.6849908063</v>
      </c>
      <c r="Y19" s="25">
        <f t="shared" si="0"/>
        <v>380000</v>
      </c>
      <c r="Z19" s="25">
        <f t="shared" si="1"/>
        <v>2850</v>
      </c>
      <c r="AA19" s="25">
        <f t="shared" si="2"/>
        <v>65556.726727470974</v>
      </c>
      <c r="AB19" s="17">
        <f t="shared" si="3"/>
        <v>68406.726727470974</v>
      </c>
      <c r="AC19" s="18">
        <f t="shared" si="4"/>
        <v>18208944.140719958</v>
      </c>
      <c r="AD19" s="25">
        <f>IF($A19=1,VARIABLES!$B$12,0)</f>
        <v>0</v>
      </c>
      <c r="AE19" s="25">
        <f>IF($A19&lt;=3,VARIABLES!$B$13,IF($A19&lt;=6,VARIABLES!$B$14,VARIABLES!$B$15))</f>
        <v>46000</v>
      </c>
      <c r="AF19" s="25">
        <f>IF(MOD($A19,12)=0,AC19*VARIABLES!$B$16,0)</f>
        <v>0</v>
      </c>
      <c r="AG19" s="25">
        <f>VARIABLES!$B$17</f>
        <v>5000</v>
      </c>
      <c r="AH19" s="25">
        <f>IF(MOD($A19,12)=0,VARIABLES!$B$18,0)</f>
        <v>0</v>
      </c>
      <c r="AI19" s="19">
        <f t="shared" si="5"/>
        <v>51000</v>
      </c>
      <c r="AJ19" s="20">
        <f>IF($A19&lt;VARIABLES!$B$7,VARIABLES!$B$9,0)</f>
        <v>10580.083333333334</v>
      </c>
      <c r="AK19" s="27">
        <f t="shared" si="6"/>
        <v>6826.6433941376399</v>
      </c>
      <c r="AL19" s="27">
        <f t="shared" si="7"/>
        <v>-242737.03242393659</v>
      </c>
      <c r="AM19" s="22">
        <f t="shared" si="8"/>
        <v>169281.33333333334</v>
      </c>
    </row>
    <row r="20" spans="1:39" x14ac:dyDescent="0.2">
      <c r="A20" s="14">
        <v>17</v>
      </c>
      <c r="B20" s="14" t="str">
        <f>TEXT(DATE(VARIABLES!$B$60+INT((VARIABLES!$B$61+A20-2)/12),MOD(VARIABLES!$B$61+A20-2,12)+1,1),"mmm-yy")</f>
        <v>Oct-27</v>
      </c>
      <c r="C20" s="15">
        <f>IF($A20&lt;VARIABLES!$B$7,VARIABLES!$B$5/12,VARIABLES!$B$6/12)</f>
        <v>4.9999999999999996E-2</v>
      </c>
      <c r="D20" s="7">
        <f>IF($A20&lt;VARIABLES!$B$21,0,IF($A20=VARIABLES!$B$21,VARIABLES!$B$22+VARIABLES!$B$23,VARIABLES!$B$23))</f>
        <v>200000</v>
      </c>
      <c r="E20" s="7">
        <f>D20*VARIABLES!$B$24</f>
        <v>1500</v>
      </c>
      <c r="F20" s="7">
        <f>IF($A20&lt;VARIABLES!$B$21,0,(IF($A20=VARIABLES!$B$21,0,G19)+D20)*C20*VARIABLES!$B$25)</f>
        <v>7193.2341264636161</v>
      </c>
      <c r="G20" s="7">
        <f>IF($A20&lt;VARIABLES!$B$21,0,(IF($A20=VARIABLES!$B$21,0,G19)+D20)*(1+C20)-F20)</f>
        <v>6035123.4321029745</v>
      </c>
      <c r="H20" s="7">
        <f>IF($A20&lt;VARIABLES!$B$28,0,IF($A20=VARIABLES!$B$28,VARIABLES!$B$29+VARIABLES!$B$30,VARIABLES!$B$30))</f>
        <v>40000</v>
      </c>
      <c r="I20" s="7">
        <f>H20*VARIABLES!$B$31</f>
        <v>300</v>
      </c>
      <c r="J20" s="7">
        <f>IF($A20&lt;VARIABLES!$B$28,0,(IF($A20=VARIABLES!$B$28,0,K19)+H20)*C20*VARIABLES!$B$32)</f>
        <v>4543.867346801143</v>
      </c>
      <c r="K20" s="7">
        <f>IF($A20&lt;VARIABLES!$B$28,0,(IF($A20=VARIABLES!$B$28,0,K19)+H20)*(1+C20)-J20)</f>
        <v>949668.27548143885</v>
      </c>
      <c r="L20" s="7">
        <f>IF($A20&lt;VARIABLES!$B$35,0,IF($A20=VARIABLES!$B$35,VARIABLES!$B$36+VARIABLES!$B$37,VARIABLES!$B$37))</f>
        <v>0</v>
      </c>
      <c r="M20" s="7">
        <f>L20*VARIABLES!$B$38</f>
        <v>0</v>
      </c>
      <c r="N20" s="7">
        <f>IF($A20&lt;VARIABLES!$B$35,0,(IF($A20=VARIABLES!$B$35,0,O19)+L20)*C20*VARIABLES!$B$39)</f>
        <v>48382.061077278893</v>
      </c>
      <c r="O20" s="7">
        <f>IF($A20&lt;VARIABLES!$B$35,0,(IF($A20=VARIABLES!$B$35,0,O19)+L20)*(1+C20)-N20)</f>
        <v>10111850.76515129</v>
      </c>
      <c r="P20" s="7">
        <f>IF($A20&lt;VARIABLES!$B$42,0,IF($A20=VARIABLES!$B$42,VARIABLES!$B$43+VARIABLES!$B$44,VARIABLES!$B$44))</f>
        <v>20000</v>
      </c>
      <c r="Q20" s="7">
        <f>P20*VARIABLES!$B$45</f>
        <v>150</v>
      </c>
      <c r="R20" s="7">
        <f>IF($A20&lt;VARIABLES!$B$42,0,(IF($A20=VARIABLES!$B$42,0,S19)+P20)*C20*VARIABLES!$B$46)</f>
        <v>585.46933717781531</v>
      </c>
      <c r="S20" s="7">
        <f>IF($A20&lt;VARIABLES!$B$42,0,(IF($A20=VARIABLES!$B$42,0,S19)+P20)*(1+C20)-R20)</f>
        <v>491208.77389218716</v>
      </c>
      <c r="T20" s="16">
        <f>IF($A20&lt;VARIABLES!$B$50,0,MIN(VARIABLES!$B$49,INT(($A20-VARIABLES!$B$50)/VARIABLES!$B$51)+1)*VARIABLES!$B$52)</f>
        <v>15</v>
      </c>
      <c r="U20" s="7">
        <f>T20*VARIABLES!$B$54+IF(AND($A20&gt;=VARIABLES!$B$50,MOD($A20-VARIABLES!$B$50,VARIABLES!$B$51)=0,INT(($A20-VARIABLES!$B$50)/VARIABLES!$B$51)&lt;VARIABLES!$B$49),VARIABLES!$B$52*VARIABLES!$B$53,0)</f>
        <v>125000</v>
      </c>
      <c r="V20" s="7">
        <f>U20*VARIABLES!$B$55</f>
        <v>937.5</v>
      </c>
      <c r="W20" s="7">
        <f>IF($A20&lt;VARIABLES!$B$50,0,(IF($A20&lt;VARIABLES!$B$50+1,0,X19)+U20)*C20*VARIABLES!$B$56)</f>
        <v>8928.9784249540298</v>
      </c>
      <c r="X20" s="7">
        <f>IF($A20&lt;VARIABLES!$B$50,0,(IF($A20&lt;VARIABLES!$B$50+1,0,X19)+U20)*(1+C20)-W20)</f>
        <v>1866156.4908153927</v>
      </c>
      <c r="Y20" s="7">
        <f t="shared" si="0"/>
        <v>385000</v>
      </c>
      <c r="Z20" s="7">
        <f t="shared" si="1"/>
        <v>2887.5</v>
      </c>
      <c r="AA20" s="7">
        <f t="shared" si="2"/>
        <v>69633.61031267549</v>
      </c>
      <c r="AB20" s="17">
        <f t="shared" si="3"/>
        <v>72521.11031267549</v>
      </c>
      <c r="AC20" s="18">
        <f t="shared" si="4"/>
        <v>19454007.737443283</v>
      </c>
      <c r="AD20" s="7">
        <f>IF($A20=1,VARIABLES!$B$12,0)</f>
        <v>0</v>
      </c>
      <c r="AE20" s="7">
        <f>IF($A20&lt;=3,VARIABLES!$B$13,IF($A20&lt;=6,VARIABLES!$B$14,VARIABLES!$B$15))</f>
        <v>46000</v>
      </c>
      <c r="AF20" s="7">
        <f>IF(MOD($A20,12)=0,AC20*VARIABLES!$B$16,0)</f>
        <v>0</v>
      </c>
      <c r="AG20" s="7">
        <f>VARIABLES!$B$17</f>
        <v>5000</v>
      </c>
      <c r="AH20" s="7">
        <f>IF(MOD($A20,12)=0,VARIABLES!$B$18,0)</f>
        <v>0</v>
      </c>
      <c r="AI20" s="19">
        <f t="shared" si="5"/>
        <v>51000</v>
      </c>
      <c r="AJ20" s="20">
        <f>IF($A20&lt;VARIABLES!$B$7,VARIABLES!$B$9,0)</f>
        <v>10580.083333333334</v>
      </c>
      <c r="AK20" s="21">
        <f t="shared" si="6"/>
        <v>10941.026979342156</v>
      </c>
      <c r="AL20" s="21">
        <f t="shared" si="7"/>
        <v>-231796.00544459443</v>
      </c>
      <c r="AM20" s="22">
        <f t="shared" si="8"/>
        <v>179861.41666666669</v>
      </c>
    </row>
    <row r="21" spans="1:39" x14ac:dyDescent="0.2">
      <c r="A21" s="23">
        <v>18</v>
      </c>
      <c r="B21" s="23" t="str">
        <f>TEXT(DATE(VARIABLES!$B$60+INT((VARIABLES!$B$61+A21-2)/12),MOD(VARIABLES!$B$61+A21-2,12)+1,1),"mmm-yy")</f>
        <v>Nov-27</v>
      </c>
      <c r="C21" s="24">
        <f>IF($A21&lt;VARIABLES!$B$7,VARIABLES!$B$5/12,VARIABLES!$B$6/12)</f>
        <v>4.9999999999999996E-2</v>
      </c>
      <c r="D21" s="25">
        <f>IF($A21&lt;VARIABLES!$B$21,0,IF($A21=VARIABLES!$B$21,VARIABLES!$B$22+VARIABLES!$B$23,VARIABLES!$B$23))</f>
        <v>200000</v>
      </c>
      <c r="E21" s="25">
        <f>D21*VARIABLES!$B$24</f>
        <v>1500</v>
      </c>
      <c r="F21" s="25">
        <f>IF($A21&lt;VARIABLES!$B$21,0,(IF($A21=VARIABLES!$B$21,0,G20)+D21)*C21*VARIABLES!$B$25)</f>
        <v>7793.9042901287175</v>
      </c>
      <c r="G21" s="25">
        <f>IF($A21&lt;VARIABLES!$B$21,0,(IF($A21=VARIABLES!$B$21,0,G20)+D21)*(1+C21)-F21)</f>
        <v>6539085.6994179953</v>
      </c>
      <c r="H21" s="25">
        <f>IF($A21&lt;VARIABLES!$B$28,0,IF($A21=VARIABLES!$B$28,VARIABLES!$B$29+VARIABLES!$B$30,VARIABLES!$B$30))</f>
        <v>40000</v>
      </c>
      <c r="I21" s="25">
        <f>H21*VARIABLES!$B$31</f>
        <v>300</v>
      </c>
      <c r="J21" s="25">
        <f>IF($A21&lt;VARIABLES!$B$28,0,(IF($A21=VARIABLES!$B$28,0,K20)+H21)*C21*VARIABLES!$B$32)</f>
        <v>4948.3413774071942</v>
      </c>
      <c r="K21" s="25">
        <f>IF($A21&lt;VARIABLES!$B$28,0,(IF($A21=VARIABLES!$B$28,0,K20)+H21)*(1+C21)-J21)</f>
        <v>1034203.3478781036</v>
      </c>
      <c r="L21" s="25">
        <f>IF($A21&lt;VARIABLES!$B$35,0,IF($A21=VARIABLES!$B$35,VARIABLES!$B$36+VARIABLES!$B$37,VARIABLES!$B$37))</f>
        <v>0</v>
      </c>
      <c r="M21" s="25">
        <f>L21*VARIABLES!$B$38</f>
        <v>0</v>
      </c>
      <c r="N21" s="25">
        <f>IF($A21&lt;VARIABLES!$B$35,0,(IF($A21=VARIABLES!$B$35,0,O20)+L21)*C21*VARIABLES!$B$39)</f>
        <v>50559.253825756452</v>
      </c>
      <c r="O21" s="25">
        <f>IF($A21&lt;VARIABLES!$B$35,0,(IF($A21=VARIABLES!$B$35,0,O20)+L21)*(1+C21)-N21)</f>
        <v>10566884.0495831</v>
      </c>
      <c r="P21" s="25">
        <f>IF($A21&lt;VARIABLES!$B$42,0,IF($A21=VARIABLES!$B$42,VARIABLES!$B$43+VARIABLES!$B$44,VARIABLES!$B$44))</f>
        <v>20000</v>
      </c>
      <c r="Q21" s="25">
        <f>P21*VARIABLES!$B$45</f>
        <v>150</v>
      </c>
      <c r="R21" s="25">
        <f>IF($A21&lt;VARIABLES!$B$42,0,(IF($A21=VARIABLES!$B$42,0,S20)+P21)*C21*VARIABLES!$B$46)</f>
        <v>639.01096736523391</v>
      </c>
      <c r="S21" s="25">
        <f>IF($A21&lt;VARIABLES!$B$42,0,(IF($A21=VARIABLES!$B$42,0,S20)+P21)*(1+C21)-R21)</f>
        <v>536130.20161943126</v>
      </c>
      <c r="T21" s="26">
        <f>IF($A21&lt;VARIABLES!$B$50,0,MIN(VARIABLES!$B$49,INT(($A21-VARIABLES!$B$50)/VARIABLES!$B$51)+1)*VARIABLES!$B$52)</f>
        <v>16</v>
      </c>
      <c r="U21" s="25">
        <f>T21*VARIABLES!$B$54+IF(AND($A21&gt;=VARIABLES!$B$50,MOD($A21-VARIABLES!$B$50,VARIABLES!$B$51)=0,INT(($A21-VARIABLES!$B$50)/VARIABLES!$B$51)&lt;VARIABLES!$B$49),VARIABLES!$B$52*VARIABLES!$B$53,0)</f>
        <v>130000</v>
      </c>
      <c r="V21" s="25">
        <f>U21*VARIABLES!$B$55</f>
        <v>975</v>
      </c>
      <c r="W21" s="25">
        <f>IF($A21&lt;VARIABLES!$B$50,0,(IF($A21&lt;VARIABLES!$B$50+1,0,X20)+U21)*C21*VARIABLES!$B$56)</f>
        <v>9980.7824540769634</v>
      </c>
      <c r="X21" s="25">
        <f>IF($A21&lt;VARIABLES!$B$50,0,(IF($A21&lt;VARIABLES!$B$50+1,0,X20)+U21)*(1+C21)-W21)</f>
        <v>2085983.5329020855</v>
      </c>
      <c r="Y21" s="25">
        <f t="shared" si="0"/>
        <v>390000</v>
      </c>
      <c r="Z21" s="25">
        <f t="shared" si="1"/>
        <v>2925</v>
      </c>
      <c r="AA21" s="25">
        <f t="shared" si="2"/>
        <v>73921.292914734557</v>
      </c>
      <c r="AB21" s="17">
        <f t="shared" si="3"/>
        <v>76846.292914734557</v>
      </c>
      <c r="AC21" s="18">
        <f t="shared" si="4"/>
        <v>20762286.831400715</v>
      </c>
      <c r="AD21" s="25">
        <f>IF($A21=1,VARIABLES!$B$12,0)</f>
        <v>0</v>
      </c>
      <c r="AE21" s="25">
        <f>IF($A21&lt;=3,VARIABLES!$B$13,IF($A21&lt;=6,VARIABLES!$B$14,VARIABLES!$B$15))</f>
        <v>46000</v>
      </c>
      <c r="AF21" s="25">
        <f>IF(MOD($A21,12)=0,AC21*VARIABLES!$B$16,0)</f>
        <v>0</v>
      </c>
      <c r="AG21" s="25">
        <f>VARIABLES!$B$17</f>
        <v>5000</v>
      </c>
      <c r="AH21" s="25">
        <f>IF(MOD($A21,12)=0,VARIABLES!$B$18,0)</f>
        <v>0</v>
      </c>
      <c r="AI21" s="19">
        <f t="shared" si="5"/>
        <v>51000</v>
      </c>
      <c r="AJ21" s="20">
        <f>IF($A21&lt;VARIABLES!$B$7,VARIABLES!$B$9,0)</f>
        <v>10580.083333333334</v>
      </c>
      <c r="AK21" s="27">
        <f t="shared" si="6"/>
        <v>15266.209581401223</v>
      </c>
      <c r="AL21" s="27">
        <f t="shared" si="7"/>
        <v>-216529.7958631932</v>
      </c>
      <c r="AM21" s="22">
        <f t="shared" si="8"/>
        <v>190441.50000000003</v>
      </c>
    </row>
    <row r="22" spans="1:39" x14ac:dyDescent="0.2">
      <c r="A22" s="14">
        <v>19</v>
      </c>
      <c r="B22" s="14" t="str">
        <f>TEXT(DATE(VARIABLES!$B$60+INT((VARIABLES!$B$61+A22-2)/12),MOD(VARIABLES!$B$61+A22-2,12)+1,1),"mmm-yy")</f>
        <v>Dec-27</v>
      </c>
      <c r="C22" s="15">
        <f>IF($A22&lt;VARIABLES!$B$7,VARIABLES!$B$5/12,VARIABLES!$B$6/12)</f>
        <v>4.9999999999999996E-2</v>
      </c>
      <c r="D22" s="7">
        <f>IF($A22&lt;VARIABLES!$B$21,0,IF($A22=VARIABLES!$B$21,VARIABLES!$B$22+VARIABLES!$B$23,VARIABLES!$B$23))</f>
        <v>200000</v>
      </c>
      <c r="E22" s="7">
        <f>D22*VARIABLES!$B$24</f>
        <v>1500</v>
      </c>
      <c r="F22" s="7">
        <f>IF($A22&lt;VARIABLES!$B$21,0,(IF($A22=VARIABLES!$B$21,0,G21)+D22)*C22*VARIABLES!$B$25)</f>
        <v>8423.8571242724938</v>
      </c>
      <c r="G22" s="7">
        <f>IF($A22&lt;VARIABLES!$B$21,0,(IF($A22=VARIABLES!$B$21,0,G21)+D22)*(1+C22)-F22)</f>
        <v>7067616.1272646226</v>
      </c>
      <c r="H22" s="7">
        <f>IF($A22&lt;VARIABLES!$B$28,0,IF($A22=VARIABLES!$B$28,VARIABLES!$B$29+VARIABLES!$B$30,VARIABLES!$B$30))</f>
        <v>40000</v>
      </c>
      <c r="I22" s="7">
        <f>H22*VARIABLES!$B$31</f>
        <v>300</v>
      </c>
      <c r="J22" s="7">
        <f>IF($A22&lt;VARIABLES!$B$28,0,(IF($A22=VARIABLES!$B$28,0,K21)+H22)*C22*VARIABLES!$B$32)</f>
        <v>5371.0167393905176</v>
      </c>
      <c r="K22" s="7">
        <f>IF($A22&lt;VARIABLES!$B$28,0,(IF($A22=VARIABLES!$B$28,0,K21)+H22)*(1+C22)-J22)</f>
        <v>1122542.4985326184</v>
      </c>
      <c r="L22" s="7">
        <f>IF($A22&lt;VARIABLES!$B$35,0,IF($A22=VARIABLES!$B$35,VARIABLES!$B$36+VARIABLES!$B$37,VARIABLES!$B$37))</f>
        <v>0</v>
      </c>
      <c r="M22" s="7">
        <f>L22*VARIABLES!$B$38</f>
        <v>0</v>
      </c>
      <c r="N22" s="7">
        <f>IF($A22&lt;VARIABLES!$B$35,0,(IF($A22=VARIABLES!$B$35,0,O21)+L22)*C22*VARIABLES!$B$39)</f>
        <v>52834.420247915492</v>
      </c>
      <c r="O22" s="7">
        <f>IF($A22&lt;VARIABLES!$B$35,0,(IF($A22=VARIABLES!$B$35,0,O21)+L22)*(1+C22)-N22)</f>
        <v>11042393.831814339</v>
      </c>
      <c r="P22" s="7">
        <f>IF($A22&lt;VARIABLES!$B$42,0,IF($A22=VARIABLES!$B$42,VARIABLES!$B$43+VARIABLES!$B$44,VARIABLES!$B$44))</f>
        <v>20000</v>
      </c>
      <c r="Q22" s="7">
        <f>P22*VARIABLES!$B$45</f>
        <v>150</v>
      </c>
      <c r="R22" s="7">
        <f>IF($A22&lt;VARIABLES!$B$42,0,(IF($A22=VARIABLES!$B$42,0,S21)+P22)*C22*VARIABLES!$B$46)</f>
        <v>695.16275202428915</v>
      </c>
      <c r="S22" s="7">
        <f>IF($A22&lt;VARIABLES!$B$42,0,(IF($A22=VARIABLES!$B$42,0,S21)+P22)*(1+C22)-R22)</f>
        <v>583241.54894837865</v>
      </c>
      <c r="T22" s="16">
        <f>IF($A22&lt;VARIABLES!$B$50,0,MIN(VARIABLES!$B$49,INT(($A22-VARIABLES!$B$50)/VARIABLES!$B$51)+1)*VARIABLES!$B$52)</f>
        <v>17</v>
      </c>
      <c r="U22" s="7">
        <f>T22*VARIABLES!$B$54+IF(AND($A22&gt;=VARIABLES!$B$50,MOD($A22-VARIABLES!$B$50,VARIABLES!$B$51)=0,INT(($A22-VARIABLES!$B$50)/VARIABLES!$B$51)&lt;VARIABLES!$B$49),VARIABLES!$B$52*VARIABLES!$B$53,0)</f>
        <v>135000</v>
      </c>
      <c r="V22" s="7">
        <f>U22*VARIABLES!$B$55</f>
        <v>1012.5</v>
      </c>
      <c r="W22" s="7">
        <f>IF($A22&lt;VARIABLES!$B$50,0,(IF($A22&lt;VARIABLES!$B$50+1,0,X21)+U22)*C22*VARIABLES!$B$56)</f>
        <v>11104.917664510425</v>
      </c>
      <c r="X22" s="7">
        <f>IF($A22&lt;VARIABLES!$B$50,0,(IF($A22&lt;VARIABLES!$B$50+1,0,X21)+U22)*(1+C22)-W22)</f>
        <v>2320927.7918826793</v>
      </c>
      <c r="Y22" s="7">
        <f t="shared" si="0"/>
        <v>395000</v>
      </c>
      <c r="Z22" s="7">
        <f t="shared" si="1"/>
        <v>2962.5</v>
      </c>
      <c r="AA22" s="7">
        <f t="shared" si="2"/>
        <v>78429.374528113229</v>
      </c>
      <c r="AB22" s="17">
        <f t="shared" si="3"/>
        <v>81391.874528113229</v>
      </c>
      <c r="AC22" s="18">
        <f t="shared" si="4"/>
        <v>22136721.798442636</v>
      </c>
      <c r="AD22" s="7">
        <f>IF($A22=1,VARIABLES!$B$12,0)</f>
        <v>0</v>
      </c>
      <c r="AE22" s="7">
        <f>IF($A22&lt;=3,VARIABLES!$B$13,IF($A22&lt;=6,VARIABLES!$B$14,VARIABLES!$B$15))</f>
        <v>46000</v>
      </c>
      <c r="AF22" s="7">
        <f>IF(MOD($A22,12)=0,AC22*VARIABLES!$B$16,0)</f>
        <v>0</v>
      </c>
      <c r="AG22" s="7">
        <f>VARIABLES!$B$17</f>
        <v>5000</v>
      </c>
      <c r="AH22" s="7">
        <f>IF(MOD($A22,12)=0,VARIABLES!$B$18,0)</f>
        <v>0</v>
      </c>
      <c r="AI22" s="19">
        <f t="shared" si="5"/>
        <v>51000</v>
      </c>
      <c r="AJ22" s="20">
        <f>IF($A22&lt;VARIABLES!$B$7,VARIABLES!$B$9,0)</f>
        <v>10580.083333333334</v>
      </c>
      <c r="AK22" s="21">
        <f t="shared" si="6"/>
        <v>19811.791194779893</v>
      </c>
      <c r="AL22" s="21">
        <f t="shared" si="7"/>
        <v>-196718.00466841331</v>
      </c>
      <c r="AM22" s="22">
        <f t="shared" si="8"/>
        <v>201021.58333333337</v>
      </c>
    </row>
    <row r="23" spans="1:39" x14ac:dyDescent="0.2">
      <c r="A23" s="23">
        <v>20</v>
      </c>
      <c r="B23" s="23" t="str">
        <f>TEXT(DATE(VARIABLES!$B$60+INT((VARIABLES!$B$61+A23-2)/12),MOD(VARIABLES!$B$61+A23-2,12)+1,1),"mmm-yy")</f>
        <v>Jan-28</v>
      </c>
      <c r="C23" s="24">
        <f>IF($A23&lt;VARIABLES!$B$7,VARIABLES!$B$5/12,VARIABLES!$B$6/12)</f>
        <v>4.9999999999999996E-2</v>
      </c>
      <c r="D23" s="25">
        <f>IF($A23&lt;VARIABLES!$B$21,0,IF($A23=VARIABLES!$B$21,VARIABLES!$B$22+VARIABLES!$B$23,VARIABLES!$B$23))</f>
        <v>200000</v>
      </c>
      <c r="E23" s="25">
        <f>D23*VARIABLES!$B$24</f>
        <v>1500</v>
      </c>
      <c r="F23" s="25">
        <f>IF($A23&lt;VARIABLES!$B$21,0,(IF($A23=VARIABLES!$B$21,0,G22)+D23)*C23*VARIABLES!$B$25)</f>
        <v>9084.5201590807774</v>
      </c>
      <c r="G23" s="25">
        <f>IF($A23&lt;VARIABLES!$B$21,0,(IF($A23=VARIABLES!$B$21,0,G22)+D23)*(1+C23)-F23)</f>
        <v>7621912.4134687735</v>
      </c>
      <c r="H23" s="25">
        <f>IF($A23&lt;VARIABLES!$B$28,0,IF($A23=VARIABLES!$B$28,VARIABLES!$B$29+VARIABLES!$B$30,VARIABLES!$B$30))</f>
        <v>40000</v>
      </c>
      <c r="I23" s="25">
        <f>H23*VARIABLES!$B$31</f>
        <v>300</v>
      </c>
      <c r="J23" s="25">
        <f>IF($A23&lt;VARIABLES!$B$28,0,(IF($A23=VARIABLES!$B$28,0,K22)+H23)*C23*VARIABLES!$B$32)</f>
        <v>5812.7124926630922</v>
      </c>
      <c r="K23" s="25">
        <f>IF($A23&lt;VARIABLES!$B$28,0,(IF($A23=VARIABLES!$B$28,0,K22)+H23)*(1+C23)-J23)</f>
        <v>1214856.9109665861</v>
      </c>
      <c r="L23" s="25">
        <f>IF($A23&lt;VARIABLES!$B$35,0,IF($A23=VARIABLES!$B$35,VARIABLES!$B$36+VARIABLES!$B$37,VARIABLES!$B$37))</f>
        <v>0</v>
      </c>
      <c r="M23" s="25">
        <f>L23*VARIABLES!$B$38</f>
        <v>0</v>
      </c>
      <c r="N23" s="25">
        <f>IF($A23&lt;VARIABLES!$B$35,0,(IF($A23=VARIABLES!$B$35,0,O22)+L23)*C23*VARIABLES!$B$39)</f>
        <v>55211.969159071698</v>
      </c>
      <c r="O23" s="25">
        <f>IF($A23&lt;VARIABLES!$B$35,0,(IF($A23=VARIABLES!$B$35,0,O22)+L23)*(1+C23)-N23)</f>
        <v>11539301.554245984</v>
      </c>
      <c r="P23" s="25">
        <f>IF($A23&lt;VARIABLES!$B$42,0,IF($A23=VARIABLES!$B$42,VARIABLES!$B$43+VARIABLES!$B$44,VARIABLES!$B$44))</f>
        <v>20000</v>
      </c>
      <c r="Q23" s="25">
        <f>P23*VARIABLES!$B$45</f>
        <v>150</v>
      </c>
      <c r="R23" s="25">
        <f>IF($A23&lt;VARIABLES!$B$42,0,(IF($A23=VARIABLES!$B$42,0,S22)+P23)*C23*VARIABLES!$B$46)</f>
        <v>754.05193618547332</v>
      </c>
      <c r="S23" s="25">
        <f>IF($A23&lt;VARIABLES!$B$42,0,(IF($A23=VARIABLES!$B$42,0,S22)+P23)*(1+C23)-R23)</f>
        <v>632649.57445961214</v>
      </c>
      <c r="T23" s="26">
        <f>IF($A23&lt;VARIABLES!$B$50,0,MIN(VARIABLES!$B$49,INT(($A23-VARIABLES!$B$50)/VARIABLES!$B$51)+1)*VARIABLES!$B$52)</f>
        <v>18</v>
      </c>
      <c r="U23" s="25">
        <f>T23*VARIABLES!$B$54+IF(AND($A23&gt;=VARIABLES!$B$50,MOD($A23-VARIABLES!$B$50,VARIABLES!$B$51)=0,INT(($A23-VARIABLES!$B$50)/VARIABLES!$B$51)&lt;VARIABLES!$B$49),VARIABLES!$B$52*VARIABLES!$B$53,0)</f>
        <v>140000</v>
      </c>
      <c r="V23" s="25">
        <f>U23*VARIABLES!$B$55</f>
        <v>1050</v>
      </c>
      <c r="W23" s="25">
        <f>IF($A23&lt;VARIABLES!$B$50,0,(IF($A23&lt;VARIABLES!$B$50+1,0,X22)+U23)*C23*VARIABLES!$B$56)</f>
        <v>12304.638959413396</v>
      </c>
      <c r="X23" s="25">
        <f>IF($A23&lt;VARIABLES!$B$50,0,(IF($A23&lt;VARIABLES!$B$50+1,0,X22)+U23)*(1+C23)-W23)</f>
        <v>2571669.5425173999</v>
      </c>
      <c r="Y23" s="25">
        <f t="shared" si="0"/>
        <v>400000</v>
      </c>
      <c r="Z23" s="25">
        <f t="shared" si="1"/>
        <v>3000</v>
      </c>
      <c r="AA23" s="25">
        <f t="shared" si="2"/>
        <v>83167.892706414437</v>
      </c>
      <c r="AB23" s="17">
        <f t="shared" si="3"/>
        <v>86167.892706414437</v>
      </c>
      <c r="AC23" s="18">
        <f t="shared" si="4"/>
        <v>23580389.995658357</v>
      </c>
      <c r="AD23" s="25">
        <f>IF($A23=1,VARIABLES!$B$12,0)</f>
        <v>0</v>
      </c>
      <c r="AE23" s="25">
        <f>IF($A23&lt;=3,VARIABLES!$B$13,IF($A23&lt;=6,VARIABLES!$B$14,VARIABLES!$B$15))</f>
        <v>46000</v>
      </c>
      <c r="AF23" s="25">
        <f>IF(MOD($A23,12)=0,AC23*VARIABLES!$B$16,0)</f>
        <v>0</v>
      </c>
      <c r="AG23" s="25">
        <f>VARIABLES!$B$17</f>
        <v>5000</v>
      </c>
      <c r="AH23" s="25">
        <f>IF(MOD($A23,12)=0,VARIABLES!$B$18,0)</f>
        <v>0</v>
      </c>
      <c r="AI23" s="19">
        <f t="shared" si="5"/>
        <v>51000</v>
      </c>
      <c r="AJ23" s="20">
        <f>IF($A23&lt;VARIABLES!$B$7,VARIABLES!$B$9,0)</f>
        <v>10580.083333333334</v>
      </c>
      <c r="AK23" s="27">
        <f t="shared" si="6"/>
        <v>24587.809373081102</v>
      </c>
      <c r="AL23" s="27">
        <f t="shared" si="7"/>
        <v>-172130.1952953322</v>
      </c>
      <c r="AM23" s="22">
        <f t="shared" si="8"/>
        <v>211601.66666666672</v>
      </c>
    </row>
    <row r="24" spans="1:39" x14ac:dyDescent="0.2">
      <c r="A24" s="14">
        <v>21</v>
      </c>
      <c r="B24" s="14" t="str">
        <f>TEXT(DATE(VARIABLES!$B$60+INT((VARIABLES!$B$61+A24-2)/12),MOD(VARIABLES!$B$61+A24-2,12)+1,1),"mmm-yy")</f>
        <v>Feb-28</v>
      </c>
      <c r="C24" s="15">
        <f>IF($A24&lt;VARIABLES!$B$7,VARIABLES!$B$5/12,VARIABLES!$B$6/12)</f>
        <v>4.9999999999999996E-2</v>
      </c>
      <c r="D24" s="7">
        <f>IF($A24&lt;VARIABLES!$B$21,0,IF($A24=VARIABLES!$B$21,VARIABLES!$B$22+VARIABLES!$B$23,VARIABLES!$B$23))</f>
        <v>200000</v>
      </c>
      <c r="E24" s="7">
        <f>D24*VARIABLES!$B$24</f>
        <v>1500</v>
      </c>
      <c r="F24" s="7">
        <f>IF($A24&lt;VARIABLES!$B$21,0,(IF($A24=VARIABLES!$B$21,0,G23)+D24)*C24*VARIABLES!$B$25)</f>
        <v>9777.390516835967</v>
      </c>
      <c r="G24" s="7">
        <f>IF($A24&lt;VARIABLES!$B$21,0,(IF($A24=VARIABLES!$B$21,0,G23)+D24)*(1+C24)-F24)</f>
        <v>8203230.6436253767</v>
      </c>
      <c r="H24" s="7">
        <f>IF($A24&lt;VARIABLES!$B$28,0,IF($A24=VARIABLES!$B$28,VARIABLES!$B$29+VARIABLES!$B$30,VARIABLES!$B$30))</f>
        <v>40000</v>
      </c>
      <c r="I24" s="7">
        <f>H24*VARIABLES!$B$31</f>
        <v>300</v>
      </c>
      <c r="J24" s="7">
        <f>IF($A24&lt;VARIABLES!$B$28,0,(IF($A24=VARIABLES!$B$28,0,K23)+H24)*C24*VARIABLES!$B$32)</f>
        <v>6274.2845548329306</v>
      </c>
      <c r="K24" s="7">
        <f>IF($A24&lt;VARIABLES!$B$28,0,(IF($A24=VARIABLES!$B$28,0,K23)+H24)*(1+C24)-J24)</f>
        <v>1311325.4719600827</v>
      </c>
      <c r="L24" s="7">
        <f>IF($A24&lt;VARIABLES!$B$35,0,IF($A24=VARIABLES!$B$35,VARIABLES!$B$36+VARIABLES!$B$37,VARIABLES!$B$37))</f>
        <v>0</v>
      </c>
      <c r="M24" s="7">
        <f>L24*VARIABLES!$B$38</f>
        <v>0</v>
      </c>
      <c r="N24" s="7">
        <f>IF($A24&lt;VARIABLES!$B$35,0,(IF($A24=VARIABLES!$B$35,0,O23)+L24)*C24*VARIABLES!$B$39)</f>
        <v>57696.507771229924</v>
      </c>
      <c r="O24" s="7">
        <f>IF($A24&lt;VARIABLES!$B$35,0,(IF($A24=VARIABLES!$B$35,0,O23)+L24)*(1+C24)-N24)</f>
        <v>12058570.124187054</v>
      </c>
      <c r="P24" s="7">
        <f>IF($A24&lt;VARIABLES!$B$42,0,IF($A24=VARIABLES!$B$42,VARIABLES!$B$43+VARIABLES!$B$44,VARIABLES!$B$44))</f>
        <v>20000</v>
      </c>
      <c r="Q24" s="7">
        <f>P24*VARIABLES!$B$45</f>
        <v>150</v>
      </c>
      <c r="R24" s="7">
        <f>IF($A24&lt;VARIABLES!$B$42,0,(IF($A24=VARIABLES!$B$42,0,S23)+P24)*C24*VARIABLES!$B$46)</f>
        <v>815.81196807451511</v>
      </c>
      <c r="S24" s="7">
        <f>IF($A24&lt;VARIABLES!$B$42,0,(IF($A24=VARIABLES!$B$42,0,S23)+P24)*(1+C24)-R24)</f>
        <v>684466.2412145182</v>
      </c>
      <c r="T24" s="16">
        <f>IF($A24&lt;VARIABLES!$B$50,0,MIN(VARIABLES!$B$49,INT(($A24-VARIABLES!$B$50)/VARIABLES!$B$51)+1)*VARIABLES!$B$52)</f>
        <v>19</v>
      </c>
      <c r="U24" s="7">
        <f>T24*VARIABLES!$B$54+IF(AND($A24&gt;=VARIABLES!$B$50,MOD($A24-VARIABLES!$B$50,VARIABLES!$B$51)=0,INT(($A24-VARIABLES!$B$50)/VARIABLES!$B$51)&lt;VARIABLES!$B$49),VARIABLES!$B$52*VARIABLES!$B$53,0)</f>
        <v>145000</v>
      </c>
      <c r="V24" s="7">
        <f>U24*VARIABLES!$B$55</f>
        <v>1087.5</v>
      </c>
      <c r="W24" s="7">
        <f>IF($A24&lt;VARIABLES!$B$50,0,(IF($A24&lt;VARIABLES!$B$50+1,0,X23)+U24)*C24*VARIABLES!$B$56)</f>
        <v>13583.347712586998</v>
      </c>
      <c r="X24" s="7">
        <f>IF($A24&lt;VARIABLES!$B$50,0,(IF($A24&lt;VARIABLES!$B$50+1,0,X23)+U24)*(1+C24)-W24)</f>
        <v>2838919.6719306828</v>
      </c>
      <c r="Y24" s="7">
        <f t="shared" si="0"/>
        <v>405000</v>
      </c>
      <c r="Z24" s="7">
        <f t="shared" si="1"/>
        <v>3037.5</v>
      </c>
      <c r="AA24" s="7">
        <f t="shared" si="2"/>
        <v>88147.342523560335</v>
      </c>
      <c r="AB24" s="17">
        <f t="shared" si="3"/>
        <v>91184.842523560335</v>
      </c>
      <c r="AC24" s="18">
        <f t="shared" si="4"/>
        <v>25096512.152917713</v>
      </c>
      <c r="AD24" s="7">
        <f>IF($A24=1,VARIABLES!$B$12,0)</f>
        <v>0</v>
      </c>
      <c r="AE24" s="7">
        <f>IF($A24&lt;=3,VARIABLES!$B$13,IF($A24&lt;=6,VARIABLES!$B$14,VARIABLES!$B$15))</f>
        <v>46000</v>
      </c>
      <c r="AF24" s="7">
        <f>IF(MOD($A24,12)=0,AC24*VARIABLES!$B$16,0)</f>
        <v>0</v>
      </c>
      <c r="AG24" s="7">
        <f>VARIABLES!$B$17</f>
        <v>5000</v>
      </c>
      <c r="AH24" s="7">
        <f>IF(MOD($A24,12)=0,VARIABLES!$B$18,0)</f>
        <v>0</v>
      </c>
      <c r="AI24" s="19">
        <f t="shared" si="5"/>
        <v>51000</v>
      </c>
      <c r="AJ24" s="20">
        <f>IF($A24&lt;VARIABLES!$B$7,VARIABLES!$B$9,0)</f>
        <v>10580.083333333334</v>
      </c>
      <c r="AK24" s="21">
        <f t="shared" si="6"/>
        <v>29604.759190227</v>
      </c>
      <c r="AL24" s="21">
        <f t="shared" si="7"/>
        <v>-142525.43610510521</v>
      </c>
      <c r="AM24" s="22">
        <f t="shared" si="8"/>
        <v>222181.75000000006</v>
      </c>
    </row>
    <row r="25" spans="1:39" x14ac:dyDescent="0.2">
      <c r="A25" s="23">
        <v>22</v>
      </c>
      <c r="B25" s="23" t="str">
        <f>TEXT(DATE(VARIABLES!$B$60+INT((VARIABLES!$B$61+A25-2)/12),MOD(VARIABLES!$B$61+A25-2,12)+1,1),"mmm-yy")</f>
        <v>Mar-28</v>
      </c>
      <c r="C25" s="24">
        <f>IF($A25&lt;VARIABLES!$B$7,VARIABLES!$B$5/12,VARIABLES!$B$6/12)</f>
        <v>4.9999999999999996E-2</v>
      </c>
      <c r="D25" s="25">
        <f>IF($A25&lt;VARIABLES!$B$21,0,IF($A25=VARIABLES!$B$21,VARIABLES!$B$22+VARIABLES!$B$23,VARIABLES!$B$23))</f>
        <v>200000</v>
      </c>
      <c r="E25" s="25">
        <f>D25*VARIABLES!$B$24</f>
        <v>1500</v>
      </c>
      <c r="F25" s="25">
        <f>IF($A25&lt;VARIABLES!$B$21,0,(IF($A25=VARIABLES!$B$21,0,G24)+D25)*C25*VARIABLES!$B$25)</f>
        <v>10504.038304531721</v>
      </c>
      <c r="G25" s="25">
        <f>IF($A25&lt;VARIABLES!$B$21,0,(IF($A25=VARIABLES!$B$21,0,G24)+D25)*(1+C25)-F25)</f>
        <v>8812888.1375021134</v>
      </c>
      <c r="H25" s="25">
        <f>IF($A25&lt;VARIABLES!$B$28,0,IF($A25=VARIABLES!$B$28,VARIABLES!$B$29+VARIABLES!$B$30,VARIABLES!$B$30))</f>
        <v>40000</v>
      </c>
      <c r="I25" s="25">
        <f>H25*VARIABLES!$B$31</f>
        <v>300</v>
      </c>
      <c r="J25" s="25">
        <f>IF($A25&lt;VARIABLES!$B$28,0,(IF($A25=VARIABLES!$B$28,0,K24)+H25)*C25*VARIABLES!$B$32)</f>
        <v>6756.6273598004136</v>
      </c>
      <c r="K25" s="25">
        <f>IF($A25&lt;VARIABLES!$B$28,0,(IF($A25=VARIABLES!$B$28,0,K24)+H25)*(1+C25)-J25)</f>
        <v>1412135.1181982863</v>
      </c>
      <c r="L25" s="25">
        <f>IF($A25&lt;VARIABLES!$B$35,0,IF($A25=VARIABLES!$B$35,VARIABLES!$B$36+VARIABLES!$B$37,VARIABLES!$B$37))</f>
        <v>0</v>
      </c>
      <c r="M25" s="25">
        <f>L25*VARIABLES!$B$38</f>
        <v>0</v>
      </c>
      <c r="N25" s="25">
        <f>IF($A25&lt;VARIABLES!$B$35,0,(IF($A25=VARIABLES!$B$35,0,O24)+L25)*C25*VARIABLES!$B$39)</f>
        <v>60292.850620935264</v>
      </c>
      <c r="O25" s="25">
        <f>IF($A25&lt;VARIABLES!$B$35,0,(IF($A25=VARIABLES!$B$35,0,O24)+L25)*(1+C25)-N25)</f>
        <v>12601205.779775472</v>
      </c>
      <c r="P25" s="25">
        <f>IF($A25&lt;VARIABLES!$B$42,0,IF($A25=VARIABLES!$B$42,VARIABLES!$B$43+VARIABLES!$B$44,VARIABLES!$B$44))</f>
        <v>20000</v>
      </c>
      <c r="Q25" s="25">
        <f>P25*VARIABLES!$B$45</f>
        <v>150</v>
      </c>
      <c r="R25" s="25">
        <f>IF($A25&lt;VARIABLES!$B$42,0,(IF($A25=VARIABLES!$B$42,0,S24)+P25)*C25*VARIABLES!$B$46)</f>
        <v>880.58280151814768</v>
      </c>
      <c r="S25" s="25">
        <f>IF($A25&lt;VARIABLES!$B$42,0,(IF($A25=VARIABLES!$B$42,0,S24)+P25)*(1+C25)-R25)</f>
        <v>738808.97047372605</v>
      </c>
      <c r="T25" s="26">
        <f>IF($A25&lt;VARIABLES!$B$50,0,MIN(VARIABLES!$B$49,INT(($A25-VARIABLES!$B$50)/VARIABLES!$B$51)+1)*VARIABLES!$B$52)</f>
        <v>20</v>
      </c>
      <c r="U25" s="25">
        <f>T25*VARIABLES!$B$54+IF(AND($A25&gt;=VARIABLES!$B$50,MOD($A25-VARIABLES!$B$50,VARIABLES!$B$51)=0,INT(($A25-VARIABLES!$B$50)/VARIABLES!$B$51)&lt;VARIABLES!$B$49),VARIABLES!$B$52*VARIABLES!$B$53,0)</f>
        <v>150000</v>
      </c>
      <c r="V25" s="25">
        <f>U25*VARIABLES!$B$55</f>
        <v>1125</v>
      </c>
      <c r="W25" s="25">
        <f>IF($A25&lt;VARIABLES!$B$50,0,(IF($A25&lt;VARIABLES!$B$50+1,0,X24)+U25)*C25*VARIABLES!$B$56)</f>
        <v>14944.598359653413</v>
      </c>
      <c r="X25" s="25">
        <f>IF($A25&lt;VARIABLES!$B$50,0,(IF($A25&lt;VARIABLES!$B$50+1,0,X24)+U25)*(1+C25)-W25)</f>
        <v>3123421.0571675641</v>
      </c>
      <c r="Y25" s="25">
        <f t="shared" si="0"/>
        <v>410000</v>
      </c>
      <c r="Z25" s="25">
        <f t="shared" si="1"/>
        <v>3075</v>
      </c>
      <c r="AA25" s="25">
        <f t="shared" si="2"/>
        <v>93378.69744643895</v>
      </c>
      <c r="AB25" s="17">
        <f t="shared" si="3"/>
        <v>96453.69744643895</v>
      </c>
      <c r="AC25" s="18">
        <f t="shared" si="4"/>
        <v>26688459.063117161</v>
      </c>
      <c r="AD25" s="25">
        <f>IF($A25=1,VARIABLES!$B$12,0)</f>
        <v>0</v>
      </c>
      <c r="AE25" s="25">
        <f>IF($A25&lt;=3,VARIABLES!$B$13,IF($A25&lt;=6,VARIABLES!$B$14,VARIABLES!$B$15))</f>
        <v>46000</v>
      </c>
      <c r="AF25" s="25">
        <f>IF(MOD($A25,12)=0,AC25*VARIABLES!$B$16,0)</f>
        <v>0</v>
      </c>
      <c r="AG25" s="25">
        <f>VARIABLES!$B$17</f>
        <v>5000</v>
      </c>
      <c r="AH25" s="25">
        <f>IF(MOD($A25,12)=0,VARIABLES!$B$18,0)</f>
        <v>0</v>
      </c>
      <c r="AI25" s="19">
        <f t="shared" si="5"/>
        <v>51000</v>
      </c>
      <c r="AJ25" s="20">
        <f>IF($A25&lt;VARIABLES!$B$7,VARIABLES!$B$9,0)</f>
        <v>10580.083333333334</v>
      </c>
      <c r="AK25" s="27">
        <f t="shared" si="6"/>
        <v>34873.614113105614</v>
      </c>
      <c r="AL25" s="27">
        <f t="shared" si="7"/>
        <v>-107651.8219919996</v>
      </c>
      <c r="AM25" s="22">
        <f t="shared" si="8"/>
        <v>232761.8333333334</v>
      </c>
    </row>
    <row r="26" spans="1:39" x14ac:dyDescent="0.2">
      <c r="A26" s="14">
        <v>23</v>
      </c>
      <c r="B26" s="14" t="str">
        <f>TEXT(DATE(VARIABLES!$B$60+INT((VARIABLES!$B$61+A26-2)/12),MOD(VARIABLES!$B$61+A26-2,12)+1,1),"mmm-yy")</f>
        <v>Apr-28</v>
      </c>
      <c r="C26" s="15">
        <f>IF($A26&lt;VARIABLES!$B$7,VARIABLES!$B$5/12,VARIABLES!$B$6/12)</f>
        <v>4.9999999999999996E-2</v>
      </c>
      <c r="D26" s="7">
        <f>IF($A26&lt;VARIABLES!$B$21,0,IF($A26=VARIABLES!$B$21,VARIABLES!$B$22+VARIABLES!$B$23,VARIABLES!$B$23))</f>
        <v>200000</v>
      </c>
      <c r="E26" s="7">
        <f>D26*VARIABLES!$B$24</f>
        <v>1500</v>
      </c>
      <c r="F26" s="7">
        <f>IF($A26&lt;VARIABLES!$B$21,0,(IF($A26=VARIABLES!$B$21,0,G25)+D26)*C26*VARIABLES!$B$25)</f>
        <v>11266.110171877641</v>
      </c>
      <c r="G26" s="7">
        <f>IF($A26&lt;VARIABLES!$B$21,0,(IF($A26=VARIABLES!$B$21,0,G25)+D26)*(1+C26)-F26)</f>
        <v>9452266.4342053421</v>
      </c>
      <c r="H26" s="7">
        <f>IF($A26&lt;VARIABLES!$B$28,0,IF($A26=VARIABLES!$B$28,VARIABLES!$B$29+VARIABLES!$B$30,VARIABLES!$B$30))</f>
        <v>40000</v>
      </c>
      <c r="I26" s="7">
        <f>H26*VARIABLES!$B$31</f>
        <v>300</v>
      </c>
      <c r="J26" s="7">
        <f>IF($A26&lt;VARIABLES!$B$28,0,(IF($A26=VARIABLES!$B$28,0,K25)+H26)*C26*VARIABLES!$B$32)</f>
        <v>7260.6755909914318</v>
      </c>
      <c r="K26" s="7">
        <f>IF($A26&lt;VARIABLES!$B$28,0,(IF($A26=VARIABLES!$B$28,0,K25)+H26)*(1+C26)-J26)</f>
        <v>1517481.1985172092</v>
      </c>
      <c r="L26" s="7">
        <f>IF($A26&lt;VARIABLES!$B$35,0,IF($A26=VARIABLES!$B$35,VARIABLES!$B$36+VARIABLES!$B$37,VARIABLES!$B$37))</f>
        <v>0</v>
      </c>
      <c r="M26" s="7">
        <f>L26*VARIABLES!$B$38</f>
        <v>0</v>
      </c>
      <c r="N26" s="7">
        <f>IF($A26&lt;VARIABLES!$B$35,0,(IF($A26=VARIABLES!$B$35,0,O25)+L26)*C26*VARIABLES!$B$39)</f>
        <v>63006.028898877361</v>
      </c>
      <c r="O26" s="7">
        <f>IF($A26&lt;VARIABLES!$B$35,0,(IF($A26=VARIABLES!$B$35,0,O25)+L26)*(1+C26)-N26)</f>
        <v>13168260.039865369</v>
      </c>
      <c r="P26" s="7">
        <f>IF($A26&lt;VARIABLES!$B$42,0,IF($A26=VARIABLES!$B$42,VARIABLES!$B$43+VARIABLES!$B$44,VARIABLES!$B$44))</f>
        <v>20000</v>
      </c>
      <c r="Q26" s="7">
        <f>P26*VARIABLES!$B$45</f>
        <v>150</v>
      </c>
      <c r="R26" s="7">
        <f>IF($A26&lt;VARIABLES!$B$42,0,(IF($A26=VARIABLES!$B$42,0,S25)+P26)*C26*VARIABLES!$B$46)</f>
        <v>948.5112130921575</v>
      </c>
      <c r="S26" s="7">
        <f>IF($A26&lt;VARIABLES!$B$42,0,(IF($A26=VARIABLES!$B$42,0,S25)+P26)*(1+C26)-R26)</f>
        <v>795800.9077843203</v>
      </c>
      <c r="T26" s="16">
        <f>IF($A26&lt;VARIABLES!$B$50,0,MIN(VARIABLES!$B$49,INT(($A26-VARIABLES!$B$50)/VARIABLES!$B$51)+1)*VARIABLES!$B$52)</f>
        <v>21</v>
      </c>
      <c r="U26" s="7">
        <f>T26*VARIABLES!$B$54+IF(AND($A26&gt;=VARIABLES!$B$50,MOD($A26-VARIABLES!$B$50,VARIABLES!$B$51)=0,INT(($A26-VARIABLES!$B$50)/VARIABLES!$B$51)&lt;VARIABLES!$B$49),VARIABLES!$B$52*VARIABLES!$B$53,0)</f>
        <v>155000</v>
      </c>
      <c r="V26" s="7">
        <f>U26*VARIABLES!$B$55</f>
        <v>1162.5</v>
      </c>
      <c r="W26" s="7">
        <f>IF($A26&lt;VARIABLES!$B$50,0,(IF($A26&lt;VARIABLES!$B$50+1,0,X25)+U26)*C26*VARIABLES!$B$56)</f>
        <v>16392.105285837821</v>
      </c>
      <c r="X26" s="7">
        <f>IF($A26&lt;VARIABLES!$B$50,0,(IF($A26&lt;VARIABLES!$B$50+1,0,X25)+U26)*(1+C26)-W26)</f>
        <v>3425950.0047401045</v>
      </c>
      <c r="Y26" s="7">
        <f t="shared" si="0"/>
        <v>415000</v>
      </c>
      <c r="Z26" s="7">
        <f t="shared" si="1"/>
        <v>3112.5</v>
      </c>
      <c r="AA26" s="7">
        <f t="shared" si="2"/>
        <v>98873.431160676424</v>
      </c>
      <c r="AB26" s="17">
        <f t="shared" si="3"/>
        <v>101985.93116067642</v>
      </c>
      <c r="AC26" s="18">
        <f t="shared" si="4"/>
        <v>28359758.585112344</v>
      </c>
      <c r="AD26" s="7">
        <f>IF($A26=1,VARIABLES!$B$12,0)</f>
        <v>0</v>
      </c>
      <c r="AE26" s="7">
        <f>IF($A26&lt;=3,VARIABLES!$B$13,IF($A26&lt;=6,VARIABLES!$B$14,VARIABLES!$B$15))</f>
        <v>46000</v>
      </c>
      <c r="AF26" s="7">
        <f>IF(MOD($A26,12)=0,AC26*VARIABLES!$B$16,0)</f>
        <v>0</v>
      </c>
      <c r="AG26" s="7">
        <f>VARIABLES!$B$17</f>
        <v>5000</v>
      </c>
      <c r="AH26" s="7">
        <f>IF(MOD($A26,12)=0,VARIABLES!$B$18,0)</f>
        <v>0</v>
      </c>
      <c r="AI26" s="19">
        <f t="shared" si="5"/>
        <v>51000</v>
      </c>
      <c r="AJ26" s="20">
        <f>IF($A26&lt;VARIABLES!$B$7,VARIABLES!$B$9,0)</f>
        <v>10580.083333333334</v>
      </c>
      <c r="AK26" s="21">
        <f t="shared" si="6"/>
        <v>40405.847827343088</v>
      </c>
      <c r="AL26" s="21">
        <f t="shared" si="7"/>
        <v>-67245.974164656509</v>
      </c>
      <c r="AM26" s="22">
        <f t="shared" si="8"/>
        <v>243341.91666666674</v>
      </c>
    </row>
    <row r="27" spans="1:39" x14ac:dyDescent="0.2">
      <c r="A27" s="23">
        <v>24</v>
      </c>
      <c r="B27" s="23" t="str">
        <f>TEXT(DATE(VARIABLES!$B$60+INT((VARIABLES!$B$61+A27-2)/12),MOD(VARIABLES!$B$61+A27-2,12)+1,1),"mmm-yy")</f>
        <v>May-28</v>
      </c>
      <c r="C27" s="24">
        <f>IF($A27&lt;VARIABLES!$B$7,VARIABLES!$B$5/12,VARIABLES!$B$6/12)</f>
        <v>4.9999999999999996E-2</v>
      </c>
      <c r="D27" s="25">
        <f>IF($A27&lt;VARIABLES!$B$21,0,IF($A27=VARIABLES!$B$21,VARIABLES!$B$22+VARIABLES!$B$23,VARIABLES!$B$23))</f>
        <v>200000</v>
      </c>
      <c r="E27" s="25">
        <f>D27*VARIABLES!$B$24</f>
        <v>1500</v>
      </c>
      <c r="F27" s="25">
        <f>IF($A27&lt;VARIABLES!$B$21,0,(IF($A27=VARIABLES!$B$21,0,G26)+D27)*C27*VARIABLES!$B$25)</f>
        <v>12065.333042756676</v>
      </c>
      <c r="G27" s="25">
        <f>IF($A27&lt;VARIABLES!$B$21,0,(IF($A27=VARIABLES!$B$21,0,G26)+D27)*(1+C27)-F27)</f>
        <v>10122814.422872853</v>
      </c>
      <c r="H27" s="25">
        <f>IF($A27&lt;VARIABLES!$B$28,0,IF($A27=VARIABLES!$B$28,VARIABLES!$B$29+VARIABLES!$B$30,VARIABLES!$B$30))</f>
        <v>40000</v>
      </c>
      <c r="I27" s="25">
        <f>H27*VARIABLES!$B$31</f>
        <v>300</v>
      </c>
      <c r="J27" s="25">
        <f>IF($A27&lt;VARIABLES!$B$28,0,(IF($A27=VARIABLES!$B$28,0,K26)+H27)*C27*VARIABLES!$B$32)</f>
        <v>7787.4059925860456</v>
      </c>
      <c r="K27" s="25">
        <f>IF($A27&lt;VARIABLES!$B$28,0,(IF($A27=VARIABLES!$B$28,0,K26)+H27)*(1+C27)-J27)</f>
        <v>1627567.8524504837</v>
      </c>
      <c r="L27" s="25">
        <f>IF($A27&lt;VARIABLES!$B$35,0,IF($A27=VARIABLES!$B$35,VARIABLES!$B$36+VARIABLES!$B$37,VARIABLES!$B$37))</f>
        <v>0</v>
      </c>
      <c r="M27" s="25">
        <f>L27*VARIABLES!$B$38</f>
        <v>0</v>
      </c>
      <c r="N27" s="25">
        <f>IF($A27&lt;VARIABLES!$B$35,0,(IF($A27=VARIABLES!$B$35,0,O26)+L27)*C27*VARIABLES!$B$39)</f>
        <v>65841.300199326841</v>
      </c>
      <c r="O27" s="25">
        <f>IF($A27&lt;VARIABLES!$B$35,0,(IF($A27=VARIABLES!$B$35,0,O26)+L27)*(1+C27)-N27)</f>
        <v>13760831.741659312</v>
      </c>
      <c r="P27" s="25">
        <f>IF($A27&lt;VARIABLES!$B$42,0,IF($A27=VARIABLES!$B$42,VARIABLES!$B$43+VARIABLES!$B$44,VARIABLES!$B$44))</f>
        <v>20000</v>
      </c>
      <c r="Q27" s="25">
        <f>P27*VARIABLES!$B$45</f>
        <v>150</v>
      </c>
      <c r="R27" s="25">
        <f>IF($A27&lt;VARIABLES!$B$42,0,(IF($A27=VARIABLES!$B$42,0,S26)+P27)*C27*VARIABLES!$B$46)</f>
        <v>1019.7511347304004</v>
      </c>
      <c r="S27" s="25">
        <f>IF($A27&lt;VARIABLES!$B$42,0,(IF($A27=VARIABLES!$B$42,0,S26)+P27)*(1+C27)-R27)</f>
        <v>855571.20203880593</v>
      </c>
      <c r="T27" s="26">
        <f>IF($A27&lt;VARIABLES!$B$50,0,MIN(VARIABLES!$B$49,INT(($A27-VARIABLES!$B$50)/VARIABLES!$B$51)+1)*VARIABLES!$B$52)</f>
        <v>22</v>
      </c>
      <c r="U27" s="25">
        <f>T27*VARIABLES!$B$54+IF(AND($A27&gt;=VARIABLES!$B$50,MOD($A27-VARIABLES!$B$50,VARIABLES!$B$51)=0,INT(($A27-VARIABLES!$B$50)/VARIABLES!$B$51)&lt;VARIABLES!$B$49),VARIABLES!$B$52*VARIABLES!$B$53,0)</f>
        <v>160000</v>
      </c>
      <c r="V27" s="25">
        <f>U27*VARIABLES!$B$55</f>
        <v>1200</v>
      </c>
      <c r="W27" s="25">
        <f>IF($A27&lt;VARIABLES!$B$50,0,(IF($A27&lt;VARIABLES!$B$50+1,0,X26)+U27)*C27*VARIABLES!$B$56)</f>
        <v>17929.750023700522</v>
      </c>
      <c r="X27" s="25">
        <f>IF($A27&lt;VARIABLES!$B$50,0,(IF($A27&lt;VARIABLES!$B$50+1,0,X26)+U27)*(1+C27)-W27)</f>
        <v>3747317.7549534095</v>
      </c>
      <c r="Y27" s="25">
        <f t="shared" si="0"/>
        <v>420000</v>
      </c>
      <c r="Z27" s="25">
        <f t="shared" si="1"/>
        <v>3150</v>
      </c>
      <c r="AA27" s="25">
        <f t="shared" si="2"/>
        <v>104643.54039310047</v>
      </c>
      <c r="AB27" s="17">
        <f t="shared" si="3"/>
        <v>107793.54039310047</v>
      </c>
      <c r="AC27" s="18">
        <f t="shared" si="4"/>
        <v>30114102.973974865</v>
      </c>
      <c r="AD27" s="25">
        <f>IF($A27=1,VARIABLES!$B$12,0)</f>
        <v>0</v>
      </c>
      <c r="AE27" s="25">
        <f>IF($A27&lt;=3,VARIABLES!$B$13,IF($A27&lt;=6,VARIABLES!$B$14,VARIABLES!$B$15))</f>
        <v>46000</v>
      </c>
      <c r="AF27" s="25">
        <f>IF(MOD($A27,12)=0,AC27*VARIABLES!$B$16,0)</f>
        <v>75285.257434937157</v>
      </c>
      <c r="AG27" s="25">
        <f>VARIABLES!$B$17</f>
        <v>5000</v>
      </c>
      <c r="AH27" s="25">
        <f>IF(MOD($A27,12)=0,VARIABLES!$B$18,0)</f>
        <v>3000</v>
      </c>
      <c r="AI27" s="19">
        <f t="shared" si="5"/>
        <v>129285.25743493716</v>
      </c>
      <c r="AJ27" s="20">
        <f>IF($A27&lt;VARIABLES!$B$7,VARIABLES!$B$9,0)</f>
        <v>10580.083333333334</v>
      </c>
      <c r="AK27" s="27">
        <f t="shared" si="6"/>
        <v>-32071.800375170023</v>
      </c>
      <c r="AL27" s="27">
        <f t="shared" si="7"/>
        <v>-99317.774539826525</v>
      </c>
      <c r="AM27" s="22">
        <f t="shared" si="8"/>
        <v>253922.00000000009</v>
      </c>
    </row>
    <row r="28" spans="1:39" x14ac:dyDescent="0.2">
      <c r="A28" s="14">
        <v>25</v>
      </c>
      <c r="B28" s="14" t="str">
        <f>TEXT(DATE(VARIABLES!$B$60+INT((VARIABLES!$B$61+A28-2)/12),MOD(VARIABLES!$B$61+A28-2,12)+1,1),"mmm-yy")</f>
        <v>Jun-28</v>
      </c>
      <c r="C28" s="15">
        <f>IF($A28&lt;VARIABLES!$B$7,VARIABLES!$B$5/12,VARIABLES!$B$6/12)</f>
        <v>4.9999999999999996E-2</v>
      </c>
      <c r="D28" s="7">
        <f>IF($A28&lt;VARIABLES!$B$21,0,IF($A28=VARIABLES!$B$21,VARIABLES!$B$22+VARIABLES!$B$23,VARIABLES!$B$23))</f>
        <v>200000</v>
      </c>
      <c r="E28" s="7">
        <f>D28*VARIABLES!$B$24</f>
        <v>1500</v>
      </c>
      <c r="F28" s="7">
        <f>IF($A28&lt;VARIABLES!$B$21,0,(IF($A28=VARIABLES!$B$21,0,G27)+D28)*C28*VARIABLES!$B$25)</f>
        <v>12903.518028591065</v>
      </c>
      <c r="G28" s="7">
        <f>IF($A28&lt;VARIABLES!$B$21,0,(IF($A28=VARIABLES!$B$21,0,G27)+D28)*(1+C28)-F28)</f>
        <v>10826051.625987904</v>
      </c>
      <c r="H28" s="7">
        <f>IF($A28&lt;VARIABLES!$B$28,0,IF($A28=VARIABLES!$B$28,VARIABLES!$B$29+VARIABLES!$B$30,VARIABLES!$B$30))</f>
        <v>40000</v>
      </c>
      <c r="I28" s="7">
        <f>H28*VARIABLES!$B$31</f>
        <v>300</v>
      </c>
      <c r="J28" s="7">
        <f>IF($A28&lt;VARIABLES!$B$28,0,(IF($A28=VARIABLES!$B$28,0,K27)+H28)*C28*VARIABLES!$B$32)</f>
        <v>8337.839262252417</v>
      </c>
      <c r="K28" s="7">
        <f>IF($A28&lt;VARIABLES!$B$28,0,(IF($A28=VARIABLES!$B$28,0,K27)+H28)*(1+C28)-J28)</f>
        <v>1742608.4058107554</v>
      </c>
      <c r="L28" s="7">
        <f>IF($A28&lt;VARIABLES!$B$35,0,IF($A28=VARIABLES!$B$35,VARIABLES!$B$36+VARIABLES!$B$37,VARIABLES!$B$37))</f>
        <v>0</v>
      </c>
      <c r="M28" s="7">
        <f>L28*VARIABLES!$B$38</f>
        <v>0</v>
      </c>
      <c r="N28" s="7">
        <f>IF($A28&lt;VARIABLES!$B$35,0,(IF($A28=VARIABLES!$B$35,0,O27)+L28)*C28*VARIABLES!$B$39)</f>
        <v>68804.158708296556</v>
      </c>
      <c r="O28" s="7">
        <f>IF($A28&lt;VARIABLES!$B$35,0,(IF($A28=VARIABLES!$B$35,0,O27)+L28)*(1+C28)-N28)</f>
        <v>14380069.17003398</v>
      </c>
      <c r="P28" s="7">
        <f>IF($A28&lt;VARIABLES!$B$42,0,IF($A28=VARIABLES!$B$42,VARIABLES!$B$43+VARIABLES!$B$44,VARIABLES!$B$44))</f>
        <v>20000</v>
      </c>
      <c r="Q28" s="7">
        <f>P28*VARIABLES!$B$45</f>
        <v>150</v>
      </c>
      <c r="R28" s="7">
        <f>IF($A28&lt;VARIABLES!$B$42,0,(IF($A28=VARIABLES!$B$42,0,S27)+P28)*C28*VARIABLES!$B$46)</f>
        <v>1094.4640025485073</v>
      </c>
      <c r="S28" s="7">
        <f>IF($A28&lt;VARIABLES!$B$42,0,(IF($A28=VARIABLES!$B$42,0,S27)+P28)*(1+C28)-R28)</f>
        <v>918255.29813819774</v>
      </c>
      <c r="T28" s="16">
        <f>IF($A28&lt;VARIABLES!$B$50,0,MIN(VARIABLES!$B$49,INT(($A28-VARIABLES!$B$50)/VARIABLES!$B$51)+1)*VARIABLES!$B$52)</f>
        <v>23</v>
      </c>
      <c r="U28" s="7">
        <f>T28*VARIABLES!$B$54+IF(AND($A28&gt;=VARIABLES!$B$50,MOD($A28-VARIABLES!$B$50,VARIABLES!$B$51)=0,INT(($A28-VARIABLES!$B$50)/VARIABLES!$B$51)&lt;VARIABLES!$B$49),VARIABLES!$B$52*VARIABLES!$B$53,0)</f>
        <v>165000</v>
      </c>
      <c r="V28" s="7">
        <f>U28*VARIABLES!$B$55</f>
        <v>1237.5</v>
      </c>
      <c r="W28" s="7">
        <f>IF($A28&lt;VARIABLES!$B$50,0,(IF($A28&lt;VARIABLES!$B$50+1,0,X27)+U28)*C28*VARIABLES!$B$56)</f>
        <v>19561.588774767046</v>
      </c>
      <c r="X28" s="7">
        <f>IF($A28&lt;VARIABLES!$B$50,0,(IF($A28&lt;VARIABLES!$B$50+1,0,X27)+U28)*(1+C28)-W28)</f>
        <v>4088372.0539263128</v>
      </c>
      <c r="Y28" s="7">
        <f t="shared" si="0"/>
        <v>425000</v>
      </c>
      <c r="Z28" s="7">
        <f t="shared" si="1"/>
        <v>3187.5</v>
      </c>
      <c r="AA28" s="7">
        <f t="shared" si="2"/>
        <v>110701.56877645561</v>
      </c>
      <c r="AB28" s="17">
        <f t="shared" si="3"/>
        <v>113889.06877645561</v>
      </c>
      <c r="AC28" s="18">
        <f t="shared" si="4"/>
        <v>31955356.553897146</v>
      </c>
      <c r="AD28" s="7">
        <f>IF($A28=1,VARIABLES!$B$12,0)</f>
        <v>0</v>
      </c>
      <c r="AE28" s="7">
        <f>IF($A28&lt;=3,VARIABLES!$B$13,IF($A28&lt;=6,VARIABLES!$B$14,VARIABLES!$B$15))</f>
        <v>46000</v>
      </c>
      <c r="AF28" s="7">
        <f>IF(MOD($A28,12)=0,AC28*VARIABLES!$B$16,0)</f>
        <v>0</v>
      </c>
      <c r="AG28" s="7">
        <f>VARIABLES!$B$17</f>
        <v>5000</v>
      </c>
      <c r="AH28" s="7">
        <f>IF(MOD($A28,12)=0,VARIABLES!$B$18,0)</f>
        <v>0</v>
      </c>
      <c r="AI28" s="19">
        <f t="shared" si="5"/>
        <v>51000</v>
      </c>
      <c r="AJ28" s="20">
        <f>IF($A28&lt;VARIABLES!$B$7,VARIABLES!$B$9,0)</f>
        <v>10580.083333333334</v>
      </c>
      <c r="AK28" s="21">
        <f t="shared" si="6"/>
        <v>52308.98544312227</v>
      </c>
      <c r="AL28" s="21">
        <f t="shared" si="7"/>
        <v>-47008.789096704255</v>
      </c>
      <c r="AM28" s="22">
        <f t="shared" si="8"/>
        <v>264502.08333333343</v>
      </c>
    </row>
    <row r="29" spans="1:39" x14ac:dyDescent="0.2">
      <c r="A29" s="23">
        <v>26</v>
      </c>
      <c r="B29" s="23" t="str">
        <f>TEXT(DATE(VARIABLES!$B$60+INT((VARIABLES!$B$61+A29-2)/12),MOD(VARIABLES!$B$61+A29-2,12)+1,1),"mmm-yy")</f>
        <v>Jul-28</v>
      </c>
      <c r="C29" s="24">
        <f>IF($A29&lt;VARIABLES!$B$7,VARIABLES!$B$5/12,VARIABLES!$B$6/12)</f>
        <v>4.9999999999999996E-2</v>
      </c>
      <c r="D29" s="25">
        <f>IF($A29&lt;VARIABLES!$B$21,0,IF($A29=VARIABLES!$B$21,VARIABLES!$B$22+VARIABLES!$B$23,VARIABLES!$B$23))</f>
        <v>200000</v>
      </c>
      <c r="E29" s="25">
        <f>D29*VARIABLES!$B$24</f>
        <v>1500</v>
      </c>
      <c r="F29" s="25">
        <f>IF($A29&lt;VARIABLES!$B$21,0,(IF($A29=VARIABLES!$B$21,0,G28)+D29)*C29*VARIABLES!$B$25)</f>
        <v>13782.564532484881</v>
      </c>
      <c r="G29" s="25">
        <f>IF($A29&lt;VARIABLES!$B$21,0,(IF($A29=VARIABLES!$B$21,0,G28)+D29)*(1+C29)-F29)</f>
        <v>11563571.642754816</v>
      </c>
      <c r="H29" s="25">
        <f>IF($A29&lt;VARIABLES!$B$28,0,IF($A29=VARIABLES!$B$28,VARIABLES!$B$29+VARIABLES!$B$30,VARIABLES!$B$30))</f>
        <v>40000</v>
      </c>
      <c r="I29" s="25">
        <f>H29*VARIABLES!$B$31</f>
        <v>300</v>
      </c>
      <c r="J29" s="25">
        <f>IF($A29&lt;VARIABLES!$B$28,0,(IF($A29=VARIABLES!$B$28,0,K28)+H29)*C29*VARIABLES!$B$32)</f>
        <v>8913.0420290537768</v>
      </c>
      <c r="K29" s="25">
        <f>IF($A29&lt;VARIABLES!$B$28,0,(IF($A29=VARIABLES!$B$28,0,K28)+H29)*(1+C29)-J29)</f>
        <v>1862825.7840722397</v>
      </c>
      <c r="L29" s="25">
        <f>IF($A29&lt;VARIABLES!$B$35,0,IF($A29=VARIABLES!$B$35,VARIABLES!$B$36+VARIABLES!$B$37,VARIABLES!$B$37))</f>
        <v>0</v>
      </c>
      <c r="M29" s="25">
        <f>L29*VARIABLES!$B$38</f>
        <v>0</v>
      </c>
      <c r="N29" s="25">
        <f>IF($A29&lt;VARIABLES!$B$35,0,(IF($A29=VARIABLES!$B$35,0,O28)+L29)*C29*VARIABLES!$B$39)</f>
        <v>71900.345850169891</v>
      </c>
      <c r="O29" s="25">
        <f>IF($A29&lt;VARIABLES!$B$35,0,(IF($A29=VARIABLES!$B$35,0,O28)+L29)*(1+C29)-N29)</f>
        <v>15027172.282685511</v>
      </c>
      <c r="P29" s="25">
        <f>IF($A29&lt;VARIABLES!$B$42,0,IF($A29=VARIABLES!$B$42,VARIABLES!$B$43+VARIABLES!$B$44,VARIABLES!$B$44))</f>
        <v>20000</v>
      </c>
      <c r="Q29" s="25">
        <f>P29*VARIABLES!$B$45</f>
        <v>150</v>
      </c>
      <c r="R29" s="25">
        <f>IF($A29&lt;VARIABLES!$B$42,0,(IF($A29=VARIABLES!$B$42,0,S28)+P29)*C29*VARIABLES!$B$46)</f>
        <v>1172.8191226727472</v>
      </c>
      <c r="S29" s="25">
        <f>IF($A29&lt;VARIABLES!$B$42,0,(IF($A29=VARIABLES!$B$42,0,S28)+P29)*(1+C29)-R29)</f>
        <v>983995.24392243486</v>
      </c>
      <c r="T29" s="26">
        <f>IF($A29&lt;VARIABLES!$B$50,0,MIN(VARIABLES!$B$49,INT(($A29-VARIABLES!$B$50)/VARIABLES!$B$51)+1)*VARIABLES!$B$52)</f>
        <v>24</v>
      </c>
      <c r="U29" s="25">
        <f>T29*VARIABLES!$B$54+IF(AND($A29&gt;=VARIABLES!$B$50,MOD($A29-VARIABLES!$B$50,VARIABLES!$B$51)=0,INT(($A29-VARIABLES!$B$50)/VARIABLES!$B$51)&lt;VARIABLES!$B$49),VARIABLES!$B$52*VARIABLES!$B$53,0)</f>
        <v>170000</v>
      </c>
      <c r="V29" s="25">
        <f>U29*VARIABLES!$B$55</f>
        <v>1275</v>
      </c>
      <c r="W29" s="25">
        <f>IF($A29&lt;VARIABLES!$B$50,0,(IF($A29&lt;VARIABLES!$B$50+1,0,X28)+U29)*C29*VARIABLES!$B$56)</f>
        <v>21291.860269631565</v>
      </c>
      <c r="X29" s="25">
        <f>IF($A29&lt;VARIABLES!$B$50,0,(IF($A29&lt;VARIABLES!$B$50+1,0,X28)+U29)*(1+C29)-W29)</f>
        <v>4449998.7963529984</v>
      </c>
      <c r="Y29" s="25">
        <f t="shared" si="0"/>
        <v>430000</v>
      </c>
      <c r="Z29" s="25">
        <f t="shared" si="1"/>
        <v>3225</v>
      </c>
      <c r="AA29" s="25">
        <f t="shared" si="2"/>
        <v>117060.63180401287</v>
      </c>
      <c r="AB29" s="17">
        <f t="shared" si="3"/>
        <v>120285.63180401287</v>
      </c>
      <c r="AC29" s="18">
        <f t="shared" si="4"/>
        <v>33887563.749788001</v>
      </c>
      <c r="AD29" s="25">
        <f>IF($A29=1,VARIABLES!$B$12,0)</f>
        <v>0</v>
      </c>
      <c r="AE29" s="25">
        <f>IF($A29&lt;=3,VARIABLES!$B$13,IF($A29&lt;=6,VARIABLES!$B$14,VARIABLES!$B$15))</f>
        <v>46000</v>
      </c>
      <c r="AF29" s="25">
        <f>IF(MOD($A29,12)=0,AC29*VARIABLES!$B$16,0)</f>
        <v>0</v>
      </c>
      <c r="AG29" s="25">
        <f>VARIABLES!$B$17</f>
        <v>5000</v>
      </c>
      <c r="AH29" s="25">
        <f>IF(MOD($A29,12)=0,VARIABLES!$B$18,0)</f>
        <v>0</v>
      </c>
      <c r="AI29" s="19">
        <f t="shared" si="5"/>
        <v>51000</v>
      </c>
      <c r="AJ29" s="20">
        <f>IF($A29&lt;VARIABLES!$B$7,VARIABLES!$B$9,0)</f>
        <v>10580.083333333334</v>
      </c>
      <c r="AK29" s="27">
        <f t="shared" si="6"/>
        <v>58705.548470679532</v>
      </c>
      <c r="AL29" s="27">
        <f t="shared" si="7"/>
        <v>11696.759373975277</v>
      </c>
      <c r="AM29" s="22">
        <f t="shared" si="8"/>
        <v>275082.16666666674</v>
      </c>
    </row>
    <row r="30" spans="1:39" x14ac:dyDescent="0.2">
      <c r="A30" s="14">
        <v>27</v>
      </c>
      <c r="B30" s="14" t="str">
        <f>TEXT(DATE(VARIABLES!$B$60+INT((VARIABLES!$B$61+A30-2)/12),MOD(VARIABLES!$B$61+A30-2,12)+1,1),"mmm-yy")</f>
        <v>Aug-28</v>
      </c>
      <c r="C30" s="15">
        <f>IF($A30&lt;VARIABLES!$B$7,VARIABLES!$B$5/12,VARIABLES!$B$6/12)</f>
        <v>4.9999999999999996E-2</v>
      </c>
      <c r="D30" s="7">
        <f>IF($A30&lt;VARIABLES!$B$21,0,IF($A30=VARIABLES!$B$21,VARIABLES!$B$22+VARIABLES!$B$23,VARIABLES!$B$23))</f>
        <v>200000</v>
      </c>
      <c r="E30" s="7">
        <f>D30*VARIABLES!$B$24</f>
        <v>1500</v>
      </c>
      <c r="F30" s="7">
        <f>IF($A30&lt;VARIABLES!$B$21,0,(IF($A30=VARIABLES!$B$21,0,G29)+D30)*C30*VARIABLES!$B$25)</f>
        <v>14704.464553443519</v>
      </c>
      <c r="G30" s="7">
        <f>IF($A30&lt;VARIABLES!$B$21,0,(IF($A30=VARIABLES!$B$21,0,G29)+D30)*(1+C30)-F30)</f>
        <v>12337045.760339113</v>
      </c>
      <c r="H30" s="7">
        <f>IF($A30&lt;VARIABLES!$B$28,0,IF($A30=VARIABLES!$B$28,VARIABLES!$B$29+VARIABLES!$B$30,VARIABLES!$B$30))</f>
        <v>40000</v>
      </c>
      <c r="I30" s="7">
        <f>H30*VARIABLES!$B$31</f>
        <v>300</v>
      </c>
      <c r="J30" s="7">
        <f>IF($A30&lt;VARIABLES!$B$28,0,(IF($A30=VARIABLES!$B$28,0,K29)+H30)*C30*VARIABLES!$B$32)</f>
        <v>9514.1289203611977</v>
      </c>
      <c r="K30" s="7">
        <f>IF($A30&lt;VARIABLES!$B$28,0,(IF($A30=VARIABLES!$B$28,0,K29)+H30)*(1+C30)-J30)</f>
        <v>1988452.9443554906</v>
      </c>
      <c r="L30" s="7">
        <f>IF($A30&lt;VARIABLES!$B$35,0,IF($A30=VARIABLES!$B$35,VARIABLES!$B$36+VARIABLES!$B$37,VARIABLES!$B$37))</f>
        <v>0</v>
      </c>
      <c r="M30" s="7">
        <f>L30*VARIABLES!$B$38</f>
        <v>0</v>
      </c>
      <c r="N30" s="7">
        <f>IF($A30&lt;VARIABLES!$B$35,0,(IF($A30=VARIABLES!$B$35,0,O29)+L30)*C30*VARIABLES!$B$39)</f>
        <v>75135.861413427556</v>
      </c>
      <c r="O30" s="7">
        <f>IF($A30&lt;VARIABLES!$B$35,0,(IF($A30=VARIABLES!$B$35,0,O29)+L30)*(1+C30)-N30)</f>
        <v>15703395.03540636</v>
      </c>
      <c r="P30" s="7">
        <f>IF($A30&lt;VARIABLES!$B$42,0,IF($A30=VARIABLES!$B$42,VARIABLES!$B$43+VARIABLES!$B$44,VARIABLES!$B$44))</f>
        <v>20000</v>
      </c>
      <c r="Q30" s="7">
        <f>P30*VARIABLES!$B$45</f>
        <v>150</v>
      </c>
      <c r="R30" s="7">
        <f>IF($A30&lt;VARIABLES!$B$42,0,(IF($A30=VARIABLES!$B$42,0,S29)+P30)*C30*VARIABLES!$B$46)</f>
        <v>1254.9940549030434</v>
      </c>
      <c r="S30" s="7">
        <f>IF($A30&lt;VARIABLES!$B$42,0,(IF($A30=VARIABLES!$B$42,0,S29)+P30)*(1+C30)-R30)</f>
        <v>1052940.0120636537</v>
      </c>
      <c r="T30" s="16">
        <f>IF($A30&lt;VARIABLES!$B$50,0,MIN(VARIABLES!$B$49,INT(($A30-VARIABLES!$B$50)/VARIABLES!$B$51)+1)*VARIABLES!$B$52)</f>
        <v>25</v>
      </c>
      <c r="U30" s="7">
        <f>T30*VARIABLES!$B$54+IF(AND($A30&gt;=VARIABLES!$B$50,MOD($A30-VARIABLES!$B$50,VARIABLES!$B$51)=0,INT(($A30-VARIABLES!$B$50)/VARIABLES!$B$51)&lt;VARIABLES!$B$49),VARIABLES!$B$52*VARIABLES!$B$53,0)</f>
        <v>175000</v>
      </c>
      <c r="V30" s="7">
        <f>U30*VARIABLES!$B$55</f>
        <v>1312.5</v>
      </c>
      <c r="W30" s="7">
        <f>IF($A30&lt;VARIABLES!$B$50,0,(IF($A30&lt;VARIABLES!$B$50+1,0,X29)+U30)*C30*VARIABLES!$B$56)</f>
        <v>23124.99398176499</v>
      </c>
      <c r="X30" s="7">
        <f>IF($A30&lt;VARIABLES!$B$50,0,(IF($A30&lt;VARIABLES!$B$50+1,0,X29)+U30)*(1+C30)-W30)</f>
        <v>4833123.7421888839</v>
      </c>
      <c r="Y30" s="7">
        <f t="shared" si="0"/>
        <v>435000</v>
      </c>
      <c r="Z30" s="7">
        <f t="shared" si="1"/>
        <v>3262.5</v>
      </c>
      <c r="AA30" s="7">
        <f t="shared" si="2"/>
        <v>123734.44292390031</v>
      </c>
      <c r="AB30" s="17">
        <f t="shared" si="3"/>
        <v>126996.94292390031</v>
      </c>
      <c r="AC30" s="18">
        <f t="shared" si="4"/>
        <v>35914957.494353503</v>
      </c>
      <c r="AD30" s="7">
        <f>IF($A30=1,VARIABLES!$B$12,0)</f>
        <v>0</v>
      </c>
      <c r="AE30" s="7">
        <f>IF($A30&lt;=3,VARIABLES!$B$13,IF($A30&lt;=6,VARIABLES!$B$14,VARIABLES!$B$15))</f>
        <v>46000</v>
      </c>
      <c r="AF30" s="7">
        <f>IF(MOD($A30,12)=0,AC30*VARIABLES!$B$16,0)</f>
        <v>0</v>
      </c>
      <c r="AG30" s="7">
        <f>VARIABLES!$B$17</f>
        <v>5000</v>
      </c>
      <c r="AH30" s="7">
        <f>IF(MOD($A30,12)=0,VARIABLES!$B$18,0)</f>
        <v>0</v>
      </c>
      <c r="AI30" s="19">
        <f t="shared" si="5"/>
        <v>51000</v>
      </c>
      <c r="AJ30" s="20">
        <f>IF($A30&lt;VARIABLES!$B$7,VARIABLES!$B$9,0)</f>
        <v>10580.083333333334</v>
      </c>
      <c r="AK30" s="21">
        <f t="shared" si="6"/>
        <v>65416.859590566972</v>
      </c>
      <c r="AL30" s="21">
        <f t="shared" si="7"/>
        <v>77113.618964542256</v>
      </c>
      <c r="AM30" s="22">
        <f t="shared" si="8"/>
        <v>285662.25000000006</v>
      </c>
    </row>
    <row r="31" spans="1:39" x14ac:dyDescent="0.2">
      <c r="A31" s="23">
        <v>28</v>
      </c>
      <c r="B31" s="23" t="str">
        <f>TEXT(DATE(VARIABLES!$B$60+INT((VARIABLES!$B$61+A31-2)/12),MOD(VARIABLES!$B$61+A31-2,12)+1,1),"mmm-yy")</f>
        <v>Sept-28</v>
      </c>
      <c r="C31" s="24">
        <f>IF($A31&lt;VARIABLES!$B$7,VARIABLES!$B$5/12,VARIABLES!$B$6/12)</f>
        <v>4.9999999999999996E-2</v>
      </c>
      <c r="D31" s="25">
        <f>IF($A31&lt;VARIABLES!$B$21,0,IF($A31=VARIABLES!$B$21,VARIABLES!$B$22+VARIABLES!$B$23,VARIABLES!$B$23))</f>
        <v>200000</v>
      </c>
      <c r="E31" s="25">
        <f>D31*VARIABLES!$B$24</f>
        <v>1500</v>
      </c>
      <c r="F31" s="25">
        <f>IF($A31&lt;VARIABLES!$B$21,0,(IF($A31=VARIABLES!$B$21,0,G30)+D31)*C31*VARIABLES!$B$25)</f>
        <v>15671.307200423891</v>
      </c>
      <c r="G31" s="25">
        <f>IF($A31&lt;VARIABLES!$B$21,0,(IF($A31=VARIABLES!$B$21,0,G30)+D31)*(1+C31)-F31)</f>
        <v>13148226.741155645</v>
      </c>
      <c r="H31" s="25">
        <f>IF($A31&lt;VARIABLES!$B$28,0,IF($A31=VARIABLES!$B$28,VARIABLES!$B$29+VARIABLES!$B$30,VARIABLES!$B$30))</f>
        <v>40000</v>
      </c>
      <c r="I31" s="25">
        <f>H31*VARIABLES!$B$31</f>
        <v>300</v>
      </c>
      <c r="J31" s="25">
        <f>IF($A31&lt;VARIABLES!$B$28,0,(IF($A31=VARIABLES!$B$28,0,K30)+H31)*C31*VARIABLES!$B$32)</f>
        <v>10142.264721777452</v>
      </c>
      <c r="K31" s="25">
        <f>IF($A31&lt;VARIABLES!$B$28,0,(IF($A31=VARIABLES!$B$28,0,K30)+H31)*(1+C31)-J31)</f>
        <v>2119733.3268514881</v>
      </c>
      <c r="L31" s="25">
        <f>IF($A31&lt;VARIABLES!$B$35,0,IF($A31=VARIABLES!$B$35,VARIABLES!$B$36+VARIABLES!$B$37,VARIABLES!$B$37))</f>
        <v>0</v>
      </c>
      <c r="M31" s="25">
        <f>L31*VARIABLES!$B$38</f>
        <v>0</v>
      </c>
      <c r="N31" s="25">
        <f>IF($A31&lt;VARIABLES!$B$35,0,(IF($A31=VARIABLES!$B$35,0,O30)+L31)*C31*VARIABLES!$B$39)</f>
        <v>78516.975177031796</v>
      </c>
      <c r="O31" s="25">
        <f>IF($A31&lt;VARIABLES!$B$35,0,(IF($A31=VARIABLES!$B$35,0,O30)+L31)*(1+C31)-N31)</f>
        <v>16410047.811999649</v>
      </c>
      <c r="P31" s="25">
        <f>IF($A31&lt;VARIABLES!$B$42,0,IF($A31=VARIABLES!$B$42,VARIABLES!$B$43+VARIABLES!$B$44,VARIABLES!$B$44))</f>
        <v>20000</v>
      </c>
      <c r="Q31" s="25">
        <f>P31*VARIABLES!$B$45</f>
        <v>150</v>
      </c>
      <c r="R31" s="25">
        <f>IF($A31&lt;VARIABLES!$B$42,0,(IF($A31=VARIABLES!$B$42,0,S30)+P31)*C31*VARIABLES!$B$46)</f>
        <v>1341.1750150795669</v>
      </c>
      <c r="S31" s="25">
        <f>IF($A31&lt;VARIABLES!$B$42,0,(IF($A31=VARIABLES!$B$42,0,S30)+P31)*(1+C31)-R31)</f>
        <v>1125245.8376517568</v>
      </c>
      <c r="T31" s="26">
        <f>IF($A31&lt;VARIABLES!$B$50,0,MIN(VARIABLES!$B$49,INT(($A31-VARIABLES!$B$50)/VARIABLES!$B$51)+1)*VARIABLES!$B$52)</f>
        <v>26</v>
      </c>
      <c r="U31" s="25">
        <f>T31*VARIABLES!$B$54+IF(AND($A31&gt;=VARIABLES!$B$50,MOD($A31-VARIABLES!$B$50,VARIABLES!$B$51)=0,INT(($A31-VARIABLES!$B$50)/VARIABLES!$B$51)&lt;VARIABLES!$B$49),VARIABLES!$B$52*VARIABLES!$B$53,0)</f>
        <v>180000</v>
      </c>
      <c r="V31" s="25">
        <f>U31*VARIABLES!$B$55</f>
        <v>1350</v>
      </c>
      <c r="W31" s="25">
        <f>IF($A31&lt;VARIABLES!$B$50,0,(IF($A31&lt;VARIABLES!$B$50+1,0,X30)+U31)*C31*VARIABLES!$B$56)</f>
        <v>25065.618710944418</v>
      </c>
      <c r="X31" s="25">
        <f>IF($A31&lt;VARIABLES!$B$50,0,(IF($A31&lt;VARIABLES!$B$50+1,0,X30)+U31)*(1+C31)-W31)</f>
        <v>5238714.3105873838</v>
      </c>
      <c r="Y31" s="25">
        <f t="shared" si="0"/>
        <v>440000</v>
      </c>
      <c r="Z31" s="25">
        <f t="shared" si="1"/>
        <v>3300</v>
      </c>
      <c r="AA31" s="25">
        <f t="shared" si="2"/>
        <v>130737.34082525712</v>
      </c>
      <c r="AB31" s="17">
        <f t="shared" si="3"/>
        <v>134037.34082525712</v>
      </c>
      <c r="AC31" s="18">
        <f t="shared" si="4"/>
        <v>38041968.028245926</v>
      </c>
      <c r="AD31" s="25">
        <f>IF($A31=1,VARIABLES!$B$12,0)</f>
        <v>0</v>
      </c>
      <c r="AE31" s="25">
        <f>IF($A31&lt;=3,VARIABLES!$B$13,IF($A31&lt;=6,VARIABLES!$B$14,VARIABLES!$B$15))</f>
        <v>46000</v>
      </c>
      <c r="AF31" s="25">
        <f>IF(MOD($A31,12)=0,AC31*VARIABLES!$B$16,0)</f>
        <v>0</v>
      </c>
      <c r="AG31" s="25">
        <f>VARIABLES!$B$17</f>
        <v>5000</v>
      </c>
      <c r="AH31" s="25">
        <f>IF(MOD($A31,12)=0,VARIABLES!$B$18,0)</f>
        <v>0</v>
      </c>
      <c r="AI31" s="19">
        <f t="shared" si="5"/>
        <v>51000</v>
      </c>
      <c r="AJ31" s="20">
        <f>IF($A31&lt;VARIABLES!$B$7,VARIABLES!$B$9,0)</f>
        <v>10580.083333333334</v>
      </c>
      <c r="AK31" s="27">
        <f t="shared" si="6"/>
        <v>72457.257491923796</v>
      </c>
      <c r="AL31" s="27">
        <f t="shared" si="7"/>
        <v>149570.87645646604</v>
      </c>
      <c r="AM31" s="22">
        <f t="shared" si="8"/>
        <v>296242.33333333337</v>
      </c>
    </row>
    <row r="32" spans="1:39" x14ac:dyDescent="0.2">
      <c r="A32" s="14">
        <v>29</v>
      </c>
      <c r="B32" s="14" t="str">
        <f>TEXT(DATE(VARIABLES!$B$60+INT((VARIABLES!$B$61+A32-2)/12),MOD(VARIABLES!$B$61+A32-2,12)+1,1),"mmm-yy")</f>
        <v>Oct-28</v>
      </c>
      <c r="C32" s="15">
        <f>IF($A32&lt;VARIABLES!$B$7,VARIABLES!$B$5/12,VARIABLES!$B$6/12)</f>
        <v>4.9999999999999996E-2</v>
      </c>
      <c r="D32" s="7">
        <f>IF($A32&lt;VARIABLES!$B$21,0,IF($A32=VARIABLES!$B$21,VARIABLES!$B$22+VARIABLES!$B$23,VARIABLES!$B$23))</f>
        <v>200000</v>
      </c>
      <c r="E32" s="7">
        <f>D32*VARIABLES!$B$24</f>
        <v>1500</v>
      </c>
      <c r="F32" s="7">
        <f>IF($A32&lt;VARIABLES!$B$21,0,(IF($A32=VARIABLES!$B$21,0,G31)+D32)*C32*VARIABLES!$B$25)</f>
        <v>16685.283426444556</v>
      </c>
      <c r="G32" s="7">
        <f>IF($A32&lt;VARIABLES!$B$21,0,(IF($A32=VARIABLES!$B$21,0,G31)+D32)*(1+C32)-F32)</f>
        <v>13998952.794786982</v>
      </c>
      <c r="H32" s="7">
        <f>IF($A32&lt;VARIABLES!$B$28,0,IF($A32=VARIABLES!$B$28,VARIABLES!$B$29+VARIABLES!$B$30,VARIABLES!$B$30))</f>
        <v>40000</v>
      </c>
      <c r="I32" s="7">
        <f>H32*VARIABLES!$B$31</f>
        <v>300</v>
      </c>
      <c r="J32" s="7">
        <f>IF($A32&lt;VARIABLES!$B$28,0,(IF($A32=VARIABLES!$B$28,0,K31)+H32)*C32*VARIABLES!$B$32)</f>
        <v>10798.666634257439</v>
      </c>
      <c r="K32" s="7">
        <f>IF($A32&lt;VARIABLES!$B$28,0,(IF($A32=VARIABLES!$B$28,0,K31)+H32)*(1+C32)-J32)</f>
        <v>2256921.3265598053</v>
      </c>
      <c r="L32" s="7">
        <f>IF($A32&lt;VARIABLES!$B$35,0,IF($A32=VARIABLES!$B$35,VARIABLES!$B$36+VARIABLES!$B$37,VARIABLES!$B$37))</f>
        <v>0</v>
      </c>
      <c r="M32" s="7">
        <f>L32*VARIABLES!$B$38</f>
        <v>0</v>
      </c>
      <c r="N32" s="7">
        <f>IF($A32&lt;VARIABLES!$B$35,0,(IF($A32=VARIABLES!$B$35,0,O31)+L32)*C32*VARIABLES!$B$39)</f>
        <v>82050.239059998246</v>
      </c>
      <c r="O32" s="7">
        <f>IF($A32&lt;VARIABLES!$B$35,0,(IF($A32=VARIABLES!$B$35,0,O31)+L32)*(1+C32)-N32)</f>
        <v>17148499.963539634</v>
      </c>
      <c r="P32" s="7">
        <f>IF($A32&lt;VARIABLES!$B$42,0,IF($A32=VARIABLES!$B$42,VARIABLES!$B$43+VARIABLES!$B$44,VARIABLES!$B$44))</f>
        <v>20000</v>
      </c>
      <c r="Q32" s="7">
        <f>P32*VARIABLES!$B$45</f>
        <v>150</v>
      </c>
      <c r="R32" s="7">
        <f>IF($A32&lt;VARIABLES!$B$42,0,(IF($A32=VARIABLES!$B$42,0,S31)+P32)*C32*VARIABLES!$B$46)</f>
        <v>1431.5572970646961</v>
      </c>
      <c r="S32" s="7">
        <f>IF($A32&lt;VARIABLES!$B$42,0,(IF($A32=VARIABLES!$B$42,0,S31)+P32)*(1+C32)-R32)</f>
        <v>1201076.57223728</v>
      </c>
      <c r="T32" s="16">
        <f>IF($A32&lt;VARIABLES!$B$50,0,MIN(VARIABLES!$B$49,INT(($A32-VARIABLES!$B$50)/VARIABLES!$B$51)+1)*VARIABLES!$B$52)</f>
        <v>27</v>
      </c>
      <c r="U32" s="7">
        <f>T32*VARIABLES!$B$54+IF(AND($A32&gt;=VARIABLES!$B$50,MOD($A32-VARIABLES!$B$50,VARIABLES!$B$51)=0,INT(($A32-VARIABLES!$B$50)/VARIABLES!$B$51)&lt;VARIABLES!$B$49),VARIABLES!$B$52*VARIABLES!$B$53,0)</f>
        <v>185000</v>
      </c>
      <c r="V32" s="7">
        <f>U32*VARIABLES!$B$55</f>
        <v>1387.5</v>
      </c>
      <c r="W32" s="7">
        <f>IF($A32&lt;VARIABLES!$B$50,0,(IF($A32&lt;VARIABLES!$B$50+1,0,X31)+U32)*C32*VARIABLES!$B$56)</f>
        <v>27118.571552936919</v>
      </c>
      <c r="X32" s="7">
        <f>IF($A32&lt;VARIABLES!$B$50,0,(IF($A32&lt;VARIABLES!$B$50+1,0,X31)+U32)*(1+C32)-W32)</f>
        <v>5667781.4545638161</v>
      </c>
      <c r="Y32" s="7">
        <f t="shared" si="0"/>
        <v>445000</v>
      </c>
      <c r="Z32" s="7">
        <f t="shared" si="1"/>
        <v>3337.5</v>
      </c>
      <c r="AA32" s="7">
        <f t="shared" si="2"/>
        <v>138084.31797070184</v>
      </c>
      <c r="AB32" s="17">
        <f t="shared" si="3"/>
        <v>141421.81797070184</v>
      </c>
      <c r="AC32" s="18">
        <f t="shared" si="4"/>
        <v>40273232.111687519</v>
      </c>
      <c r="AD32" s="7">
        <f>IF($A32=1,VARIABLES!$B$12,0)</f>
        <v>0</v>
      </c>
      <c r="AE32" s="7">
        <f>IF($A32&lt;=3,VARIABLES!$B$13,IF($A32&lt;=6,VARIABLES!$B$14,VARIABLES!$B$15))</f>
        <v>46000</v>
      </c>
      <c r="AF32" s="7">
        <f>IF(MOD($A32,12)=0,AC32*VARIABLES!$B$16,0)</f>
        <v>0</v>
      </c>
      <c r="AG32" s="7">
        <f>VARIABLES!$B$17</f>
        <v>5000</v>
      </c>
      <c r="AH32" s="7">
        <f>IF(MOD($A32,12)=0,VARIABLES!$B$18,0)</f>
        <v>0</v>
      </c>
      <c r="AI32" s="19">
        <f t="shared" si="5"/>
        <v>51000</v>
      </c>
      <c r="AJ32" s="20">
        <f>IF($A32&lt;VARIABLES!$B$7,VARIABLES!$B$9,0)</f>
        <v>10580.083333333334</v>
      </c>
      <c r="AK32" s="21">
        <f t="shared" si="6"/>
        <v>79841.734637368514</v>
      </c>
      <c r="AL32" s="21">
        <f t="shared" si="7"/>
        <v>229412.61109383457</v>
      </c>
      <c r="AM32" s="22">
        <f t="shared" si="8"/>
        <v>306822.41666666669</v>
      </c>
    </row>
    <row r="33" spans="1:39" x14ac:dyDescent="0.2">
      <c r="A33" s="23">
        <v>30</v>
      </c>
      <c r="B33" s="23" t="str">
        <f>TEXT(DATE(VARIABLES!$B$60+INT((VARIABLES!$B$61+A33-2)/12),MOD(VARIABLES!$B$61+A33-2,12)+1,1),"mmm-yy")</f>
        <v>Nov-28</v>
      </c>
      <c r="C33" s="24">
        <f>IF($A33&lt;VARIABLES!$B$7,VARIABLES!$B$5/12,VARIABLES!$B$6/12)</f>
        <v>4.9999999999999996E-2</v>
      </c>
      <c r="D33" s="25">
        <f>IF($A33&lt;VARIABLES!$B$21,0,IF($A33=VARIABLES!$B$21,VARIABLES!$B$22+VARIABLES!$B$23,VARIABLES!$B$23))</f>
        <v>200000</v>
      </c>
      <c r="E33" s="25">
        <f>D33*VARIABLES!$B$24</f>
        <v>1500</v>
      </c>
      <c r="F33" s="25">
        <f>IF($A33&lt;VARIABLES!$B$21,0,(IF($A33=VARIABLES!$B$21,0,G32)+D33)*C33*VARIABLES!$B$25)</f>
        <v>17748.690993483728</v>
      </c>
      <c r="G33" s="25">
        <f>IF($A33&lt;VARIABLES!$B$21,0,(IF($A33=VARIABLES!$B$21,0,G32)+D33)*(1+C33)-F33)</f>
        <v>14891151.743532848</v>
      </c>
      <c r="H33" s="25">
        <f>IF($A33&lt;VARIABLES!$B$28,0,IF($A33=VARIABLES!$B$28,VARIABLES!$B$29+VARIABLES!$B$30,VARIABLES!$B$30))</f>
        <v>40000</v>
      </c>
      <c r="I33" s="25">
        <f>H33*VARIABLES!$B$31</f>
        <v>300</v>
      </c>
      <c r="J33" s="25">
        <f>IF($A33&lt;VARIABLES!$B$28,0,(IF($A33=VARIABLES!$B$28,0,K32)+H33)*C33*VARIABLES!$B$32)</f>
        <v>11484.606632799027</v>
      </c>
      <c r="K33" s="25">
        <f>IF($A33&lt;VARIABLES!$B$28,0,(IF($A33=VARIABLES!$B$28,0,K32)+H33)*(1+C33)-J33)</f>
        <v>2400282.7862549969</v>
      </c>
      <c r="L33" s="25">
        <f>IF($A33&lt;VARIABLES!$B$35,0,IF($A33=VARIABLES!$B$35,VARIABLES!$B$36+VARIABLES!$B$37,VARIABLES!$B$37))</f>
        <v>0</v>
      </c>
      <c r="M33" s="25">
        <f>L33*VARIABLES!$B$38</f>
        <v>0</v>
      </c>
      <c r="N33" s="25">
        <f>IF($A33&lt;VARIABLES!$B$35,0,(IF($A33=VARIABLES!$B$35,0,O32)+L33)*C33*VARIABLES!$B$39)</f>
        <v>85742.499817698161</v>
      </c>
      <c r="O33" s="25">
        <f>IF($A33&lt;VARIABLES!$B$35,0,(IF($A33=VARIABLES!$B$35,0,O32)+L33)*(1+C33)-N33)</f>
        <v>17920182.461898915</v>
      </c>
      <c r="P33" s="25">
        <f>IF($A33&lt;VARIABLES!$B$42,0,IF($A33=VARIABLES!$B$42,VARIABLES!$B$43+VARIABLES!$B$44,VARIABLES!$B$44))</f>
        <v>20000</v>
      </c>
      <c r="Q33" s="25">
        <f>P33*VARIABLES!$B$45</f>
        <v>150</v>
      </c>
      <c r="R33" s="25">
        <f>IF($A33&lt;VARIABLES!$B$42,0,(IF($A33=VARIABLES!$B$42,0,S32)+P33)*C33*VARIABLES!$B$46)</f>
        <v>1526.3457152966</v>
      </c>
      <c r="S33" s="25">
        <f>IF($A33&lt;VARIABLES!$B$42,0,(IF($A33=VARIABLES!$B$42,0,S32)+P33)*(1+C33)-R33)</f>
        <v>1280604.0551338473</v>
      </c>
      <c r="T33" s="26">
        <f>IF($A33&lt;VARIABLES!$B$50,0,MIN(VARIABLES!$B$49,INT(($A33-VARIABLES!$B$50)/VARIABLES!$B$51)+1)*VARIABLES!$B$52)</f>
        <v>28</v>
      </c>
      <c r="U33" s="25">
        <f>T33*VARIABLES!$B$54+IF(AND($A33&gt;=VARIABLES!$B$50,MOD($A33-VARIABLES!$B$50,VARIABLES!$B$51)=0,INT(($A33-VARIABLES!$B$50)/VARIABLES!$B$51)&lt;VARIABLES!$B$49),VARIABLES!$B$52*VARIABLES!$B$53,0)</f>
        <v>190000</v>
      </c>
      <c r="V33" s="25">
        <f>U33*VARIABLES!$B$55</f>
        <v>1425</v>
      </c>
      <c r="W33" s="25">
        <f>IF($A33&lt;VARIABLES!$B$50,0,(IF($A33&lt;VARIABLES!$B$50+1,0,X32)+U33)*C33*VARIABLES!$B$56)</f>
        <v>29288.90727281908</v>
      </c>
      <c r="X33" s="25">
        <f>IF($A33&lt;VARIABLES!$B$50,0,(IF($A33&lt;VARIABLES!$B$50+1,0,X32)+U33)*(1+C33)-W33)</f>
        <v>6121381.6200191882</v>
      </c>
      <c r="Y33" s="25">
        <f t="shared" si="0"/>
        <v>450000</v>
      </c>
      <c r="Z33" s="25">
        <f t="shared" si="1"/>
        <v>3375</v>
      </c>
      <c r="AA33" s="25">
        <f t="shared" si="2"/>
        <v>145791.05043209658</v>
      </c>
      <c r="AB33" s="17">
        <f t="shared" si="3"/>
        <v>149166.05043209658</v>
      </c>
      <c r="AC33" s="18">
        <f t="shared" si="4"/>
        <v>42613602.666839801</v>
      </c>
      <c r="AD33" s="25">
        <f>IF($A33=1,VARIABLES!$B$12,0)</f>
        <v>0</v>
      </c>
      <c r="AE33" s="25">
        <f>IF($A33&lt;=3,VARIABLES!$B$13,IF($A33&lt;=6,VARIABLES!$B$14,VARIABLES!$B$15))</f>
        <v>46000</v>
      </c>
      <c r="AF33" s="25">
        <f>IF(MOD($A33,12)=0,AC33*VARIABLES!$B$16,0)</f>
        <v>0</v>
      </c>
      <c r="AG33" s="25">
        <f>VARIABLES!$B$17</f>
        <v>5000</v>
      </c>
      <c r="AH33" s="25">
        <f>IF(MOD($A33,12)=0,VARIABLES!$B$18,0)</f>
        <v>0</v>
      </c>
      <c r="AI33" s="19">
        <f t="shared" si="5"/>
        <v>51000</v>
      </c>
      <c r="AJ33" s="20">
        <f>IF($A33&lt;VARIABLES!$B$7,VARIABLES!$B$9,0)</f>
        <v>10580.083333333334</v>
      </c>
      <c r="AK33" s="27">
        <f t="shared" si="6"/>
        <v>87585.967098763256</v>
      </c>
      <c r="AL33" s="27">
        <f t="shared" si="7"/>
        <v>316998.57819259784</v>
      </c>
      <c r="AM33" s="22">
        <f t="shared" si="8"/>
        <v>317402.5</v>
      </c>
    </row>
    <row r="34" spans="1:39" x14ac:dyDescent="0.2">
      <c r="A34" s="14">
        <v>31</v>
      </c>
      <c r="B34" s="14" t="str">
        <f>TEXT(DATE(VARIABLES!$B$60+INT((VARIABLES!$B$61+A34-2)/12),MOD(VARIABLES!$B$61+A34-2,12)+1,1),"mmm-yy")</f>
        <v>Dec-28</v>
      </c>
      <c r="C34" s="15">
        <f>IF($A34&lt;VARIABLES!$B$7,VARIABLES!$B$5/12,VARIABLES!$B$6/12)</f>
        <v>4.9999999999999996E-2</v>
      </c>
      <c r="D34" s="7">
        <f>IF($A34&lt;VARIABLES!$B$21,0,IF($A34=VARIABLES!$B$21,VARIABLES!$B$22+VARIABLES!$B$23,VARIABLES!$B$23))</f>
        <v>200000</v>
      </c>
      <c r="E34" s="7">
        <f>D34*VARIABLES!$B$24</f>
        <v>1500</v>
      </c>
      <c r="F34" s="7">
        <f>IF($A34&lt;VARIABLES!$B$21,0,(IF($A34=VARIABLES!$B$21,0,G33)+D34)*C34*VARIABLES!$B$25)</f>
        <v>18863.939679416057</v>
      </c>
      <c r="G34" s="7">
        <f>IF($A34&lt;VARIABLES!$B$21,0,(IF($A34=VARIABLES!$B$21,0,G33)+D34)*(1+C34)-F34)</f>
        <v>15826845.391030075</v>
      </c>
      <c r="H34" s="7">
        <f>IF($A34&lt;VARIABLES!$B$28,0,IF($A34=VARIABLES!$B$28,VARIABLES!$B$29+VARIABLES!$B$30,VARIABLES!$B$30))</f>
        <v>40000</v>
      </c>
      <c r="I34" s="7">
        <f>H34*VARIABLES!$B$31</f>
        <v>300</v>
      </c>
      <c r="J34" s="7">
        <f>IF($A34&lt;VARIABLES!$B$28,0,(IF($A34=VARIABLES!$B$28,0,K33)+H34)*C34*VARIABLES!$B$32)</f>
        <v>12201.413931274983</v>
      </c>
      <c r="K34" s="7">
        <f>IF($A34&lt;VARIABLES!$B$28,0,(IF($A34=VARIABLES!$B$28,0,K33)+H34)*(1+C34)-J34)</f>
        <v>2550095.5116364718</v>
      </c>
      <c r="L34" s="7">
        <f>IF($A34&lt;VARIABLES!$B$35,0,IF($A34=VARIABLES!$B$35,VARIABLES!$B$36+VARIABLES!$B$37,VARIABLES!$B$37))</f>
        <v>0</v>
      </c>
      <c r="M34" s="7">
        <f>L34*VARIABLES!$B$38</f>
        <v>0</v>
      </c>
      <c r="N34" s="7">
        <f>IF($A34&lt;VARIABLES!$B$35,0,(IF($A34=VARIABLES!$B$35,0,O33)+L34)*C34*VARIABLES!$B$39)</f>
        <v>89600.912309494568</v>
      </c>
      <c r="O34" s="7">
        <f>IF($A34&lt;VARIABLES!$B$35,0,(IF($A34=VARIABLES!$B$35,0,O33)+L34)*(1+C34)-N34)</f>
        <v>18726590.672684368</v>
      </c>
      <c r="P34" s="7">
        <f>IF($A34&lt;VARIABLES!$B$42,0,IF($A34=VARIABLES!$B$42,VARIABLES!$B$43+VARIABLES!$B$44,VARIABLES!$B$44))</f>
        <v>20000</v>
      </c>
      <c r="Q34" s="7">
        <f>P34*VARIABLES!$B$45</f>
        <v>150</v>
      </c>
      <c r="R34" s="7">
        <f>IF($A34&lt;VARIABLES!$B$42,0,(IF($A34=VARIABLES!$B$42,0,S33)+P34)*C34*VARIABLES!$B$46)</f>
        <v>1625.755068917309</v>
      </c>
      <c r="S34" s="7">
        <f>IF($A34&lt;VARIABLES!$B$42,0,(IF($A34=VARIABLES!$B$42,0,S33)+P34)*(1+C34)-R34)</f>
        <v>1364008.5028216224</v>
      </c>
      <c r="T34" s="16">
        <f>IF($A34&lt;VARIABLES!$B$50,0,MIN(VARIABLES!$B$49,INT(($A34-VARIABLES!$B$50)/VARIABLES!$B$51)+1)*VARIABLES!$B$52)</f>
        <v>29</v>
      </c>
      <c r="U34" s="7">
        <f>T34*VARIABLES!$B$54+IF(AND($A34&gt;=VARIABLES!$B$50,MOD($A34-VARIABLES!$B$50,VARIABLES!$B$51)=0,INT(($A34-VARIABLES!$B$50)/VARIABLES!$B$51)&lt;VARIABLES!$B$49),VARIABLES!$B$52*VARIABLES!$B$53,0)</f>
        <v>195000</v>
      </c>
      <c r="V34" s="7">
        <f>U34*VARIABLES!$B$55</f>
        <v>1462.5</v>
      </c>
      <c r="W34" s="7">
        <f>IF($A34&lt;VARIABLES!$B$50,0,(IF($A34&lt;VARIABLES!$B$50+1,0,X33)+U34)*C34*VARIABLES!$B$56)</f>
        <v>31581.908100095941</v>
      </c>
      <c r="X34" s="7">
        <f>IF($A34&lt;VARIABLES!$B$50,0,(IF($A34&lt;VARIABLES!$B$50+1,0,X33)+U34)*(1+C34)-W34)</f>
        <v>6600618.7929200521</v>
      </c>
      <c r="Y34" s="7">
        <f t="shared" si="0"/>
        <v>455000</v>
      </c>
      <c r="Z34" s="7">
        <f t="shared" si="1"/>
        <v>3412.5</v>
      </c>
      <c r="AA34" s="7">
        <f t="shared" si="2"/>
        <v>153873.92908919885</v>
      </c>
      <c r="AB34" s="17">
        <f t="shared" si="3"/>
        <v>157286.42908919885</v>
      </c>
      <c r="AC34" s="18">
        <f t="shared" si="4"/>
        <v>45068158.871092588</v>
      </c>
      <c r="AD34" s="7">
        <f>IF($A34=1,VARIABLES!$B$12,0)</f>
        <v>0</v>
      </c>
      <c r="AE34" s="7">
        <f>IF($A34&lt;=3,VARIABLES!$B$13,IF($A34&lt;=6,VARIABLES!$B$14,VARIABLES!$B$15))</f>
        <v>46000</v>
      </c>
      <c r="AF34" s="7">
        <f>IF(MOD($A34,12)=0,AC34*VARIABLES!$B$16,0)</f>
        <v>0</v>
      </c>
      <c r="AG34" s="7">
        <f>VARIABLES!$B$17</f>
        <v>5000</v>
      </c>
      <c r="AH34" s="7">
        <f>IF(MOD($A34,12)=0,VARIABLES!$B$18,0)</f>
        <v>0</v>
      </c>
      <c r="AI34" s="19">
        <f t="shared" si="5"/>
        <v>51000</v>
      </c>
      <c r="AJ34" s="20">
        <f>IF($A34&lt;VARIABLES!$B$7,VARIABLES!$B$9,0)</f>
        <v>10580.083333333334</v>
      </c>
      <c r="AK34" s="21">
        <f t="shared" si="6"/>
        <v>95706.345755865521</v>
      </c>
      <c r="AL34" s="21">
        <f t="shared" si="7"/>
        <v>412704.92394846334</v>
      </c>
      <c r="AM34" s="22">
        <f t="shared" si="8"/>
        <v>327982.58333333331</v>
      </c>
    </row>
    <row r="35" spans="1:39" x14ac:dyDescent="0.2">
      <c r="A35" s="23">
        <v>32</v>
      </c>
      <c r="B35" s="23" t="str">
        <f>TEXT(DATE(VARIABLES!$B$60+INT((VARIABLES!$B$61+A35-2)/12),MOD(VARIABLES!$B$61+A35-2,12)+1,1),"mmm-yy")</f>
        <v>Jan-29</v>
      </c>
      <c r="C35" s="24">
        <f>IF($A35&lt;VARIABLES!$B$7,VARIABLES!$B$5/12,VARIABLES!$B$6/12)</f>
        <v>4.9999999999999996E-2</v>
      </c>
      <c r="D35" s="25">
        <f>IF($A35&lt;VARIABLES!$B$21,0,IF($A35=VARIABLES!$B$21,VARIABLES!$B$22+VARIABLES!$B$23,VARIABLES!$B$23))</f>
        <v>200000</v>
      </c>
      <c r="E35" s="25">
        <f>D35*VARIABLES!$B$24</f>
        <v>1500</v>
      </c>
      <c r="F35" s="25">
        <f>IF($A35&lt;VARIABLES!$B$21,0,(IF($A35=VARIABLES!$B$21,0,G34)+D35)*C35*VARIABLES!$B$25)</f>
        <v>20033.556738787593</v>
      </c>
      <c r="G35" s="25">
        <f>IF($A35&lt;VARIABLES!$B$21,0,(IF($A35=VARIABLES!$B$21,0,G34)+D35)*(1+C35)-F35)</f>
        <v>16808154.103842795</v>
      </c>
      <c r="H35" s="25">
        <f>IF($A35&lt;VARIABLES!$B$28,0,IF($A35=VARIABLES!$B$28,VARIABLES!$B$29+VARIABLES!$B$30,VARIABLES!$B$30))</f>
        <v>40000</v>
      </c>
      <c r="I35" s="25">
        <f>H35*VARIABLES!$B$31</f>
        <v>300</v>
      </c>
      <c r="J35" s="25">
        <f>IF($A35&lt;VARIABLES!$B$28,0,(IF($A35=VARIABLES!$B$28,0,K34)+H35)*C35*VARIABLES!$B$32)</f>
        <v>12950.477558182358</v>
      </c>
      <c r="K35" s="25">
        <f>IF($A35&lt;VARIABLES!$B$28,0,(IF($A35=VARIABLES!$B$28,0,K34)+H35)*(1+C35)-J35)</f>
        <v>2706649.809660113</v>
      </c>
      <c r="L35" s="25">
        <f>IF($A35&lt;VARIABLES!$B$35,0,IF($A35=VARIABLES!$B$35,VARIABLES!$B$36+VARIABLES!$B$37,VARIABLES!$B$37))</f>
        <v>0</v>
      </c>
      <c r="M35" s="25">
        <f>L35*VARIABLES!$B$38</f>
        <v>0</v>
      </c>
      <c r="N35" s="25">
        <f>IF($A35&lt;VARIABLES!$B$35,0,(IF($A35=VARIABLES!$B$35,0,O34)+L35)*C35*VARIABLES!$B$39)</f>
        <v>93632.953363421839</v>
      </c>
      <c r="O35" s="25">
        <f>IF($A35&lt;VARIABLES!$B$35,0,(IF($A35=VARIABLES!$B$35,0,O34)+L35)*(1+C35)-N35)</f>
        <v>19569287.252955165</v>
      </c>
      <c r="P35" s="25">
        <f>IF($A35&lt;VARIABLES!$B$42,0,IF($A35=VARIABLES!$B$42,VARIABLES!$B$43+VARIABLES!$B$44,VARIABLES!$B$44))</f>
        <v>20000</v>
      </c>
      <c r="Q35" s="25">
        <f>P35*VARIABLES!$B$45</f>
        <v>150</v>
      </c>
      <c r="R35" s="25">
        <f>IF($A35&lt;VARIABLES!$B$42,0,(IF($A35=VARIABLES!$B$42,0,S34)+P35)*C35*VARIABLES!$B$46)</f>
        <v>1730.0106285270278</v>
      </c>
      <c r="S35" s="25">
        <f>IF($A35&lt;VARIABLES!$B$42,0,(IF($A35=VARIABLES!$B$42,0,S34)+P35)*(1+C35)-R35)</f>
        <v>1451478.9173341766</v>
      </c>
      <c r="T35" s="26">
        <f>IF($A35&lt;VARIABLES!$B$50,0,MIN(VARIABLES!$B$49,INT(($A35-VARIABLES!$B$50)/VARIABLES!$B$51)+1)*VARIABLES!$B$52)</f>
        <v>30</v>
      </c>
      <c r="U35" s="25">
        <f>T35*VARIABLES!$B$54+IF(AND($A35&gt;=VARIABLES!$B$50,MOD($A35-VARIABLES!$B$50,VARIABLES!$B$51)=0,INT(($A35-VARIABLES!$B$50)/VARIABLES!$B$51)&lt;VARIABLES!$B$49),VARIABLES!$B$52*VARIABLES!$B$53,0)</f>
        <v>200000</v>
      </c>
      <c r="V35" s="25">
        <f>U35*VARIABLES!$B$55</f>
        <v>1500</v>
      </c>
      <c r="W35" s="25">
        <f>IF($A35&lt;VARIABLES!$B$50,0,(IF($A35&lt;VARIABLES!$B$50+1,0,X34)+U35)*C35*VARIABLES!$B$56)</f>
        <v>34003.093964600259</v>
      </c>
      <c r="X35" s="25">
        <f>IF($A35&lt;VARIABLES!$B$50,0,(IF($A35&lt;VARIABLES!$B$50+1,0,X34)+U35)*(1+C35)-W35)</f>
        <v>7106646.6386014549</v>
      </c>
      <c r="Y35" s="25">
        <f t="shared" si="0"/>
        <v>460000</v>
      </c>
      <c r="Z35" s="25">
        <f t="shared" si="1"/>
        <v>3450</v>
      </c>
      <c r="AA35" s="25">
        <f t="shared" si="2"/>
        <v>162350.09225351908</v>
      </c>
      <c r="AB35" s="17">
        <f t="shared" si="3"/>
        <v>165800.09225351908</v>
      </c>
      <c r="AC35" s="18">
        <f t="shared" si="4"/>
        <v>47642216.722393699</v>
      </c>
      <c r="AD35" s="25">
        <f>IF($A35=1,VARIABLES!$B$12,0)</f>
        <v>0</v>
      </c>
      <c r="AE35" s="25">
        <f>IF($A35&lt;=3,VARIABLES!$B$13,IF($A35&lt;=6,VARIABLES!$B$14,VARIABLES!$B$15))</f>
        <v>46000</v>
      </c>
      <c r="AF35" s="25">
        <f>IF(MOD($A35,12)=0,AC35*VARIABLES!$B$16,0)</f>
        <v>0</v>
      </c>
      <c r="AG35" s="25">
        <f>VARIABLES!$B$17</f>
        <v>5000</v>
      </c>
      <c r="AH35" s="25">
        <f>IF(MOD($A35,12)=0,VARIABLES!$B$18,0)</f>
        <v>0</v>
      </c>
      <c r="AI35" s="19">
        <f t="shared" si="5"/>
        <v>51000</v>
      </c>
      <c r="AJ35" s="20">
        <f>IF($A35&lt;VARIABLES!$B$7,VARIABLES!$B$9,0)</f>
        <v>10580.083333333334</v>
      </c>
      <c r="AK35" s="27">
        <f t="shared" si="6"/>
        <v>104220.00892018575</v>
      </c>
      <c r="AL35" s="27">
        <f t="shared" si="7"/>
        <v>516924.93286864908</v>
      </c>
      <c r="AM35" s="22">
        <f t="shared" si="8"/>
        <v>338562.66666666663</v>
      </c>
    </row>
    <row r="36" spans="1:39" x14ac:dyDescent="0.2">
      <c r="A36" s="14">
        <v>33</v>
      </c>
      <c r="B36" s="14" t="str">
        <f>TEXT(DATE(VARIABLES!$B$60+INT((VARIABLES!$B$61+A36-2)/12),MOD(VARIABLES!$B$61+A36-2,12)+1,1),"mmm-yy")</f>
        <v>Feb-29</v>
      </c>
      <c r="C36" s="15">
        <f>IF($A36&lt;VARIABLES!$B$7,VARIABLES!$B$5/12,VARIABLES!$B$6/12)</f>
        <v>4.9999999999999996E-2</v>
      </c>
      <c r="D36" s="7">
        <f>IF($A36&lt;VARIABLES!$B$21,0,IF($A36=VARIABLES!$B$21,VARIABLES!$B$22+VARIABLES!$B$23,VARIABLES!$B$23))</f>
        <v>200000</v>
      </c>
      <c r="E36" s="7">
        <f>D36*VARIABLES!$B$24</f>
        <v>1500</v>
      </c>
      <c r="F36" s="7">
        <f>IF($A36&lt;VARIABLES!$B$21,0,(IF($A36=VARIABLES!$B$21,0,G35)+D36)*C36*VARIABLES!$B$25)</f>
        <v>21260.192629803496</v>
      </c>
      <c r="G36" s="7">
        <f>IF($A36&lt;VARIABLES!$B$21,0,(IF($A36=VARIABLES!$B$21,0,G35)+D36)*(1+C36)-F36)</f>
        <v>17837301.616405133</v>
      </c>
      <c r="H36" s="7">
        <f>IF($A36&lt;VARIABLES!$B$28,0,IF($A36=VARIABLES!$B$28,VARIABLES!$B$29+VARIABLES!$B$30,VARIABLES!$B$30))</f>
        <v>40000</v>
      </c>
      <c r="I36" s="7">
        <f>H36*VARIABLES!$B$31</f>
        <v>300</v>
      </c>
      <c r="J36" s="7">
        <f>IF($A36&lt;VARIABLES!$B$28,0,(IF($A36=VARIABLES!$B$28,0,K35)+H36)*C36*VARIABLES!$B$32)</f>
        <v>13733.249048300566</v>
      </c>
      <c r="K36" s="7">
        <f>IF($A36&lt;VARIABLES!$B$28,0,(IF($A36=VARIABLES!$B$28,0,K35)+H36)*(1+C36)-J36)</f>
        <v>2870249.0510948184</v>
      </c>
      <c r="L36" s="7">
        <f>IF($A36&lt;VARIABLES!$B$35,0,IF($A36=VARIABLES!$B$35,VARIABLES!$B$36+VARIABLES!$B$37,VARIABLES!$B$37))</f>
        <v>0</v>
      </c>
      <c r="M36" s="7">
        <f>L36*VARIABLES!$B$38</f>
        <v>0</v>
      </c>
      <c r="N36" s="7">
        <f>IF($A36&lt;VARIABLES!$B$35,0,(IF($A36=VARIABLES!$B$35,0,O35)+L36)*C36*VARIABLES!$B$39)</f>
        <v>97846.43626477581</v>
      </c>
      <c r="O36" s="7">
        <f>IF($A36&lt;VARIABLES!$B$35,0,(IF($A36=VARIABLES!$B$35,0,O35)+L36)*(1+C36)-N36)</f>
        <v>20449905.17933815</v>
      </c>
      <c r="P36" s="7">
        <f>IF($A36&lt;VARIABLES!$B$42,0,IF($A36=VARIABLES!$B$42,VARIABLES!$B$43+VARIABLES!$B$44,VARIABLES!$B$44))</f>
        <v>20000</v>
      </c>
      <c r="Q36" s="7">
        <f>P36*VARIABLES!$B$45</f>
        <v>150</v>
      </c>
      <c r="R36" s="7">
        <f>IF($A36&lt;VARIABLES!$B$42,0,(IF($A36=VARIABLES!$B$42,0,S35)+P36)*C36*VARIABLES!$B$46)</f>
        <v>1839.3486466677205</v>
      </c>
      <c r="S36" s="7">
        <f>IF($A36&lt;VARIABLES!$B$42,0,(IF($A36=VARIABLES!$B$42,0,S35)+P36)*(1+C36)-R36)</f>
        <v>1543213.5145542177</v>
      </c>
      <c r="T36" s="16">
        <f>IF($A36&lt;VARIABLES!$B$50,0,MIN(VARIABLES!$B$49,INT(($A36-VARIABLES!$B$50)/VARIABLES!$B$51)+1)*VARIABLES!$B$52)</f>
        <v>31</v>
      </c>
      <c r="U36" s="7">
        <f>T36*VARIABLES!$B$54+IF(AND($A36&gt;=VARIABLES!$B$50,MOD($A36-VARIABLES!$B$50,VARIABLES!$B$51)=0,INT(($A36-VARIABLES!$B$50)/VARIABLES!$B$51)&lt;VARIABLES!$B$49),VARIABLES!$B$52*VARIABLES!$B$53,0)</f>
        <v>205000</v>
      </c>
      <c r="V36" s="7">
        <f>U36*VARIABLES!$B$55</f>
        <v>1537.5</v>
      </c>
      <c r="W36" s="7">
        <f>IF($A36&lt;VARIABLES!$B$50,0,(IF($A36&lt;VARIABLES!$B$50+1,0,X35)+U36)*C36*VARIABLES!$B$56)</f>
        <v>36558.233193007269</v>
      </c>
      <c r="X36" s="7">
        <f>IF($A36&lt;VARIABLES!$B$50,0,(IF($A36&lt;VARIABLES!$B$50+1,0,X35)+U36)*(1+C36)-W36)</f>
        <v>7640670.7373385206</v>
      </c>
      <c r="Y36" s="7">
        <f t="shared" si="0"/>
        <v>465000</v>
      </c>
      <c r="Z36" s="7">
        <f t="shared" si="1"/>
        <v>3487.5</v>
      </c>
      <c r="AA36" s="7">
        <f t="shared" si="2"/>
        <v>171237.45978255486</v>
      </c>
      <c r="AB36" s="17">
        <f t="shared" si="3"/>
        <v>174724.95978255486</v>
      </c>
      <c r="AC36" s="18">
        <f t="shared" si="4"/>
        <v>50341340.09873084</v>
      </c>
      <c r="AD36" s="7">
        <f>IF($A36=1,VARIABLES!$B$12,0)</f>
        <v>0</v>
      </c>
      <c r="AE36" s="7">
        <f>IF($A36&lt;=3,VARIABLES!$B$13,IF($A36&lt;=6,VARIABLES!$B$14,VARIABLES!$B$15))</f>
        <v>46000</v>
      </c>
      <c r="AF36" s="7">
        <f>IF(MOD($A36,12)=0,AC36*VARIABLES!$B$16,0)</f>
        <v>0</v>
      </c>
      <c r="AG36" s="7">
        <f>VARIABLES!$B$17</f>
        <v>5000</v>
      </c>
      <c r="AH36" s="7">
        <f>IF(MOD($A36,12)=0,VARIABLES!$B$18,0)</f>
        <v>0</v>
      </c>
      <c r="AI36" s="19">
        <f t="shared" si="5"/>
        <v>51000</v>
      </c>
      <c r="AJ36" s="20">
        <f>IF($A36&lt;VARIABLES!$B$7,VARIABLES!$B$9,0)</f>
        <v>10580.083333333334</v>
      </c>
      <c r="AK36" s="21">
        <f t="shared" si="6"/>
        <v>113144.87644922153</v>
      </c>
      <c r="AL36" s="21">
        <f t="shared" si="7"/>
        <v>630069.80931787065</v>
      </c>
      <c r="AM36" s="22">
        <f t="shared" si="8"/>
        <v>349142.74999999994</v>
      </c>
    </row>
    <row r="37" spans="1:39" x14ac:dyDescent="0.2">
      <c r="A37" s="23">
        <v>34</v>
      </c>
      <c r="B37" s="23" t="str">
        <f>TEXT(DATE(VARIABLES!$B$60+INT((VARIABLES!$B$61+A37-2)/12),MOD(VARIABLES!$B$61+A37-2,12)+1,1),"mmm-yy")</f>
        <v>Mar-29</v>
      </c>
      <c r="C37" s="24">
        <f>IF($A37&lt;VARIABLES!$B$7,VARIABLES!$B$5/12,VARIABLES!$B$6/12)</f>
        <v>4.9999999999999996E-2</v>
      </c>
      <c r="D37" s="25">
        <f>IF($A37&lt;VARIABLES!$B$21,0,IF($A37=VARIABLES!$B$21,VARIABLES!$B$22+VARIABLES!$B$23,VARIABLES!$B$23))</f>
        <v>200000</v>
      </c>
      <c r="E37" s="25">
        <f>D37*VARIABLES!$B$24</f>
        <v>1500</v>
      </c>
      <c r="F37" s="25">
        <f>IF($A37&lt;VARIABLES!$B$21,0,(IF($A37=VARIABLES!$B$21,0,G36)+D37)*C37*VARIABLES!$B$25)</f>
        <v>22546.627020506417</v>
      </c>
      <c r="G37" s="25">
        <f>IF($A37&lt;VARIABLES!$B$21,0,(IF($A37=VARIABLES!$B$21,0,G36)+D37)*(1+C37)-F37)</f>
        <v>18916620.070204884</v>
      </c>
      <c r="H37" s="25">
        <f>IF($A37&lt;VARIABLES!$B$28,0,IF($A37=VARIABLES!$B$28,VARIABLES!$B$29+VARIABLES!$B$30,VARIABLES!$B$30))</f>
        <v>40000</v>
      </c>
      <c r="I37" s="25">
        <f>H37*VARIABLES!$B$31</f>
        <v>300</v>
      </c>
      <c r="J37" s="25">
        <f>IF($A37&lt;VARIABLES!$B$28,0,(IF($A37=VARIABLES!$B$28,0,K36)+H37)*C37*VARIABLES!$B$32)</f>
        <v>14551.245255474092</v>
      </c>
      <c r="K37" s="25">
        <f>IF($A37&lt;VARIABLES!$B$28,0,(IF($A37=VARIABLES!$B$28,0,K36)+H37)*(1+C37)-J37)</f>
        <v>3041210.2583940853</v>
      </c>
      <c r="L37" s="25">
        <f>IF($A37&lt;VARIABLES!$B$35,0,IF($A37=VARIABLES!$B$35,VARIABLES!$B$36+VARIABLES!$B$37,VARIABLES!$B$37))</f>
        <v>0</v>
      </c>
      <c r="M37" s="25">
        <f>L37*VARIABLES!$B$38</f>
        <v>0</v>
      </c>
      <c r="N37" s="25">
        <f>IF($A37&lt;VARIABLES!$B$35,0,(IF($A37=VARIABLES!$B$35,0,O36)+L37)*C37*VARIABLES!$B$39)</f>
        <v>102249.52589669074</v>
      </c>
      <c r="O37" s="25">
        <f>IF($A37&lt;VARIABLES!$B$35,0,(IF($A37=VARIABLES!$B$35,0,O36)+L37)*(1+C37)-N37)</f>
        <v>21370150.912408367</v>
      </c>
      <c r="P37" s="25">
        <f>IF($A37&lt;VARIABLES!$B$42,0,IF($A37=VARIABLES!$B$42,VARIABLES!$B$43+VARIABLES!$B$44,VARIABLES!$B$44))</f>
        <v>20000</v>
      </c>
      <c r="Q37" s="25">
        <f>P37*VARIABLES!$B$45</f>
        <v>150</v>
      </c>
      <c r="R37" s="25">
        <f>IF($A37&lt;VARIABLES!$B$42,0,(IF($A37=VARIABLES!$B$42,0,S36)+P37)*C37*VARIABLES!$B$46)</f>
        <v>1954.0168931927722</v>
      </c>
      <c r="S37" s="25">
        <f>IF($A37&lt;VARIABLES!$B$42,0,(IF($A37=VARIABLES!$B$42,0,S36)+P37)*(1+C37)-R37)</f>
        <v>1639420.1733887361</v>
      </c>
      <c r="T37" s="26">
        <f>IF($A37&lt;VARIABLES!$B$50,0,MIN(VARIABLES!$B$49,INT(($A37-VARIABLES!$B$50)/VARIABLES!$B$51)+1)*VARIABLES!$B$52)</f>
        <v>32</v>
      </c>
      <c r="U37" s="25">
        <f>T37*VARIABLES!$B$54+IF(AND($A37&gt;=VARIABLES!$B$50,MOD($A37-VARIABLES!$B$50,VARIABLES!$B$51)=0,INT(($A37-VARIABLES!$B$50)/VARIABLES!$B$51)&lt;VARIABLES!$B$49),VARIABLES!$B$52*VARIABLES!$B$53,0)</f>
        <v>210000</v>
      </c>
      <c r="V37" s="25">
        <f>U37*VARIABLES!$B$55</f>
        <v>1575</v>
      </c>
      <c r="W37" s="25">
        <f>IF($A37&lt;VARIABLES!$B$50,0,(IF($A37&lt;VARIABLES!$B$50+1,0,X36)+U37)*C37*VARIABLES!$B$56)</f>
        <v>39253.353686692601</v>
      </c>
      <c r="X37" s="25">
        <f>IF($A37&lt;VARIABLES!$B$50,0,(IF($A37&lt;VARIABLES!$B$50+1,0,X36)+U37)*(1+C37)-W37)</f>
        <v>8203950.920518755</v>
      </c>
      <c r="Y37" s="25">
        <f t="shared" si="0"/>
        <v>470000</v>
      </c>
      <c r="Z37" s="25">
        <f t="shared" si="1"/>
        <v>3525</v>
      </c>
      <c r="AA37" s="25">
        <f t="shared" si="2"/>
        <v>180554.76875255664</v>
      </c>
      <c r="AB37" s="17">
        <f t="shared" si="3"/>
        <v>184079.76875255664</v>
      </c>
      <c r="AC37" s="18">
        <f t="shared" si="4"/>
        <v>53171352.334914826</v>
      </c>
      <c r="AD37" s="25">
        <f>IF($A37=1,VARIABLES!$B$12,0)</f>
        <v>0</v>
      </c>
      <c r="AE37" s="25">
        <f>IF($A37&lt;=3,VARIABLES!$B$13,IF($A37&lt;=6,VARIABLES!$B$14,VARIABLES!$B$15))</f>
        <v>46000</v>
      </c>
      <c r="AF37" s="25">
        <f>IF(MOD($A37,12)=0,AC37*VARIABLES!$B$16,0)</f>
        <v>0</v>
      </c>
      <c r="AG37" s="25">
        <f>VARIABLES!$B$17</f>
        <v>5000</v>
      </c>
      <c r="AH37" s="25">
        <f>IF(MOD($A37,12)=0,VARIABLES!$B$18,0)</f>
        <v>0</v>
      </c>
      <c r="AI37" s="19">
        <f t="shared" si="5"/>
        <v>51000</v>
      </c>
      <c r="AJ37" s="20">
        <f>IF($A37&lt;VARIABLES!$B$7,VARIABLES!$B$9,0)</f>
        <v>10580.083333333334</v>
      </c>
      <c r="AK37" s="27">
        <f t="shared" si="6"/>
        <v>122499.68541922331</v>
      </c>
      <c r="AL37" s="27">
        <f t="shared" si="7"/>
        <v>752569.49473709392</v>
      </c>
      <c r="AM37" s="22">
        <f t="shared" si="8"/>
        <v>359722.83333333326</v>
      </c>
    </row>
    <row r="38" spans="1:39" x14ac:dyDescent="0.2">
      <c r="A38" s="14">
        <v>35</v>
      </c>
      <c r="B38" s="14" t="str">
        <f>TEXT(DATE(VARIABLES!$B$60+INT((VARIABLES!$B$61+A38-2)/12),MOD(VARIABLES!$B$61+A38-2,12)+1,1),"mmm-yy")</f>
        <v>Apr-29</v>
      </c>
      <c r="C38" s="15">
        <f>IF($A38&lt;VARIABLES!$B$7,VARIABLES!$B$5/12,VARIABLES!$B$6/12)</f>
        <v>4.9999999999999996E-2</v>
      </c>
      <c r="D38" s="7">
        <f>IF($A38&lt;VARIABLES!$B$21,0,IF($A38=VARIABLES!$B$21,VARIABLES!$B$22+VARIABLES!$B$23,VARIABLES!$B$23))</f>
        <v>200000</v>
      </c>
      <c r="E38" s="7">
        <f>D38*VARIABLES!$B$24</f>
        <v>1500</v>
      </c>
      <c r="F38" s="7">
        <f>IF($A38&lt;VARIABLES!$B$21,0,(IF($A38=VARIABLES!$B$21,0,G37)+D38)*C38*VARIABLES!$B$25)</f>
        <v>23895.775087756105</v>
      </c>
      <c r="G38" s="7">
        <f>IF($A38&lt;VARIABLES!$B$21,0,(IF($A38=VARIABLES!$B$21,0,G37)+D38)*(1+C38)-F38)</f>
        <v>20048555.298627373</v>
      </c>
      <c r="H38" s="7">
        <f>IF($A38&lt;VARIABLES!$B$28,0,IF($A38=VARIABLES!$B$28,VARIABLES!$B$29+VARIABLES!$B$30,VARIABLES!$B$30))</f>
        <v>40000</v>
      </c>
      <c r="I38" s="7">
        <f>H38*VARIABLES!$B$31</f>
        <v>300</v>
      </c>
      <c r="J38" s="7">
        <f>IF($A38&lt;VARIABLES!$B$28,0,(IF($A38=VARIABLES!$B$28,0,K37)+H38)*C38*VARIABLES!$B$32)</f>
        <v>15406.051291970427</v>
      </c>
      <c r="K38" s="7">
        <f>IF($A38&lt;VARIABLES!$B$28,0,(IF($A38=VARIABLES!$B$28,0,K37)+H38)*(1+C38)-J38)</f>
        <v>3219864.7200218192</v>
      </c>
      <c r="L38" s="7">
        <f>IF($A38&lt;VARIABLES!$B$35,0,IF($A38=VARIABLES!$B$35,VARIABLES!$B$36+VARIABLES!$B$37,VARIABLES!$B$37))</f>
        <v>0</v>
      </c>
      <c r="M38" s="7">
        <f>L38*VARIABLES!$B$38</f>
        <v>0</v>
      </c>
      <c r="N38" s="7">
        <f>IF($A38&lt;VARIABLES!$B$35,0,(IF($A38=VARIABLES!$B$35,0,O37)+L38)*C38*VARIABLES!$B$39)</f>
        <v>106850.75456204182</v>
      </c>
      <c r="O38" s="7">
        <f>IF($A38&lt;VARIABLES!$B$35,0,(IF($A38=VARIABLES!$B$35,0,O37)+L38)*(1+C38)-N38)</f>
        <v>22331807.703466743</v>
      </c>
      <c r="P38" s="7">
        <f>IF($A38&lt;VARIABLES!$B$42,0,IF($A38=VARIABLES!$B$42,VARIABLES!$B$43+VARIABLES!$B$44,VARIABLES!$B$44))</f>
        <v>20000</v>
      </c>
      <c r="Q38" s="7">
        <f>P38*VARIABLES!$B$45</f>
        <v>150</v>
      </c>
      <c r="R38" s="7">
        <f>IF($A38&lt;VARIABLES!$B$42,0,(IF($A38=VARIABLES!$B$42,0,S37)+P38)*C38*VARIABLES!$B$46)</f>
        <v>2074.2752167359199</v>
      </c>
      <c r="S38" s="7">
        <f>IF($A38&lt;VARIABLES!$B$42,0,(IF($A38=VARIABLES!$B$42,0,S37)+P38)*(1+C38)-R38)</f>
        <v>1740316.9068414371</v>
      </c>
      <c r="T38" s="16">
        <f>IF($A38&lt;VARIABLES!$B$50,0,MIN(VARIABLES!$B$49,INT(($A38-VARIABLES!$B$50)/VARIABLES!$B$51)+1)*VARIABLES!$B$52)</f>
        <v>33</v>
      </c>
      <c r="U38" s="7">
        <f>T38*VARIABLES!$B$54+IF(AND($A38&gt;=VARIABLES!$B$50,MOD($A38-VARIABLES!$B$50,VARIABLES!$B$51)=0,INT(($A38-VARIABLES!$B$50)/VARIABLES!$B$51)&lt;VARIABLES!$B$49),VARIABLES!$B$52*VARIABLES!$B$53,0)</f>
        <v>215000</v>
      </c>
      <c r="V38" s="7">
        <f>U38*VARIABLES!$B$55</f>
        <v>1612.5</v>
      </c>
      <c r="W38" s="7">
        <f>IF($A38&lt;VARIABLES!$B$50,0,(IF($A38&lt;VARIABLES!$B$50+1,0,X37)+U38)*C38*VARIABLES!$B$56)</f>
        <v>42094.754602593777</v>
      </c>
      <c r="X38" s="7">
        <f>IF($A38&lt;VARIABLES!$B$50,0,(IF($A38&lt;VARIABLES!$B$50+1,0,X37)+U38)*(1+C38)-W38)</f>
        <v>8797803.711942099</v>
      </c>
      <c r="Y38" s="7">
        <f t="shared" si="0"/>
        <v>475000</v>
      </c>
      <c r="Z38" s="7">
        <f t="shared" si="1"/>
        <v>3562.5</v>
      </c>
      <c r="AA38" s="7">
        <f t="shared" si="2"/>
        <v>190321.61076109807</v>
      </c>
      <c r="AB38" s="17">
        <f t="shared" si="3"/>
        <v>193884.11076109807</v>
      </c>
      <c r="AC38" s="18">
        <f t="shared" si="4"/>
        <v>56138348.340899467</v>
      </c>
      <c r="AD38" s="7">
        <f>IF($A38=1,VARIABLES!$B$12,0)</f>
        <v>0</v>
      </c>
      <c r="AE38" s="7">
        <f>IF($A38&lt;=3,VARIABLES!$B$13,IF($A38&lt;=6,VARIABLES!$B$14,VARIABLES!$B$15))</f>
        <v>46000</v>
      </c>
      <c r="AF38" s="7">
        <f>IF(MOD($A38,12)=0,AC38*VARIABLES!$B$16,0)</f>
        <v>0</v>
      </c>
      <c r="AG38" s="7">
        <f>VARIABLES!$B$17</f>
        <v>5000</v>
      </c>
      <c r="AH38" s="7">
        <f>IF(MOD($A38,12)=0,VARIABLES!$B$18,0)</f>
        <v>0</v>
      </c>
      <c r="AI38" s="19">
        <f t="shared" si="5"/>
        <v>51000</v>
      </c>
      <c r="AJ38" s="20">
        <f>IF($A38&lt;VARIABLES!$B$7,VARIABLES!$B$9,0)</f>
        <v>10580.083333333334</v>
      </c>
      <c r="AK38" s="21">
        <f t="shared" si="6"/>
        <v>132304.02742776473</v>
      </c>
      <c r="AL38" s="21">
        <f t="shared" si="7"/>
        <v>884873.52216485864</v>
      </c>
      <c r="AM38" s="22">
        <f t="shared" si="8"/>
        <v>370302.91666666657</v>
      </c>
    </row>
    <row r="39" spans="1:39" x14ac:dyDescent="0.2">
      <c r="A39" s="23">
        <v>36</v>
      </c>
      <c r="B39" s="23" t="str">
        <f>TEXT(DATE(VARIABLES!$B$60+INT((VARIABLES!$B$61+A39-2)/12),MOD(VARIABLES!$B$61+A39-2,12)+1,1),"mmm-yy")</f>
        <v>May-29</v>
      </c>
      <c r="C39" s="24">
        <f>IF($A39&lt;VARIABLES!$B$7,VARIABLES!$B$5/12,VARIABLES!$B$6/12)</f>
        <v>4.9999999999999996E-2</v>
      </c>
      <c r="D39" s="25">
        <f>IF($A39&lt;VARIABLES!$B$21,0,IF($A39=VARIABLES!$B$21,VARIABLES!$B$22+VARIABLES!$B$23,VARIABLES!$B$23))</f>
        <v>200000</v>
      </c>
      <c r="E39" s="25">
        <f>D39*VARIABLES!$B$24</f>
        <v>1500</v>
      </c>
      <c r="F39" s="25">
        <f>IF($A39&lt;VARIABLES!$B$21,0,(IF($A39=VARIABLES!$B$21,0,G38)+D39)*C39*VARIABLES!$B$25)</f>
        <v>25310.694123284215</v>
      </c>
      <c r="G39" s="25">
        <f>IF($A39&lt;VARIABLES!$B$21,0,(IF($A39=VARIABLES!$B$21,0,G38)+D39)*(1+C39)-F39)</f>
        <v>21235672.369435459</v>
      </c>
      <c r="H39" s="25">
        <f>IF($A39&lt;VARIABLES!$B$28,0,IF($A39=VARIABLES!$B$28,VARIABLES!$B$29+VARIABLES!$B$30,VARIABLES!$B$30))</f>
        <v>40000</v>
      </c>
      <c r="I39" s="25">
        <f>H39*VARIABLES!$B$31</f>
        <v>300</v>
      </c>
      <c r="J39" s="25">
        <f>IF($A39&lt;VARIABLES!$B$28,0,(IF($A39=VARIABLES!$B$28,0,K38)+H39)*C39*VARIABLES!$B$32)</f>
        <v>16299.323600109097</v>
      </c>
      <c r="K39" s="25">
        <f>IF($A39&lt;VARIABLES!$B$28,0,(IF($A39=VARIABLES!$B$28,0,K38)+H39)*(1+C39)-J39)</f>
        <v>3406558.6324228011</v>
      </c>
      <c r="L39" s="25">
        <f>IF($A39&lt;VARIABLES!$B$35,0,IF($A39=VARIABLES!$B$35,VARIABLES!$B$36+VARIABLES!$B$37,VARIABLES!$B$37))</f>
        <v>0</v>
      </c>
      <c r="M39" s="25">
        <f>L39*VARIABLES!$B$38</f>
        <v>0</v>
      </c>
      <c r="N39" s="25">
        <f>IF($A39&lt;VARIABLES!$B$35,0,(IF($A39=VARIABLES!$B$35,0,O38)+L39)*C39*VARIABLES!$B$39)</f>
        <v>111659.03851733371</v>
      </c>
      <c r="O39" s="25">
        <f>IF($A39&lt;VARIABLES!$B$35,0,(IF($A39=VARIABLES!$B$35,0,O38)+L39)*(1+C39)-N39)</f>
        <v>23336739.050122749</v>
      </c>
      <c r="P39" s="25">
        <f>IF($A39&lt;VARIABLES!$B$42,0,IF($A39=VARIABLES!$B$42,VARIABLES!$B$43+VARIABLES!$B$44,VARIABLES!$B$44))</f>
        <v>20000</v>
      </c>
      <c r="Q39" s="25">
        <f>P39*VARIABLES!$B$45</f>
        <v>150</v>
      </c>
      <c r="R39" s="25">
        <f>IF($A39&lt;VARIABLES!$B$42,0,(IF($A39=VARIABLES!$B$42,0,S38)+P39)*C39*VARIABLES!$B$46)</f>
        <v>2200.3961335517961</v>
      </c>
      <c r="S39" s="25">
        <f>IF($A39&lt;VARIABLES!$B$42,0,(IF($A39=VARIABLES!$B$42,0,S38)+P39)*(1+C39)-R39)</f>
        <v>1846132.3560499572</v>
      </c>
      <c r="T39" s="26">
        <f>IF($A39&lt;VARIABLES!$B$50,0,MIN(VARIABLES!$B$49,INT(($A39-VARIABLES!$B$50)/VARIABLES!$B$51)+1)*VARIABLES!$B$52)</f>
        <v>34</v>
      </c>
      <c r="U39" s="25">
        <f>T39*VARIABLES!$B$54+IF(AND($A39&gt;=VARIABLES!$B$50,MOD($A39-VARIABLES!$B$50,VARIABLES!$B$51)=0,INT(($A39-VARIABLES!$B$50)/VARIABLES!$B$51)&lt;VARIABLES!$B$49),VARIABLES!$B$52*VARIABLES!$B$53,0)</f>
        <v>220000</v>
      </c>
      <c r="V39" s="25">
        <f>U39*VARIABLES!$B$55</f>
        <v>1650</v>
      </c>
      <c r="W39" s="25">
        <f>IF($A39&lt;VARIABLES!$B$50,0,(IF($A39&lt;VARIABLES!$B$50+1,0,X38)+U39)*C39*VARIABLES!$B$56)</f>
        <v>45089.018559710494</v>
      </c>
      <c r="X39" s="25">
        <f>IF($A39&lt;VARIABLES!$B$50,0,(IF($A39&lt;VARIABLES!$B$50+1,0,X38)+U39)*(1+C39)-W39)</f>
        <v>9423604.8789794929</v>
      </c>
      <c r="Y39" s="25">
        <f t="shared" si="0"/>
        <v>480000</v>
      </c>
      <c r="Z39" s="25">
        <f t="shared" si="1"/>
        <v>3600</v>
      </c>
      <c r="AA39" s="25">
        <f t="shared" si="2"/>
        <v>200558.4709339893</v>
      </c>
      <c r="AB39" s="17">
        <f t="shared" si="3"/>
        <v>204158.4709339893</v>
      </c>
      <c r="AC39" s="18">
        <f t="shared" si="4"/>
        <v>59248707.287010461</v>
      </c>
      <c r="AD39" s="25">
        <f>IF($A39=1,VARIABLES!$B$12,0)</f>
        <v>0</v>
      </c>
      <c r="AE39" s="25">
        <f>IF($A39&lt;=3,VARIABLES!$B$13,IF($A39&lt;=6,VARIABLES!$B$14,VARIABLES!$B$15))</f>
        <v>46000</v>
      </c>
      <c r="AF39" s="25">
        <f>IF(MOD($A39,12)=0,AC39*VARIABLES!$B$16,0)</f>
        <v>148121.76821752614</v>
      </c>
      <c r="AG39" s="25">
        <f>VARIABLES!$B$17</f>
        <v>5000</v>
      </c>
      <c r="AH39" s="25">
        <f>IF(MOD($A39,12)=0,VARIABLES!$B$18,0)</f>
        <v>3000</v>
      </c>
      <c r="AI39" s="19">
        <f t="shared" si="5"/>
        <v>202121.76821752614</v>
      </c>
      <c r="AJ39" s="20">
        <f>IF($A39&lt;VARIABLES!$B$7,VARIABLES!$B$9,0)</f>
        <v>10580.083333333334</v>
      </c>
      <c r="AK39" s="27">
        <f t="shared" si="6"/>
        <v>-8543.3806168701758</v>
      </c>
      <c r="AL39" s="27">
        <f t="shared" si="7"/>
        <v>876330.14154798852</v>
      </c>
      <c r="AM39" s="22">
        <f t="shared" si="8"/>
        <v>380882.99999999988</v>
      </c>
    </row>
    <row r="40" spans="1:39" x14ac:dyDescent="0.2">
      <c r="A40" s="14">
        <v>37</v>
      </c>
      <c r="B40" s="14" t="str">
        <f>TEXT(DATE(VARIABLES!$B$60+INT((VARIABLES!$B$61+A40-2)/12),MOD(VARIABLES!$B$61+A40-2,12)+1,1),"mmm-yy")</f>
        <v>Jun-29</v>
      </c>
      <c r="C40" s="15">
        <f>IF($A40&lt;VARIABLES!$B$7,VARIABLES!$B$5/12,VARIABLES!$B$6/12)</f>
        <v>8.3333333333333332E-3</v>
      </c>
      <c r="D40" s="7">
        <f>IF($A40&lt;VARIABLES!$B$21,0,IF($A40=VARIABLES!$B$21,VARIABLES!$B$22+VARIABLES!$B$23,VARIABLES!$B$23))</f>
        <v>200000</v>
      </c>
      <c r="E40" s="7">
        <f>D40*VARIABLES!$B$24</f>
        <v>1500</v>
      </c>
      <c r="F40" s="7">
        <f>IF($A40&lt;VARIABLES!$B$21,0,(IF($A40=VARIABLES!$B$21,0,G39)+D40)*C40*VARIABLES!$B$25)</f>
        <v>4465.7650769657212</v>
      </c>
      <c r="G40" s="7">
        <f>IF($A40&lt;VARIABLES!$B$21,0,(IF($A40=VARIABLES!$B$21,0,G39)+D40)*(1+C40)-F40)</f>
        <v>21609837.207437124</v>
      </c>
      <c r="H40" s="7">
        <f>IF($A40&lt;VARIABLES!$B$28,0,IF($A40=VARIABLES!$B$28,VARIABLES!$B$29+VARIABLES!$B$30,VARIABLES!$B$30))</f>
        <v>40000</v>
      </c>
      <c r="I40" s="7">
        <f>H40*VARIABLES!$B$31</f>
        <v>300</v>
      </c>
      <c r="J40" s="7">
        <f>IF($A40&lt;VARIABLES!$B$28,0,(IF($A40=VARIABLES!$B$28,0,K39)+H40)*C40*VARIABLES!$B$32)</f>
        <v>2872.1321936856675</v>
      </c>
      <c r="K40" s="7">
        <f>IF($A40&lt;VARIABLES!$B$28,0,(IF($A40=VARIABLES!$B$28,0,K39)+H40)*(1+C40)-J40)</f>
        <v>3472407.8221659721</v>
      </c>
      <c r="L40" s="7">
        <f>IF($A40&lt;VARIABLES!$B$35,0,IF($A40=VARIABLES!$B$35,VARIABLES!$B$36+VARIABLES!$B$37,VARIABLES!$B$37))</f>
        <v>0</v>
      </c>
      <c r="M40" s="7">
        <f>L40*VARIABLES!$B$38</f>
        <v>0</v>
      </c>
      <c r="N40" s="7">
        <f>IF($A40&lt;VARIABLES!$B$35,0,(IF($A40=VARIABLES!$B$35,0,O39)+L40)*C40*VARIABLES!$B$39)</f>
        <v>19447.282541768956</v>
      </c>
      <c r="O40" s="7">
        <f>IF($A40&lt;VARIABLES!$B$35,0,(IF($A40=VARIABLES!$B$35,0,O39)+L40)*(1+C40)-N40)</f>
        <v>23511764.592998669</v>
      </c>
      <c r="P40" s="7">
        <f>IF($A40&lt;VARIABLES!$B$42,0,IF($A40=VARIABLES!$B$42,VARIABLES!$B$43+VARIABLES!$B$44,VARIABLES!$B$44))</f>
        <v>20000</v>
      </c>
      <c r="Q40" s="7">
        <f>P40*VARIABLES!$B$45</f>
        <v>150</v>
      </c>
      <c r="R40" s="7">
        <f>IF($A40&lt;VARIABLES!$B$42,0,(IF($A40=VARIABLES!$B$42,0,S39)+P40)*C40*VARIABLES!$B$46)</f>
        <v>388.77757417707443</v>
      </c>
      <c r="S40" s="7">
        <f>IF($A40&lt;VARIABLES!$B$42,0,(IF($A40=VARIABLES!$B$42,0,S39)+P40)*(1+C40)-R40)</f>
        <v>1881294.6814428631</v>
      </c>
      <c r="T40" s="16">
        <f>IF($A40&lt;VARIABLES!$B$50,0,MIN(VARIABLES!$B$49,INT(($A40-VARIABLES!$B$50)/VARIABLES!$B$51)+1)*VARIABLES!$B$52)</f>
        <v>35</v>
      </c>
      <c r="U40" s="7">
        <f>T40*VARIABLES!$B$54+IF(AND($A40&gt;=VARIABLES!$B$50,MOD($A40-VARIABLES!$B$50,VARIABLES!$B$51)=0,INT(($A40-VARIABLES!$B$50)/VARIABLES!$B$51)&lt;VARIABLES!$B$49),VARIABLES!$B$52*VARIABLES!$B$53,0)</f>
        <v>225000</v>
      </c>
      <c r="V40" s="7">
        <f>U40*VARIABLES!$B$55</f>
        <v>1687.5</v>
      </c>
      <c r="W40" s="7">
        <f>IF($A40&lt;VARIABLES!$B$50,0,(IF($A40&lt;VARIABLES!$B$50+1,0,X39)+U40)*C40*VARIABLES!$B$56)</f>
        <v>8040.5040658162443</v>
      </c>
      <c r="X40" s="7">
        <f>IF($A40&lt;VARIABLES!$B$50,0,(IF($A40&lt;VARIABLES!$B$50+1,0,X39)+U40)*(1+C40)-W40)</f>
        <v>9720969.4155718405</v>
      </c>
      <c r="Y40" s="7">
        <f t="shared" si="0"/>
        <v>485000</v>
      </c>
      <c r="Z40" s="7">
        <f t="shared" si="1"/>
        <v>3637.5</v>
      </c>
      <c r="AA40" s="7">
        <f t="shared" si="2"/>
        <v>35214.461452413663</v>
      </c>
      <c r="AB40" s="17">
        <f t="shared" si="3"/>
        <v>38851.961452413663</v>
      </c>
      <c r="AC40" s="18">
        <f t="shared" si="4"/>
        <v>60196273.719616465</v>
      </c>
      <c r="AD40" s="7">
        <f>IF($A40=1,VARIABLES!$B$12,0)</f>
        <v>0</v>
      </c>
      <c r="AE40" s="7">
        <f>IF($A40&lt;=3,VARIABLES!$B$13,IF($A40&lt;=6,VARIABLES!$B$14,VARIABLES!$B$15))</f>
        <v>46000</v>
      </c>
      <c r="AF40" s="7">
        <f>IF(MOD($A40,12)=0,AC40*VARIABLES!$B$16,0)</f>
        <v>0</v>
      </c>
      <c r="AG40" s="7">
        <f>VARIABLES!$B$17</f>
        <v>5000</v>
      </c>
      <c r="AH40" s="7">
        <f>IF(MOD($A40,12)=0,VARIABLES!$B$18,0)</f>
        <v>0</v>
      </c>
      <c r="AI40" s="19">
        <f t="shared" si="5"/>
        <v>51000</v>
      </c>
      <c r="AJ40" s="20">
        <f>IF($A40&lt;VARIABLES!$B$7,VARIABLES!$B$9,0)</f>
        <v>0</v>
      </c>
      <c r="AK40" s="21">
        <f t="shared" si="6"/>
        <v>-12148.038547586337</v>
      </c>
      <c r="AL40" s="21">
        <f t="shared" si="7"/>
        <v>876330.14154798852</v>
      </c>
      <c r="AM40" s="22">
        <f t="shared" si="8"/>
        <v>368734.96145241352</v>
      </c>
    </row>
    <row r="41" spans="1:39" x14ac:dyDescent="0.2">
      <c r="A41" s="23">
        <v>38</v>
      </c>
      <c r="B41" s="23" t="str">
        <f>TEXT(DATE(VARIABLES!$B$60+INT((VARIABLES!$B$61+A41-2)/12),MOD(VARIABLES!$B$61+A41-2,12)+1,1),"mmm-yy")</f>
        <v>Jul-29</v>
      </c>
      <c r="C41" s="24">
        <f>IF($A41&lt;VARIABLES!$B$7,VARIABLES!$B$5/12,VARIABLES!$B$6/12)</f>
        <v>8.3333333333333332E-3</v>
      </c>
      <c r="D41" s="25">
        <f>IF($A41&lt;VARIABLES!$B$21,0,IF($A41=VARIABLES!$B$21,VARIABLES!$B$22+VARIABLES!$B$23,VARIABLES!$B$23))</f>
        <v>200000</v>
      </c>
      <c r="E41" s="25">
        <f>D41*VARIABLES!$B$24</f>
        <v>1500</v>
      </c>
      <c r="F41" s="25">
        <f>IF($A41&lt;VARIABLES!$B$21,0,(IF($A41=VARIABLES!$B$21,0,G40)+D41)*C41*VARIABLES!$B$25)</f>
        <v>4543.7160848827343</v>
      </c>
      <c r="G41" s="25">
        <f>IF($A41&lt;VARIABLES!$B$21,0,(IF($A41=VARIABLES!$B$21,0,G40)+D41)*(1+C41)-F41)</f>
        <v>21987042.13474755</v>
      </c>
      <c r="H41" s="25">
        <f>IF($A41&lt;VARIABLES!$B$28,0,IF($A41=VARIABLES!$B$28,VARIABLES!$B$29+VARIABLES!$B$30,VARIABLES!$B$30))</f>
        <v>40000</v>
      </c>
      <c r="I41" s="25">
        <f>H41*VARIABLES!$B$31</f>
        <v>300</v>
      </c>
      <c r="J41" s="25">
        <f>IF($A41&lt;VARIABLES!$B$28,0,(IF($A41=VARIABLES!$B$28,0,K40)+H41)*C41*VARIABLES!$B$32)</f>
        <v>2927.0065184716436</v>
      </c>
      <c r="K41" s="25">
        <f>IF($A41&lt;VARIABLES!$B$28,0,(IF($A41=VARIABLES!$B$28,0,K40)+H41)*(1+C41)-J41)</f>
        <v>3538750.8808322167</v>
      </c>
      <c r="L41" s="25">
        <f>IF($A41&lt;VARIABLES!$B$35,0,IF($A41=VARIABLES!$B$35,VARIABLES!$B$36+VARIABLES!$B$37,VARIABLES!$B$37))</f>
        <v>0</v>
      </c>
      <c r="M41" s="25">
        <f>L41*VARIABLES!$B$38</f>
        <v>0</v>
      </c>
      <c r="N41" s="25">
        <f>IF($A41&lt;VARIABLES!$B$35,0,(IF($A41=VARIABLES!$B$35,0,O40)+L41)*C41*VARIABLES!$B$39)</f>
        <v>19593.137160832222</v>
      </c>
      <c r="O41" s="25">
        <f>IF($A41&lt;VARIABLES!$B$35,0,(IF($A41=VARIABLES!$B$35,0,O40)+L41)*(1+C41)-N41)</f>
        <v>23688102.827446155</v>
      </c>
      <c r="P41" s="25">
        <f>IF($A41&lt;VARIABLES!$B$42,0,IF($A41=VARIABLES!$B$42,VARIABLES!$B$43+VARIABLES!$B$44,VARIABLES!$B$44))</f>
        <v>20000</v>
      </c>
      <c r="Q41" s="25">
        <f>P41*VARIABLES!$B$45</f>
        <v>150</v>
      </c>
      <c r="R41" s="25">
        <f>IF($A41&lt;VARIABLES!$B$42,0,(IF($A41=VARIABLES!$B$42,0,S40)+P41)*C41*VARIABLES!$B$46)</f>
        <v>396.10305863392983</v>
      </c>
      <c r="S41" s="25">
        <f>IF($A41&lt;VARIABLES!$B$42,0,(IF($A41=VARIABLES!$B$42,0,S40)+P41)*(1+C41)-R41)</f>
        <v>1916742.7007295864</v>
      </c>
      <c r="T41" s="26">
        <f>IF($A41&lt;VARIABLES!$B$50,0,MIN(VARIABLES!$B$49,INT(($A41-VARIABLES!$B$50)/VARIABLES!$B$51)+1)*VARIABLES!$B$52)</f>
        <v>36</v>
      </c>
      <c r="U41" s="25">
        <f>T41*VARIABLES!$B$54+IF(AND($A41&gt;=VARIABLES!$B$50,MOD($A41-VARIABLES!$B$50,VARIABLES!$B$51)=0,INT(($A41-VARIABLES!$B$50)/VARIABLES!$B$51)&lt;VARIABLES!$B$49),VARIABLES!$B$52*VARIABLES!$B$53,0)</f>
        <v>230000</v>
      </c>
      <c r="V41" s="25">
        <f>U41*VARIABLES!$B$55</f>
        <v>1725</v>
      </c>
      <c r="W41" s="25">
        <f>IF($A41&lt;VARIABLES!$B$50,0,(IF($A41&lt;VARIABLES!$B$50+1,0,X40)+U41)*C41*VARIABLES!$B$56)</f>
        <v>8292.4745129765342</v>
      </c>
      <c r="X41" s="25">
        <f>IF($A41&lt;VARIABLES!$B$50,0,(IF($A41&lt;VARIABLES!$B$50+1,0,X40)+U41)*(1+C41)-W41)</f>
        <v>10025601.686188631</v>
      </c>
      <c r="Y41" s="25">
        <f t="shared" si="0"/>
        <v>490000</v>
      </c>
      <c r="Z41" s="25">
        <f t="shared" si="1"/>
        <v>3675</v>
      </c>
      <c r="AA41" s="25">
        <f t="shared" si="2"/>
        <v>35752.437335797062</v>
      </c>
      <c r="AB41" s="17">
        <f t="shared" si="3"/>
        <v>39427.437335797062</v>
      </c>
      <c r="AC41" s="18">
        <f t="shared" si="4"/>
        <v>61156240.22994414</v>
      </c>
      <c r="AD41" s="25">
        <f>IF($A41=1,VARIABLES!$B$12,0)</f>
        <v>0</v>
      </c>
      <c r="AE41" s="25">
        <f>IF($A41&lt;=3,VARIABLES!$B$13,IF($A41&lt;=6,VARIABLES!$B$14,VARIABLES!$B$15))</f>
        <v>46000</v>
      </c>
      <c r="AF41" s="25">
        <f>IF(MOD($A41,12)=0,AC41*VARIABLES!$B$16,0)</f>
        <v>0</v>
      </c>
      <c r="AG41" s="25">
        <f>VARIABLES!$B$17</f>
        <v>5000</v>
      </c>
      <c r="AH41" s="25">
        <f>IF(MOD($A41,12)=0,VARIABLES!$B$18,0)</f>
        <v>0</v>
      </c>
      <c r="AI41" s="19">
        <f t="shared" si="5"/>
        <v>51000</v>
      </c>
      <c r="AJ41" s="20">
        <f>IF($A41&lt;VARIABLES!$B$7,VARIABLES!$B$9,0)</f>
        <v>0</v>
      </c>
      <c r="AK41" s="27">
        <f t="shared" si="6"/>
        <v>-11572.562664202938</v>
      </c>
      <c r="AL41" s="27">
        <f t="shared" si="7"/>
        <v>876330.14154798852</v>
      </c>
      <c r="AM41" s="22">
        <f t="shared" si="8"/>
        <v>357162.39878821059</v>
      </c>
    </row>
    <row r="42" spans="1:39" x14ac:dyDescent="0.2">
      <c r="A42" s="14">
        <v>39</v>
      </c>
      <c r="B42" s="14" t="str">
        <f>TEXT(DATE(VARIABLES!$B$60+INT((VARIABLES!$B$61+A42-2)/12),MOD(VARIABLES!$B$61+A42-2,12)+1,1),"mmm-yy")</f>
        <v>Aug-29</v>
      </c>
      <c r="C42" s="15">
        <f>IF($A42&lt;VARIABLES!$B$7,VARIABLES!$B$5/12,VARIABLES!$B$6/12)</f>
        <v>8.3333333333333332E-3</v>
      </c>
      <c r="D42" s="7">
        <f>IF($A42&lt;VARIABLES!$B$21,0,IF($A42=VARIABLES!$B$21,VARIABLES!$B$22+VARIABLES!$B$23,VARIABLES!$B$23))</f>
        <v>200000</v>
      </c>
      <c r="E42" s="7">
        <f>D42*VARIABLES!$B$24</f>
        <v>1500</v>
      </c>
      <c r="F42" s="7">
        <f>IF($A42&lt;VARIABLES!$B$21,0,(IF($A42=VARIABLES!$B$21,0,G41)+D42)*C42*VARIABLES!$B$25)</f>
        <v>4622.3004447390731</v>
      </c>
      <c r="G42" s="7">
        <f>IF($A42&lt;VARIABLES!$B$21,0,(IF($A42=VARIABLES!$B$21,0,G41)+D42)*(1+C42)-F42)</f>
        <v>22367311.85209237</v>
      </c>
      <c r="H42" s="7">
        <f>IF($A42&lt;VARIABLES!$B$28,0,IF($A42=VARIABLES!$B$28,VARIABLES!$B$29+VARIABLES!$B$30,VARIABLES!$B$30))</f>
        <v>40000</v>
      </c>
      <c r="I42" s="7">
        <f>H42*VARIABLES!$B$31</f>
        <v>300</v>
      </c>
      <c r="J42" s="7">
        <f>IF($A42&lt;VARIABLES!$B$28,0,(IF($A42=VARIABLES!$B$28,0,K41)+H42)*C42*VARIABLES!$B$32)</f>
        <v>2982.2924006935141</v>
      </c>
      <c r="K42" s="7">
        <f>IF($A42&lt;VARIABLES!$B$28,0,(IF($A42=VARIABLES!$B$28,0,K41)+H42)*(1+C42)-J42)</f>
        <v>3605591.5124384584</v>
      </c>
      <c r="L42" s="7">
        <f>IF($A42&lt;VARIABLES!$B$35,0,IF($A42=VARIABLES!$B$35,VARIABLES!$B$36+VARIABLES!$B$37,VARIABLES!$B$37))</f>
        <v>0</v>
      </c>
      <c r="M42" s="7">
        <f>L42*VARIABLES!$B$38</f>
        <v>0</v>
      </c>
      <c r="N42" s="7">
        <f>IF($A42&lt;VARIABLES!$B$35,0,(IF($A42=VARIABLES!$B$35,0,O41)+L42)*C42*VARIABLES!$B$39)</f>
        <v>19740.085689538464</v>
      </c>
      <c r="O42" s="7">
        <f>IF($A42&lt;VARIABLES!$B$35,0,(IF($A42=VARIABLES!$B$35,0,O41)+L42)*(1+C42)-N42)</f>
        <v>23865763.598652001</v>
      </c>
      <c r="P42" s="7">
        <f>IF($A42&lt;VARIABLES!$B$42,0,IF($A42=VARIABLES!$B$42,VARIABLES!$B$43+VARIABLES!$B$44,VARIABLES!$B$44))</f>
        <v>20000</v>
      </c>
      <c r="Q42" s="7">
        <f>P42*VARIABLES!$B$45</f>
        <v>150</v>
      </c>
      <c r="R42" s="7">
        <f>IF($A42&lt;VARIABLES!$B$42,0,(IF($A42=VARIABLES!$B$42,0,S41)+P42)*C42*VARIABLES!$B$46)</f>
        <v>403.48806265199715</v>
      </c>
      <c r="S42" s="7">
        <f>IF($A42&lt;VARIABLES!$B$42,0,(IF($A42=VARIABLES!$B$42,0,S41)+P42)*(1+C42)-R42)</f>
        <v>1952478.7351730142</v>
      </c>
      <c r="T42" s="16">
        <f>IF($A42&lt;VARIABLES!$B$50,0,MIN(VARIABLES!$B$49,INT(($A42-VARIABLES!$B$50)/VARIABLES!$B$51)+1)*VARIABLES!$B$52)</f>
        <v>37</v>
      </c>
      <c r="U42" s="7">
        <f>T42*VARIABLES!$B$54+IF(AND($A42&gt;=VARIABLES!$B$50,MOD($A42-VARIABLES!$B$50,VARIABLES!$B$51)=0,INT(($A42-VARIABLES!$B$50)/VARIABLES!$B$51)&lt;VARIABLES!$B$49),VARIABLES!$B$52*VARIABLES!$B$53,0)</f>
        <v>235000</v>
      </c>
      <c r="V42" s="7">
        <f>U42*VARIABLES!$B$55</f>
        <v>1762.5</v>
      </c>
      <c r="W42" s="7">
        <f>IF($A42&lt;VARIABLES!$B$50,0,(IF($A42&lt;VARIABLES!$B$50+1,0,X41)+U42)*C42*VARIABLES!$B$56)</f>
        <v>8550.5014051571925</v>
      </c>
      <c r="X42" s="7">
        <f>IF($A42&lt;VARIABLES!$B$50,0,(IF($A42&lt;VARIABLES!$B$50+1,0,X41)+U42)*(1+C42)-W42)</f>
        <v>10337556.198835045</v>
      </c>
      <c r="Y42" s="7">
        <f t="shared" si="0"/>
        <v>495000</v>
      </c>
      <c r="Z42" s="7">
        <f t="shared" si="1"/>
        <v>3712.5</v>
      </c>
      <c r="AA42" s="7">
        <f t="shared" si="2"/>
        <v>36298.668002780243</v>
      </c>
      <c r="AB42" s="17">
        <f t="shared" si="3"/>
        <v>40011.168002780243</v>
      </c>
      <c r="AC42" s="18">
        <f t="shared" si="4"/>
        <v>62128701.897190891</v>
      </c>
      <c r="AD42" s="7">
        <f>IF($A42=1,VARIABLES!$B$12,0)</f>
        <v>0</v>
      </c>
      <c r="AE42" s="7">
        <f>IF($A42&lt;=3,VARIABLES!$B$13,IF($A42&lt;=6,VARIABLES!$B$14,VARIABLES!$B$15))</f>
        <v>46000</v>
      </c>
      <c r="AF42" s="7">
        <f>IF(MOD($A42,12)=0,AC42*VARIABLES!$B$16,0)</f>
        <v>0</v>
      </c>
      <c r="AG42" s="7">
        <f>VARIABLES!$B$17</f>
        <v>5000</v>
      </c>
      <c r="AH42" s="7">
        <f>IF(MOD($A42,12)=0,VARIABLES!$B$18,0)</f>
        <v>0</v>
      </c>
      <c r="AI42" s="19">
        <f t="shared" si="5"/>
        <v>51000</v>
      </c>
      <c r="AJ42" s="20">
        <f>IF($A42&lt;VARIABLES!$B$7,VARIABLES!$B$9,0)</f>
        <v>0</v>
      </c>
      <c r="AK42" s="21">
        <f t="shared" si="6"/>
        <v>-10988.831997219757</v>
      </c>
      <c r="AL42" s="21">
        <f t="shared" si="7"/>
        <v>876330.14154798852</v>
      </c>
      <c r="AM42" s="22">
        <f t="shared" si="8"/>
        <v>346173.56679099082</v>
      </c>
    </row>
    <row r="43" spans="1:39" x14ac:dyDescent="0.2">
      <c r="A43" s="23">
        <v>40</v>
      </c>
      <c r="B43" s="23" t="str">
        <f>TEXT(DATE(VARIABLES!$B$60+INT((VARIABLES!$B$61+A43-2)/12),MOD(VARIABLES!$B$61+A43-2,12)+1,1),"mmm-yy")</f>
        <v>Sept-29</v>
      </c>
      <c r="C43" s="24">
        <f>IF($A43&lt;VARIABLES!$B$7,VARIABLES!$B$5/12,VARIABLES!$B$6/12)</f>
        <v>8.3333333333333332E-3</v>
      </c>
      <c r="D43" s="25">
        <f>IF($A43&lt;VARIABLES!$B$21,0,IF($A43=VARIABLES!$B$21,VARIABLES!$B$22+VARIABLES!$B$23,VARIABLES!$B$23))</f>
        <v>200000</v>
      </c>
      <c r="E43" s="25">
        <f>D43*VARIABLES!$B$24</f>
        <v>1500</v>
      </c>
      <c r="F43" s="25">
        <f>IF($A43&lt;VARIABLES!$B$21,0,(IF($A43=VARIABLES!$B$21,0,G42)+D43)*C43*VARIABLES!$B$25)</f>
        <v>4701.5233025192438</v>
      </c>
      <c r="G43" s="25">
        <f>IF($A43&lt;VARIABLES!$B$21,0,(IF($A43=VARIABLES!$B$21,0,G42)+D43)*(1+C43)-F43)</f>
        <v>22750671.260890622</v>
      </c>
      <c r="H43" s="25">
        <f>IF($A43&lt;VARIABLES!$B$28,0,IF($A43=VARIABLES!$B$28,VARIABLES!$B$29+VARIABLES!$B$30,VARIABLES!$B$30))</f>
        <v>40000</v>
      </c>
      <c r="I43" s="25">
        <f>H43*VARIABLES!$B$31</f>
        <v>300</v>
      </c>
      <c r="J43" s="25">
        <f>IF($A43&lt;VARIABLES!$B$28,0,(IF($A43=VARIABLES!$B$28,0,K42)+H43)*C43*VARIABLES!$B$32)</f>
        <v>3037.9929270320486</v>
      </c>
      <c r="K43" s="25">
        <f>IF($A43&lt;VARIABLES!$B$28,0,(IF($A43=VARIABLES!$B$28,0,K42)+H43)*(1+C43)-J43)</f>
        <v>3672933.4487817469</v>
      </c>
      <c r="L43" s="25">
        <f>IF($A43&lt;VARIABLES!$B$35,0,IF($A43=VARIABLES!$B$35,VARIABLES!$B$36+VARIABLES!$B$37,VARIABLES!$B$37))</f>
        <v>0</v>
      </c>
      <c r="M43" s="25">
        <f>L43*VARIABLES!$B$38</f>
        <v>0</v>
      </c>
      <c r="N43" s="25">
        <f>IF($A43&lt;VARIABLES!$B$35,0,(IF($A43=VARIABLES!$B$35,0,O42)+L43)*C43*VARIABLES!$B$39)</f>
        <v>19888.136332210004</v>
      </c>
      <c r="O43" s="25">
        <f>IF($A43&lt;VARIABLES!$B$35,0,(IF($A43=VARIABLES!$B$35,0,O42)+L43)*(1+C43)-N43)</f>
        <v>24044756.825641889</v>
      </c>
      <c r="P43" s="25">
        <f>IF($A43&lt;VARIABLES!$B$42,0,IF($A43=VARIABLES!$B$42,VARIABLES!$B$43+VARIABLES!$B$44,VARIABLES!$B$44))</f>
        <v>20000</v>
      </c>
      <c r="Q43" s="25">
        <f>P43*VARIABLES!$B$45</f>
        <v>150</v>
      </c>
      <c r="R43" s="25">
        <f>IF($A43&lt;VARIABLES!$B$42,0,(IF($A43=VARIABLES!$B$42,0,S42)+P43)*C43*VARIABLES!$B$46)</f>
        <v>410.93306982771128</v>
      </c>
      <c r="S43" s="25">
        <f>IF($A43&lt;VARIABLES!$B$42,0,(IF($A43=VARIABLES!$B$42,0,S42)+P43)*(1+C43)-R43)</f>
        <v>1988505.1248962949</v>
      </c>
      <c r="T43" s="26">
        <f>IF($A43&lt;VARIABLES!$B$50,0,MIN(VARIABLES!$B$49,INT(($A43-VARIABLES!$B$50)/VARIABLES!$B$51)+1)*VARIABLES!$B$52)</f>
        <v>38</v>
      </c>
      <c r="U43" s="25">
        <f>T43*VARIABLES!$B$54+IF(AND($A43&gt;=VARIABLES!$B$50,MOD($A43-VARIABLES!$B$50,VARIABLES!$B$51)=0,INT(($A43-VARIABLES!$B$50)/VARIABLES!$B$51)&lt;VARIABLES!$B$49),VARIABLES!$B$52*VARIABLES!$B$53,0)</f>
        <v>240000</v>
      </c>
      <c r="V43" s="25">
        <f>U43*VARIABLES!$B$55</f>
        <v>1800</v>
      </c>
      <c r="W43" s="25">
        <f>IF($A43&lt;VARIABLES!$B$50,0,(IF($A43&lt;VARIABLES!$B$50+1,0,X42)+U43)*C43*VARIABLES!$B$56)</f>
        <v>8814.6301656958713</v>
      </c>
      <c r="X43" s="25">
        <f>IF($A43&lt;VARIABLES!$B$50,0,(IF($A43&lt;VARIABLES!$B$50+1,0,X42)+U43)*(1+C43)-W43)</f>
        <v>10656887.870326307</v>
      </c>
      <c r="Y43" s="25">
        <f t="shared" si="0"/>
        <v>500000</v>
      </c>
      <c r="Z43" s="25">
        <f t="shared" si="1"/>
        <v>3750</v>
      </c>
      <c r="AA43" s="25">
        <f t="shared" si="2"/>
        <v>36853.21579728488</v>
      </c>
      <c r="AB43" s="17">
        <f t="shared" si="3"/>
        <v>40603.21579728488</v>
      </c>
      <c r="AC43" s="18">
        <f t="shared" si="4"/>
        <v>63113754.53053686</v>
      </c>
      <c r="AD43" s="25">
        <f>IF($A43=1,VARIABLES!$B$12,0)</f>
        <v>0</v>
      </c>
      <c r="AE43" s="25">
        <f>IF($A43&lt;=3,VARIABLES!$B$13,IF($A43&lt;=6,VARIABLES!$B$14,VARIABLES!$B$15))</f>
        <v>46000</v>
      </c>
      <c r="AF43" s="25">
        <f>IF(MOD($A43,12)=0,AC43*VARIABLES!$B$16,0)</f>
        <v>0</v>
      </c>
      <c r="AG43" s="25">
        <f>VARIABLES!$B$17</f>
        <v>5000</v>
      </c>
      <c r="AH43" s="25">
        <f>IF(MOD($A43,12)=0,VARIABLES!$B$18,0)</f>
        <v>0</v>
      </c>
      <c r="AI43" s="19">
        <f t="shared" si="5"/>
        <v>51000</v>
      </c>
      <c r="AJ43" s="20">
        <f>IF($A43&lt;VARIABLES!$B$7,VARIABLES!$B$9,0)</f>
        <v>0</v>
      </c>
      <c r="AK43" s="27">
        <f t="shared" si="6"/>
        <v>-10396.78420271512</v>
      </c>
      <c r="AL43" s="27">
        <f t="shared" si="7"/>
        <v>876330.14154798852</v>
      </c>
      <c r="AM43" s="22">
        <f t="shared" si="8"/>
        <v>335776.78258827573</v>
      </c>
    </row>
    <row r="44" spans="1:39" x14ac:dyDescent="0.2">
      <c r="A44" s="14">
        <v>41</v>
      </c>
      <c r="B44" s="14" t="str">
        <f>TEXT(DATE(VARIABLES!$B$60+INT((VARIABLES!$B$61+A44-2)/12),MOD(VARIABLES!$B$61+A44-2,12)+1,1),"mmm-yy")</f>
        <v>Oct-29</v>
      </c>
      <c r="C44" s="15">
        <f>IF($A44&lt;VARIABLES!$B$7,VARIABLES!$B$5/12,VARIABLES!$B$6/12)</f>
        <v>8.3333333333333332E-3</v>
      </c>
      <c r="D44" s="7">
        <f>IF($A44&lt;VARIABLES!$B$21,0,IF($A44=VARIABLES!$B$21,VARIABLES!$B$22+VARIABLES!$B$23,VARIABLES!$B$23))</f>
        <v>200000</v>
      </c>
      <c r="E44" s="7">
        <f>D44*VARIABLES!$B$24</f>
        <v>1500</v>
      </c>
      <c r="F44" s="7">
        <f>IF($A44&lt;VARIABLES!$B$21,0,(IF($A44=VARIABLES!$B$21,0,G43)+D44)*C44*VARIABLES!$B$25)</f>
        <v>4781.3898460188793</v>
      </c>
      <c r="G44" s="7">
        <f>IF($A44&lt;VARIABLES!$B$21,0,(IF($A44=VARIABLES!$B$21,0,G43)+D44)*(1+C44)-F44)</f>
        <v>23137145.464885358</v>
      </c>
      <c r="H44" s="7">
        <f>IF($A44&lt;VARIABLES!$B$28,0,IF($A44=VARIABLES!$B$28,VARIABLES!$B$29+VARIABLES!$B$30,VARIABLES!$B$30))</f>
        <v>40000</v>
      </c>
      <c r="I44" s="7">
        <f>H44*VARIABLES!$B$31</f>
        <v>300</v>
      </c>
      <c r="J44" s="7">
        <f>IF($A44&lt;VARIABLES!$B$28,0,(IF($A44=VARIABLES!$B$28,0,K43)+H44)*C44*VARIABLES!$B$32)</f>
        <v>3094.1112073181225</v>
      </c>
      <c r="K44" s="7">
        <f>IF($A44&lt;VARIABLES!$B$28,0,(IF($A44=VARIABLES!$B$28,0,K43)+H44)*(1+C44)-J44)</f>
        <v>3740780.4496476101</v>
      </c>
      <c r="L44" s="7">
        <f>IF($A44&lt;VARIABLES!$B$35,0,IF($A44=VARIABLES!$B$35,VARIABLES!$B$36+VARIABLES!$B$37,VARIABLES!$B$37))</f>
        <v>0</v>
      </c>
      <c r="M44" s="7">
        <f>L44*VARIABLES!$B$38</f>
        <v>0</v>
      </c>
      <c r="N44" s="7">
        <f>IF($A44&lt;VARIABLES!$B$35,0,(IF($A44=VARIABLES!$B$35,0,O43)+L44)*C44*VARIABLES!$B$39)</f>
        <v>20037.297354701575</v>
      </c>
      <c r="O44" s="7">
        <f>IF($A44&lt;VARIABLES!$B$35,0,(IF($A44=VARIABLES!$B$35,0,O43)+L44)*(1+C44)-N44)</f>
        <v>24225092.501834203</v>
      </c>
      <c r="P44" s="7">
        <f>IF($A44&lt;VARIABLES!$B$42,0,IF($A44=VARIABLES!$B$42,VARIABLES!$B$43+VARIABLES!$B$44,VARIABLES!$B$44))</f>
        <v>20000</v>
      </c>
      <c r="Q44" s="7">
        <f>P44*VARIABLES!$B$45</f>
        <v>150</v>
      </c>
      <c r="R44" s="7">
        <f>IF($A44&lt;VARIABLES!$B$42,0,(IF($A44=VARIABLES!$B$42,0,S43)+P44)*C44*VARIABLES!$B$46)</f>
        <v>418.43856768672816</v>
      </c>
      <c r="S44" s="7">
        <f>IF($A44&lt;VARIABLES!$B$42,0,(IF($A44=VARIABLES!$B$42,0,S43)+P44)*(1+C44)-R44)</f>
        <v>2024824.2290360772</v>
      </c>
      <c r="T44" s="16">
        <f>IF($A44&lt;VARIABLES!$B$50,0,MIN(VARIABLES!$B$49,INT(($A44-VARIABLES!$B$50)/VARIABLES!$B$51)+1)*VARIABLES!$B$52)</f>
        <v>39</v>
      </c>
      <c r="U44" s="7">
        <f>T44*VARIABLES!$B$54+IF(AND($A44&gt;=VARIABLES!$B$50,MOD($A44-VARIABLES!$B$50,VARIABLES!$B$51)=0,INT(($A44-VARIABLES!$B$50)/VARIABLES!$B$51)&lt;VARIABLES!$B$49),VARIABLES!$B$52*VARIABLES!$B$53,0)</f>
        <v>245000</v>
      </c>
      <c r="V44" s="7">
        <f>U44*VARIABLES!$B$55</f>
        <v>1837.5</v>
      </c>
      <c r="W44" s="7">
        <f>IF($A44&lt;VARIABLES!$B$50,0,(IF($A44&lt;VARIABLES!$B$50+1,0,X43)+U44)*C44*VARIABLES!$B$56)</f>
        <v>9084.9065586052566</v>
      </c>
      <c r="X44" s="7">
        <f>IF($A44&lt;VARIABLES!$B$50,0,(IF($A44&lt;VARIABLES!$B$50+1,0,X43)+U44)*(1+C44)-W44)</f>
        <v>10983652.029353755</v>
      </c>
      <c r="Y44" s="7">
        <f t="shared" si="0"/>
        <v>505000</v>
      </c>
      <c r="Z44" s="7">
        <f t="shared" si="1"/>
        <v>3787.5</v>
      </c>
      <c r="AA44" s="7">
        <f t="shared" si="2"/>
        <v>37416.143534330564</v>
      </c>
      <c r="AB44" s="17">
        <f t="shared" si="3"/>
        <v>41203.643534330564</v>
      </c>
      <c r="AC44" s="18">
        <f t="shared" si="4"/>
        <v>64111494.674757004</v>
      </c>
      <c r="AD44" s="7">
        <f>IF($A44=1,VARIABLES!$B$12,0)</f>
        <v>0</v>
      </c>
      <c r="AE44" s="7">
        <f>IF($A44&lt;=3,VARIABLES!$B$13,IF($A44&lt;=6,VARIABLES!$B$14,VARIABLES!$B$15))</f>
        <v>46000</v>
      </c>
      <c r="AF44" s="7">
        <f>IF(MOD($A44,12)=0,AC44*VARIABLES!$B$16,0)</f>
        <v>0</v>
      </c>
      <c r="AG44" s="7">
        <f>VARIABLES!$B$17</f>
        <v>5000</v>
      </c>
      <c r="AH44" s="7">
        <f>IF(MOD($A44,12)=0,VARIABLES!$B$18,0)</f>
        <v>0</v>
      </c>
      <c r="AI44" s="19">
        <f t="shared" si="5"/>
        <v>51000</v>
      </c>
      <c r="AJ44" s="20">
        <f>IF($A44&lt;VARIABLES!$B$7,VARIABLES!$B$9,0)</f>
        <v>0</v>
      </c>
      <c r="AK44" s="21">
        <f t="shared" si="6"/>
        <v>-9796.3564656694361</v>
      </c>
      <c r="AL44" s="21">
        <f t="shared" si="7"/>
        <v>876330.14154798852</v>
      </c>
      <c r="AM44" s="22">
        <f t="shared" si="8"/>
        <v>325980.42612260627</v>
      </c>
    </row>
    <row r="45" spans="1:39" x14ac:dyDescent="0.2">
      <c r="A45" s="23">
        <v>42</v>
      </c>
      <c r="B45" s="23" t="str">
        <f>TEXT(DATE(VARIABLES!$B$60+INT((VARIABLES!$B$61+A45-2)/12),MOD(VARIABLES!$B$61+A45-2,12)+1,1),"mmm-yy")</f>
        <v>Nov-29</v>
      </c>
      <c r="C45" s="24">
        <f>IF($A45&lt;VARIABLES!$B$7,VARIABLES!$B$5/12,VARIABLES!$B$6/12)</f>
        <v>8.3333333333333332E-3</v>
      </c>
      <c r="D45" s="25">
        <f>IF($A45&lt;VARIABLES!$B$21,0,IF($A45=VARIABLES!$B$21,VARIABLES!$B$22+VARIABLES!$B$23,VARIABLES!$B$23))</f>
        <v>200000</v>
      </c>
      <c r="E45" s="25">
        <f>D45*VARIABLES!$B$24</f>
        <v>1500</v>
      </c>
      <c r="F45" s="25">
        <f>IF($A45&lt;VARIABLES!$B$21,0,(IF($A45=VARIABLES!$B$21,0,G44)+D45)*C45*VARIABLES!$B$25)</f>
        <v>4861.9053051844494</v>
      </c>
      <c r="G45" s="25">
        <f>IF($A45&lt;VARIABLES!$B$21,0,(IF($A45=VARIABLES!$B$21,0,G44)+D45)*(1+C45)-F45)</f>
        <v>23526759.77178755</v>
      </c>
      <c r="H45" s="25">
        <f>IF($A45&lt;VARIABLES!$B$28,0,IF($A45=VARIABLES!$B$28,VARIABLES!$B$29+VARIABLES!$B$30,VARIABLES!$B$30))</f>
        <v>40000</v>
      </c>
      <c r="I45" s="25">
        <f>H45*VARIABLES!$B$31</f>
        <v>300</v>
      </c>
      <c r="J45" s="25">
        <f>IF($A45&lt;VARIABLES!$B$28,0,(IF($A45=VARIABLES!$B$28,0,K44)+H45)*C45*VARIABLES!$B$32)</f>
        <v>3150.6503747063416</v>
      </c>
      <c r="K45" s="25">
        <f>IF($A45&lt;VARIABLES!$B$28,0,(IF($A45=VARIABLES!$B$28,0,K44)+H45)*(1+C45)-J45)</f>
        <v>3809136.3030199669</v>
      </c>
      <c r="L45" s="25">
        <f>IF($A45&lt;VARIABLES!$B$35,0,IF($A45=VARIABLES!$B$35,VARIABLES!$B$36+VARIABLES!$B$37,VARIABLES!$B$37))</f>
        <v>0</v>
      </c>
      <c r="M45" s="25">
        <f>L45*VARIABLES!$B$38</f>
        <v>0</v>
      </c>
      <c r="N45" s="25">
        <f>IF($A45&lt;VARIABLES!$B$35,0,(IF($A45=VARIABLES!$B$35,0,O44)+L45)*C45*VARIABLES!$B$39)</f>
        <v>20187.577084861838</v>
      </c>
      <c r="O45" s="25">
        <f>IF($A45&lt;VARIABLES!$B$35,0,(IF($A45=VARIABLES!$B$35,0,O44)+L45)*(1+C45)-N45)</f>
        <v>24406780.695597958</v>
      </c>
      <c r="P45" s="25">
        <f>IF($A45&lt;VARIABLES!$B$42,0,IF($A45=VARIABLES!$B$42,VARIABLES!$B$43+VARIABLES!$B$44,VARIABLES!$B$44))</f>
        <v>20000</v>
      </c>
      <c r="Q45" s="25">
        <f>P45*VARIABLES!$B$45</f>
        <v>150</v>
      </c>
      <c r="R45" s="25">
        <f>IF($A45&lt;VARIABLES!$B$42,0,(IF($A45=VARIABLES!$B$42,0,S44)+P45)*C45*VARIABLES!$B$46)</f>
        <v>426.0050477158494</v>
      </c>
      <c r="S45" s="25">
        <f>IF($A45&lt;VARIABLES!$B$42,0,(IF($A45=VARIABLES!$B$42,0,S44)+P45)*(1+C45)-R45)</f>
        <v>2061438.4258969952</v>
      </c>
      <c r="T45" s="26">
        <f>IF($A45&lt;VARIABLES!$B$50,0,MIN(VARIABLES!$B$49,INT(($A45-VARIABLES!$B$50)/VARIABLES!$B$51)+1)*VARIABLES!$B$52)</f>
        <v>40</v>
      </c>
      <c r="U45" s="25">
        <f>T45*VARIABLES!$B$54+IF(AND($A45&gt;=VARIABLES!$B$50,MOD($A45-VARIABLES!$B$50,VARIABLES!$B$51)=0,INT(($A45-VARIABLES!$B$50)/VARIABLES!$B$51)&lt;VARIABLES!$B$49),VARIABLES!$B$52*VARIABLES!$B$53,0)</f>
        <v>250000</v>
      </c>
      <c r="V45" s="25">
        <f>U45*VARIABLES!$B$55</f>
        <v>1875</v>
      </c>
      <c r="W45" s="25">
        <f>IF($A45&lt;VARIABLES!$B$50,0,(IF($A45&lt;VARIABLES!$B$50+1,0,X44)+U45)*C45*VARIABLES!$B$56)</f>
        <v>9361.3766911281291</v>
      </c>
      <c r="X45" s="25">
        <f>IF($A45&lt;VARIABLES!$B$50,0,(IF($A45&lt;VARIABLES!$B$50+1,0,X44)+U45)*(1+C45)-W45)</f>
        <v>11317904.419573907</v>
      </c>
      <c r="Y45" s="25">
        <f t="shared" si="0"/>
        <v>510000</v>
      </c>
      <c r="Z45" s="25">
        <f t="shared" si="1"/>
        <v>3825</v>
      </c>
      <c r="AA45" s="25">
        <f t="shared" si="2"/>
        <v>37987.514503596605</v>
      </c>
      <c r="AB45" s="17">
        <f t="shared" si="3"/>
        <v>41812.514503596605</v>
      </c>
      <c r="AC45" s="18">
        <f t="shared" si="4"/>
        <v>65122019.615876377</v>
      </c>
      <c r="AD45" s="25">
        <f>IF($A45=1,VARIABLES!$B$12,0)</f>
        <v>0</v>
      </c>
      <c r="AE45" s="25">
        <f>IF($A45&lt;=3,VARIABLES!$B$13,IF($A45&lt;=6,VARIABLES!$B$14,VARIABLES!$B$15))</f>
        <v>46000</v>
      </c>
      <c r="AF45" s="25">
        <f>IF(MOD($A45,12)=0,AC45*VARIABLES!$B$16,0)</f>
        <v>0</v>
      </c>
      <c r="AG45" s="25">
        <f>VARIABLES!$B$17</f>
        <v>5000</v>
      </c>
      <c r="AH45" s="25">
        <f>IF(MOD($A45,12)=0,VARIABLES!$B$18,0)</f>
        <v>0</v>
      </c>
      <c r="AI45" s="19">
        <f t="shared" si="5"/>
        <v>51000</v>
      </c>
      <c r="AJ45" s="20">
        <f>IF($A45&lt;VARIABLES!$B$7,VARIABLES!$B$9,0)</f>
        <v>0</v>
      </c>
      <c r="AK45" s="27">
        <f t="shared" si="6"/>
        <v>-9187.4854964033948</v>
      </c>
      <c r="AL45" s="27">
        <f t="shared" si="7"/>
        <v>876330.14154798852</v>
      </c>
      <c r="AM45" s="22">
        <f t="shared" si="8"/>
        <v>316792.94062620285</v>
      </c>
    </row>
    <row r="46" spans="1:39" x14ac:dyDescent="0.2">
      <c r="A46" s="14">
        <v>43</v>
      </c>
      <c r="B46" s="14" t="str">
        <f>TEXT(DATE(VARIABLES!$B$60+INT((VARIABLES!$B$61+A46-2)/12),MOD(VARIABLES!$B$61+A46-2,12)+1,1),"mmm-yy")</f>
        <v>Dec-29</v>
      </c>
      <c r="C46" s="15">
        <f>IF($A46&lt;VARIABLES!$B$7,VARIABLES!$B$5/12,VARIABLES!$B$6/12)</f>
        <v>8.3333333333333332E-3</v>
      </c>
      <c r="D46" s="7">
        <f>IF($A46&lt;VARIABLES!$B$21,0,IF($A46=VARIABLES!$B$21,VARIABLES!$B$22+VARIABLES!$B$23,VARIABLES!$B$23))</f>
        <v>200000</v>
      </c>
      <c r="E46" s="7">
        <f>D46*VARIABLES!$B$24</f>
        <v>1500</v>
      </c>
      <c r="F46" s="7">
        <f>IF($A46&lt;VARIABLES!$B$21,0,(IF($A46=VARIABLES!$B$21,0,G45)+D46)*C46*VARIABLES!$B$25)</f>
        <v>4943.0749524557395</v>
      </c>
      <c r="G46" s="7">
        <f>IF($A46&lt;VARIABLES!$B$21,0,(IF($A46=VARIABLES!$B$21,0,G45)+D46)*(1+C46)-F46)</f>
        <v>23919539.694933321</v>
      </c>
      <c r="H46" s="7">
        <f>IF($A46&lt;VARIABLES!$B$28,0,IF($A46=VARIABLES!$B$28,VARIABLES!$B$29+VARIABLES!$B$30,VARIABLES!$B$30))</f>
        <v>40000</v>
      </c>
      <c r="I46" s="7">
        <f>H46*VARIABLES!$B$31</f>
        <v>300</v>
      </c>
      <c r="J46" s="7">
        <f>IF($A46&lt;VARIABLES!$B$28,0,(IF($A46=VARIABLES!$B$28,0,K45)+H46)*C46*VARIABLES!$B$32)</f>
        <v>3207.6135858499729</v>
      </c>
      <c r="K46" s="7">
        <f>IF($A46&lt;VARIABLES!$B$28,0,(IF($A46=VARIABLES!$B$28,0,K45)+H46)*(1+C46)-J46)</f>
        <v>3878004.8252926166</v>
      </c>
      <c r="L46" s="7">
        <f>IF($A46&lt;VARIABLES!$B$35,0,IF($A46=VARIABLES!$B$35,VARIABLES!$B$36+VARIABLES!$B$37,VARIABLES!$B$37))</f>
        <v>0</v>
      </c>
      <c r="M46" s="7">
        <f>L46*VARIABLES!$B$38</f>
        <v>0</v>
      </c>
      <c r="N46" s="7">
        <f>IF($A46&lt;VARIABLES!$B$35,0,(IF($A46=VARIABLES!$B$35,0,O45)+L46)*C46*VARIABLES!$B$39)</f>
        <v>20338.983912998301</v>
      </c>
      <c r="O46" s="7">
        <f>IF($A46&lt;VARIABLES!$B$35,0,(IF($A46=VARIABLES!$B$35,0,O45)+L46)*(1+C46)-N46)</f>
        <v>24589831.550814942</v>
      </c>
      <c r="P46" s="7">
        <f>IF($A46&lt;VARIABLES!$B$42,0,IF($A46=VARIABLES!$B$42,VARIABLES!$B$43+VARIABLES!$B$44,VARIABLES!$B$44))</f>
        <v>20000</v>
      </c>
      <c r="Q46" s="7">
        <f>P46*VARIABLES!$B$45</f>
        <v>150</v>
      </c>
      <c r="R46" s="7">
        <f>IF($A46&lt;VARIABLES!$B$42,0,(IF($A46=VARIABLES!$B$42,0,S45)+P46)*C46*VARIABLES!$B$46)</f>
        <v>433.63300539520736</v>
      </c>
      <c r="S46" s="7">
        <f>IF($A46&lt;VARIABLES!$B$42,0,(IF($A46=VARIABLES!$B$42,0,S45)+P46)*(1+C46)-R46)</f>
        <v>2098350.1131074084</v>
      </c>
      <c r="T46" s="16">
        <f>IF($A46&lt;VARIABLES!$B$50,0,MIN(VARIABLES!$B$49,INT(($A46-VARIABLES!$B$50)/VARIABLES!$B$51)+1)*VARIABLES!$B$52)</f>
        <v>41</v>
      </c>
      <c r="U46" s="7">
        <f>T46*VARIABLES!$B$54+IF(AND($A46&gt;=VARIABLES!$B$50,MOD($A46-VARIABLES!$B$50,VARIABLES!$B$51)=0,INT(($A46-VARIABLES!$B$50)/VARIABLES!$B$51)&lt;VARIABLES!$B$49),VARIABLES!$B$52*VARIABLES!$B$53,0)</f>
        <v>255000</v>
      </c>
      <c r="V46" s="7">
        <f>U46*VARIABLES!$B$55</f>
        <v>1912.5</v>
      </c>
      <c r="W46" s="7">
        <f>IF($A46&lt;VARIABLES!$B$50,0,(IF($A46&lt;VARIABLES!$B$50+1,0,X45)+U46)*C46*VARIABLES!$B$56)</f>
        <v>9644.0870163115887</v>
      </c>
      <c r="X46" s="7">
        <f>IF($A46&lt;VARIABLES!$B$50,0,(IF($A46&lt;VARIABLES!$B$50+1,0,X45)+U46)*(1+C46)-W46)</f>
        <v>11659701.202720709</v>
      </c>
      <c r="Y46" s="7">
        <f t="shared" si="0"/>
        <v>515000</v>
      </c>
      <c r="Z46" s="7">
        <f t="shared" si="1"/>
        <v>3862.5</v>
      </c>
      <c r="AA46" s="7">
        <f t="shared" si="2"/>
        <v>38567.392473010812</v>
      </c>
      <c r="AB46" s="17">
        <f t="shared" si="3"/>
        <v>42429.892473010812</v>
      </c>
      <c r="AC46" s="18">
        <f t="shared" si="4"/>
        <v>66145427.386868998</v>
      </c>
      <c r="AD46" s="7">
        <f>IF($A46=1,VARIABLES!$B$12,0)</f>
        <v>0</v>
      </c>
      <c r="AE46" s="7">
        <f>IF($A46&lt;=3,VARIABLES!$B$13,IF($A46&lt;=6,VARIABLES!$B$14,VARIABLES!$B$15))</f>
        <v>46000</v>
      </c>
      <c r="AF46" s="7">
        <f>IF(MOD($A46,12)=0,AC46*VARIABLES!$B$16,0)</f>
        <v>0</v>
      </c>
      <c r="AG46" s="7">
        <f>VARIABLES!$B$17</f>
        <v>5000</v>
      </c>
      <c r="AH46" s="7">
        <f>IF(MOD($A46,12)=0,VARIABLES!$B$18,0)</f>
        <v>0</v>
      </c>
      <c r="AI46" s="19">
        <f t="shared" si="5"/>
        <v>51000</v>
      </c>
      <c r="AJ46" s="20">
        <f>IF($A46&lt;VARIABLES!$B$7,VARIABLES!$B$9,0)</f>
        <v>0</v>
      </c>
      <c r="AK46" s="21">
        <f t="shared" si="6"/>
        <v>-8570.107526989188</v>
      </c>
      <c r="AL46" s="21">
        <f t="shared" si="7"/>
        <v>876330.14154798852</v>
      </c>
      <c r="AM46" s="22">
        <f t="shared" si="8"/>
        <v>308222.83309921366</v>
      </c>
    </row>
    <row r="47" spans="1:39" x14ac:dyDescent="0.2">
      <c r="A47" s="23">
        <v>44</v>
      </c>
      <c r="B47" s="23" t="str">
        <f>TEXT(DATE(VARIABLES!$B$60+INT((VARIABLES!$B$61+A47-2)/12),MOD(VARIABLES!$B$61+A47-2,12)+1,1),"mmm-yy")</f>
        <v>Jan-30</v>
      </c>
      <c r="C47" s="24">
        <f>IF($A47&lt;VARIABLES!$B$7,VARIABLES!$B$5/12,VARIABLES!$B$6/12)</f>
        <v>8.3333333333333332E-3</v>
      </c>
      <c r="D47" s="25">
        <f>IF($A47&lt;VARIABLES!$B$21,0,IF($A47=VARIABLES!$B$21,VARIABLES!$B$22+VARIABLES!$B$23,VARIABLES!$B$23))</f>
        <v>200000</v>
      </c>
      <c r="E47" s="25">
        <f>D47*VARIABLES!$B$24</f>
        <v>1500</v>
      </c>
      <c r="F47" s="25">
        <f>IF($A47&lt;VARIABLES!$B$21,0,(IF($A47=VARIABLES!$B$21,0,G46)+D47)*C47*VARIABLES!$B$25)</f>
        <v>5024.9041031111083</v>
      </c>
      <c r="G47" s="25">
        <f>IF($A47&lt;VARIABLES!$B$21,0,(IF($A47=VARIABLES!$B$21,0,G46)+D47)*(1+C47)-F47)</f>
        <v>24315510.954954654</v>
      </c>
      <c r="H47" s="25">
        <f>IF($A47&lt;VARIABLES!$B$28,0,IF($A47=VARIABLES!$B$28,VARIABLES!$B$29+VARIABLES!$B$30,VARIABLES!$B$30))</f>
        <v>40000</v>
      </c>
      <c r="I47" s="25">
        <f>H47*VARIABLES!$B$31</f>
        <v>300</v>
      </c>
      <c r="J47" s="25">
        <f>IF($A47&lt;VARIABLES!$B$28,0,(IF($A47=VARIABLES!$B$28,0,K46)+H47)*C47*VARIABLES!$B$32)</f>
        <v>3265.0040210771804</v>
      </c>
      <c r="K47" s="25">
        <f>IF($A47&lt;VARIABLES!$B$28,0,(IF($A47=VARIABLES!$B$28,0,K46)+H47)*(1+C47)-J47)</f>
        <v>3947389.8614823115</v>
      </c>
      <c r="L47" s="25">
        <f>IF($A47&lt;VARIABLES!$B$35,0,IF($A47=VARIABLES!$B$35,VARIABLES!$B$36+VARIABLES!$B$37,VARIABLES!$B$37))</f>
        <v>0</v>
      </c>
      <c r="M47" s="25">
        <f>L47*VARIABLES!$B$38</f>
        <v>0</v>
      </c>
      <c r="N47" s="25">
        <f>IF($A47&lt;VARIABLES!$B$35,0,(IF($A47=VARIABLES!$B$35,0,O46)+L47)*C47*VARIABLES!$B$39)</f>
        <v>20491.526292345785</v>
      </c>
      <c r="O47" s="25">
        <f>IF($A47&lt;VARIABLES!$B$35,0,(IF($A47=VARIABLES!$B$35,0,O46)+L47)*(1+C47)-N47)</f>
        <v>24774255.287446052</v>
      </c>
      <c r="P47" s="25">
        <f>IF($A47&lt;VARIABLES!$B$42,0,IF($A47=VARIABLES!$B$42,VARIABLES!$B$43+VARIABLES!$B$44,VARIABLES!$B$44))</f>
        <v>20000</v>
      </c>
      <c r="Q47" s="25">
        <f>P47*VARIABLES!$B$45</f>
        <v>150</v>
      </c>
      <c r="R47" s="25">
        <f>IF($A47&lt;VARIABLES!$B$42,0,(IF($A47=VARIABLES!$B$42,0,S46)+P47)*C47*VARIABLES!$B$46)</f>
        <v>441.32294023071012</v>
      </c>
      <c r="S47" s="25">
        <f>IF($A47&lt;VARIABLES!$B$42,0,(IF($A47=VARIABLES!$B$42,0,S46)+P47)*(1+C47)-R47)</f>
        <v>2135561.7077764058</v>
      </c>
      <c r="T47" s="26">
        <f>IF($A47&lt;VARIABLES!$B$50,0,MIN(VARIABLES!$B$49,INT(($A47-VARIABLES!$B$50)/VARIABLES!$B$51)+1)*VARIABLES!$B$52)</f>
        <v>42</v>
      </c>
      <c r="U47" s="25">
        <f>T47*VARIABLES!$B$54+IF(AND($A47&gt;=VARIABLES!$B$50,MOD($A47-VARIABLES!$B$50,VARIABLES!$B$51)=0,INT(($A47-VARIABLES!$B$50)/VARIABLES!$B$51)&lt;VARIABLES!$B$49),VARIABLES!$B$52*VARIABLES!$B$53,0)</f>
        <v>260000</v>
      </c>
      <c r="V47" s="25">
        <f>U47*VARIABLES!$B$55</f>
        <v>1950</v>
      </c>
      <c r="W47" s="25">
        <f>IF($A47&lt;VARIABLES!$B$50,0,(IF($A47&lt;VARIABLES!$B$50+1,0,X46)+U47)*C47*VARIABLES!$B$56)</f>
        <v>9933.0843356005917</v>
      </c>
      <c r="X47" s="25">
        <f>IF($A47&lt;VARIABLES!$B$50,0,(IF($A47&lt;VARIABLES!$B$50+1,0,X46)+U47)*(1+C47)-W47)</f>
        <v>12009098.961741114</v>
      </c>
      <c r="Y47" s="25">
        <f t="shared" si="0"/>
        <v>520000</v>
      </c>
      <c r="Z47" s="25">
        <f t="shared" si="1"/>
        <v>3900</v>
      </c>
      <c r="AA47" s="25">
        <f t="shared" si="2"/>
        <v>39155.841692365379</v>
      </c>
      <c r="AB47" s="17">
        <f t="shared" si="3"/>
        <v>43055.841692365379</v>
      </c>
      <c r="AC47" s="18">
        <f t="shared" si="4"/>
        <v>67181816.77340053</v>
      </c>
      <c r="AD47" s="25">
        <f>IF($A47=1,VARIABLES!$B$12,0)</f>
        <v>0</v>
      </c>
      <c r="AE47" s="25">
        <f>IF($A47&lt;=3,VARIABLES!$B$13,IF($A47&lt;=6,VARIABLES!$B$14,VARIABLES!$B$15))</f>
        <v>46000</v>
      </c>
      <c r="AF47" s="25">
        <f>IF(MOD($A47,12)=0,AC47*VARIABLES!$B$16,0)</f>
        <v>0</v>
      </c>
      <c r="AG47" s="25">
        <f>VARIABLES!$B$17</f>
        <v>5000</v>
      </c>
      <c r="AH47" s="25">
        <f>IF(MOD($A47,12)=0,VARIABLES!$B$18,0)</f>
        <v>0</v>
      </c>
      <c r="AI47" s="19">
        <f t="shared" si="5"/>
        <v>51000</v>
      </c>
      <c r="AJ47" s="20">
        <f>IF($A47&lt;VARIABLES!$B$7,VARIABLES!$B$9,0)</f>
        <v>0</v>
      </c>
      <c r="AK47" s="27">
        <f t="shared" si="6"/>
        <v>-7944.1583076346215</v>
      </c>
      <c r="AL47" s="27">
        <f t="shared" si="7"/>
        <v>876330.14154798852</v>
      </c>
      <c r="AM47" s="22">
        <f t="shared" si="8"/>
        <v>300278.67479157902</v>
      </c>
    </row>
    <row r="48" spans="1:39" x14ac:dyDescent="0.2">
      <c r="A48" s="14">
        <v>45</v>
      </c>
      <c r="B48" s="14" t="str">
        <f>TEXT(DATE(VARIABLES!$B$60+INT((VARIABLES!$B$61+A48-2)/12),MOD(VARIABLES!$B$61+A48-2,12)+1,1),"mmm-yy")</f>
        <v>Feb-30</v>
      </c>
      <c r="C48" s="15">
        <f>IF($A48&lt;VARIABLES!$B$7,VARIABLES!$B$5/12,VARIABLES!$B$6/12)</f>
        <v>8.3333333333333332E-3</v>
      </c>
      <c r="D48" s="7">
        <f>IF($A48&lt;VARIABLES!$B$21,0,IF($A48=VARIABLES!$B$21,VARIABLES!$B$22+VARIABLES!$B$23,VARIABLES!$B$23))</f>
        <v>200000</v>
      </c>
      <c r="E48" s="7">
        <f>D48*VARIABLES!$B$24</f>
        <v>1500</v>
      </c>
      <c r="F48" s="7">
        <f>IF($A48&lt;VARIABLES!$B$21,0,(IF($A48=VARIABLES!$B$21,0,G47)+D48)*C48*VARIABLES!$B$25)</f>
        <v>5107.3981156155533</v>
      </c>
      <c r="G48" s="7">
        <f>IF($A48&lt;VARIABLES!$B$21,0,(IF($A48=VARIABLES!$B$21,0,G47)+D48)*(1+C48)-F48)</f>
        <v>24714699.48146366</v>
      </c>
      <c r="H48" s="7">
        <f>IF($A48&lt;VARIABLES!$B$28,0,IF($A48=VARIABLES!$B$28,VARIABLES!$B$29+VARIABLES!$B$30,VARIABLES!$B$30))</f>
        <v>40000</v>
      </c>
      <c r="I48" s="7">
        <f>H48*VARIABLES!$B$31</f>
        <v>300</v>
      </c>
      <c r="J48" s="7">
        <f>IF($A48&lt;VARIABLES!$B$28,0,(IF($A48=VARIABLES!$B$28,0,K47)+H48)*C48*VARIABLES!$B$32)</f>
        <v>3322.824884568593</v>
      </c>
      <c r="K48" s="7">
        <f>IF($A48&lt;VARIABLES!$B$28,0,(IF($A48=VARIABLES!$B$28,0,K47)+H48)*(1+C48)-J48)</f>
        <v>4017295.2854434284</v>
      </c>
      <c r="L48" s="7">
        <f>IF($A48&lt;VARIABLES!$B$35,0,IF($A48=VARIABLES!$B$35,VARIABLES!$B$36+VARIABLES!$B$37,VARIABLES!$B$37))</f>
        <v>0</v>
      </c>
      <c r="M48" s="7">
        <f>L48*VARIABLES!$B$38</f>
        <v>0</v>
      </c>
      <c r="N48" s="7">
        <f>IF($A48&lt;VARIABLES!$B$35,0,(IF($A48=VARIABLES!$B$35,0,O47)+L48)*C48*VARIABLES!$B$39)</f>
        <v>20645.212739538376</v>
      </c>
      <c r="O48" s="7">
        <f>IF($A48&lt;VARIABLES!$B$35,0,(IF($A48=VARIABLES!$B$35,0,O47)+L48)*(1+C48)-N48)</f>
        <v>24960062.202101897</v>
      </c>
      <c r="P48" s="7">
        <f>IF($A48&lt;VARIABLES!$B$42,0,IF($A48=VARIABLES!$B$42,VARIABLES!$B$43+VARIABLES!$B$44,VARIABLES!$B$44))</f>
        <v>20000</v>
      </c>
      <c r="Q48" s="7">
        <f>P48*VARIABLES!$B$45</f>
        <v>150</v>
      </c>
      <c r="R48" s="7">
        <f>IF($A48&lt;VARIABLES!$B$42,0,(IF($A48=VARIABLES!$B$42,0,S47)+P48)*C48*VARIABLES!$B$46)</f>
        <v>449.07535578675129</v>
      </c>
      <c r="S48" s="7">
        <f>IF($A48&lt;VARIABLES!$B$42,0,(IF($A48=VARIABLES!$B$42,0,S47)+P48)*(1+C48)-R48)</f>
        <v>2173075.646652089</v>
      </c>
      <c r="T48" s="16">
        <f>IF($A48&lt;VARIABLES!$B$50,0,MIN(VARIABLES!$B$49,INT(($A48-VARIABLES!$B$50)/VARIABLES!$B$51)+1)*VARIABLES!$B$52)</f>
        <v>43</v>
      </c>
      <c r="U48" s="7">
        <f>T48*VARIABLES!$B$54+IF(AND($A48&gt;=VARIABLES!$B$50,MOD($A48-VARIABLES!$B$50,VARIABLES!$B$51)=0,INT(($A48-VARIABLES!$B$50)/VARIABLES!$B$51)&lt;VARIABLES!$B$49),VARIABLES!$B$52*VARIABLES!$B$53,0)</f>
        <v>265000</v>
      </c>
      <c r="V48" s="7">
        <f>U48*VARIABLES!$B$55</f>
        <v>1987.5</v>
      </c>
      <c r="W48" s="7">
        <f>IF($A48&lt;VARIABLES!$B$50,0,(IF($A48&lt;VARIABLES!$B$50+1,0,X47)+U48)*C48*VARIABLES!$B$56)</f>
        <v>10228.41580145093</v>
      </c>
      <c r="X48" s="7">
        <f>IF($A48&lt;VARIABLES!$B$50,0,(IF($A48&lt;VARIABLES!$B$50+1,0,X47)+U48)*(1+C48)-W48)</f>
        <v>12366154.703954173</v>
      </c>
      <c r="Y48" s="7">
        <f t="shared" si="0"/>
        <v>525000</v>
      </c>
      <c r="Z48" s="7">
        <f t="shared" si="1"/>
        <v>3937.5</v>
      </c>
      <c r="AA48" s="7">
        <f t="shared" si="2"/>
        <v>39752.926896960198</v>
      </c>
      <c r="AB48" s="17">
        <f t="shared" si="3"/>
        <v>43690.426896960198</v>
      </c>
      <c r="AC48" s="18">
        <f t="shared" si="4"/>
        <v>68231287.319615245</v>
      </c>
      <c r="AD48" s="7">
        <f>IF($A48=1,VARIABLES!$B$12,0)</f>
        <v>0</v>
      </c>
      <c r="AE48" s="7">
        <f>IF($A48&lt;=3,VARIABLES!$B$13,IF($A48&lt;=6,VARIABLES!$B$14,VARIABLES!$B$15))</f>
        <v>46000</v>
      </c>
      <c r="AF48" s="7">
        <f>IF(MOD($A48,12)=0,AC48*VARIABLES!$B$16,0)</f>
        <v>0</v>
      </c>
      <c r="AG48" s="7">
        <f>VARIABLES!$B$17</f>
        <v>5000</v>
      </c>
      <c r="AH48" s="7">
        <f>IF(MOD($A48,12)=0,VARIABLES!$B$18,0)</f>
        <v>0</v>
      </c>
      <c r="AI48" s="19">
        <f t="shared" si="5"/>
        <v>51000</v>
      </c>
      <c r="AJ48" s="20">
        <f>IF($A48&lt;VARIABLES!$B$7,VARIABLES!$B$9,0)</f>
        <v>0</v>
      </c>
      <c r="AK48" s="21">
        <f t="shared" si="6"/>
        <v>-7309.5731030398019</v>
      </c>
      <c r="AL48" s="21">
        <f t="shared" si="7"/>
        <v>876330.14154798852</v>
      </c>
      <c r="AM48" s="22">
        <f t="shared" si="8"/>
        <v>292969.1016885392</v>
      </c>
    </row>
    <row r="49" spans="1:39" x14ac:dyDescent="0.2">
      <c r="A49" s="23">
        <v>46</v>
      </c>
      <c r="B49" s="23" t="str">
        <f>TEXT(DATE(VARIABLES!$B$60+INT((VARIABLES!$B$61+A49-2)/12),MOD(VARIABLES!$B$61+A49-2,12)+1,1),"mmm-yy")</f>
        <v>Mar-30</v>
      </c>
      <c r="C49" s="24">
        <f>IF($A49&lt;VARIABLES!$B$7,VARIABLES!$B$5/12,VARIABLES!$B$6/12)</f>
        <v>8.3333333333333332E-3</v>
      </c>
      <c r="D49" s="25">
        <f>IF($A49&lt;VARIABLES!$B$21,0,IF($A49=VARIABLES!$B$21,VARIABLES!$B$22+VARIABLES!$B$23,VARIABLES!$B$23))</f>
        <v>200000</v>
      </c>
      <c r="E49" s="25">
        <f>D49*VARIABLES!$B$24</f>
        <v>1500</v>
      </c>
      <c r="F49" s="25">
        <f>IF($A49&lt;VARIABLES!$B$21,0,(IF($A49=VARIABLES!$B$21,0,G48)+D49)*C49*VARIABLES!$B$25)</f>
        <v>5190.5623919715963</v>
      </c>
      <c r="G49" s="25">
        <f>IF($A49&lt;VARIABLES!$B$21,0,(IF($A49=VARIABLES!$B$21,0,G48)+D49)*(1+C49)-F49)</f>
        <v>25117131.414750554</v>
      </c>
      <c r="H49" s="25">
        <f>IF($A49&lt;VARIABLES!$B$28,0,IF($A49=VARIABLES!$B$28,VARIABLES!$B$29+VARIABLES!$B$30,VARIABLES!$B$30))</f>
        <v>40000</v>
      </c>
      <c r="I49" s="25">
        <f>H49*VARIABLES!$B$31</f>
        <v>300</v>
      </c>
      <c r="J49" s="25">
        <f>IF($A49&lt;VARIABLES!$B$28,0,(IF($A49=VARIABLES!$B$28,0,K48)+H49)*C49*VARIABLES!$B$32)</f>
        <v>3381.0794045361904</v>
      </c>
      <c r="K49" s="25">
        <f>IF($A49&lt;VARIABLES!$B$28,0,(IF($A49=VARIABLES!$B$28,0,K48)+H49)*(1+C49)-J49)</f>
        <v>4087725.000084254</v>
      </c>
      <c r="L49" s="25">
        <f>IF($A49&lt;VARIABLES!$B$35,0,IF($A49=VARIABLES!$B$35,VARIABLES!$B$36+VARIABLES!$B$37,VARIABLES!$B$37))</f>
        <v>0</v>
      </c>
      <c r="M49" s="25">
        <f>L49*VARIABLES!$B$38</f>
        <v>0</v>
      </c>
      <c r="N49" s="25">
        <f>IF($A49&lt;VARIABLES!$B$35,0,(IF($A49=VARIABLES!$B$35,0,O48)+L49)*C49*VARIABLES!$B$39)</f>
        <v>20800.051835084916</v>
      </c>
      <c r="O49" s="25">
        <f>IF($A49&lt;VARIABLES!$B$35,0,(IF($A49=VARIABLES!$B$35,0,O48)+L49)*(1+C49)-N49)</f>
        <v>25147262.668617658</v>
      </c>
      <c r="P49" s="25">
        <f>IF($A49&lt;VARIABLES!$B$42,0,IF($A49=VARIABLES!$B$42,VARIABLES!$B$43+VARIABLES!$B$44,VARIABLES!$B$44))</f>
        <v>20000</v>
      </c>
      <c r="Q49" s="25">
        <f>P49*VARIABLES!$B$45</f>
        <v>150</v>
      </c>
      <c r="R49" s="25">
        <f>IF($A49&lt;VARIABLES!$B$42,0,(IF($A49=VARIABLES!$B$42,0,S48)+P49)*C49*VARIABLES!$B$46)</f>
        <v>456.89075971918521</v>
      </c>
      <c r="S49" s="25">
        <f>IF($A49&lt;VARIABLES!$B$42,0,(IF($A49=VARIABLES!$B$42,0,S48)+P49)*(1+C49)-R49)</f>
        <v>2210894.3862811374</v>
      </c>
      <c r="T49" s="26">
        <f>IF($A49&lt;VARIABLES!$B$50,0,MIN(VARIABLES!$B$49,INT(($A49-VARIABLES!$B$50)/VARIABLES!$B$51)+1)*VARIABLES!$B$52)</f>
        <v>44</v>
      </c>
      <c r="U49" s="25">
        <f>T49*VARIABLES!$B$54+IF(AND($A49&gt;=VARIABLES!$B$50,MOD($A49-VARIABLES!$B$50,VARIABLES!$B$51)=0,INT(($A49-VARIABLES!$B$50)/VARIABLES!$B$51)&lt;VARIABLES!$B$49),VARIABLES!$B$52*VARIABLES!$B$53,0)</f>
        <v>270000</v>
      </c>
      <c r="V49" s="25">
        <f>U49*VARIABLES!$B$55</f>
        <v>2025</v>
      </c>
      <c r="W49" s="25">
        <f>IF($A49&lt;VARIABLES!$B$50,0,(IF($A49&lt;VARIABLES!$B$50+1,0,X48)+U49)*C49*VARIABLES!$B$56)</f>
        <v>10530.128919961811</v>
      </c>
      <c r="X49" s="25">
        <f>IF($A49&lt;VARIABLES!$B$50,0,(IF($A49&lt;VARIABLES!$B$50+1,0,X48)+U49)*(1+C49)-W49)</f>
        <v>12730925.864233831</v>
      </c>
      <c r="Y49" s="25">
        <f t="shared" si="0"/>
        <v>530000</v>
      </c>
      <c r="Z49" s="25">
        <f t="shared" si="1"/>
        <v>3975</v>
      </c>
      <c r="AA49" s="25">
        <f t="shared" si="2"/>
        <v>40358.713311273699</v>
      </c>
      <c r="AB49" s="17">
        <f t="shared" si="3"/>
        <v>44333.713311273699</v>
      </c>
      <c r="AC49" s="18">
        <f t="shared" si="4"/>
        <v>69293939.333967432</v>
      </c>
      <c r="AD49" s="25">
        <f>IF($A49=1,VARIABLES!$B$12,0)</f>
        <v>0</v>
      </c>
      <c r="AE49" s="25">
        <f>IF($A49&lt;=3,VARIABLES!$B$13,IF($A49&lt;=6,VARIABLES!$B$14,VARIABLES!$B$15))</f>
        <v>46000</v>
      </c>
      <c r="AF49" s="25">
        <f>IF(MOD($A49,12)=0,AC49*VARIABLES!$B$16,0)</f>
        <v>0</v>
      </c>
      <c r="AG49" s="25">
        <f>VARIABLES!$B$17</f>
        <v>5000</v>
      </c>
      <c r="AH49" s="25">
        <f>IF(MOD($A49,12)=0,VARIABLES!$B$18,0)</f>
        <v>0</v>
      </c>
      <c r="AI49" s="19">
        <f t="shared" si="5"/>
        <v>51000</v>
      </c>
      <c r="AJ49" s="20">
        <f>IF($A49&lt;VARIABLES!$B$7,VARIABLES!$B$9,0)</f>
        <v>0</v>
      </c>
      <c r="AK49" s="27">
        <f t="shared" si="6"/>
        <v>-6666.2866887263008</v>
      </c>
      <c r="AL49" s="27">
        <f t="shared" si="7"/>
        <v>876330.14154798852</v>
      </c>
      <c r="AM49" s="22">
        <f t="shared" si="8"/>
        <v>286302.81499981292</v>
      </c>
    </row>
    <row r="50" spans="1:39" x14ac:dyDescent="0.2">
      <c r="A50" s="14">
        <v>47</v>
      </c>
      <c r="B50" s="14" t="str">
        <f>TEXT(DATE(VARIABLES!$B$60+INT((VARIABLES!$B$61+A50-2)/12),MOD(VARIABLES!$B$61+A50-2,12)+1,1),"mmm-yy")</f>
        <v>Apr-30</v>
      </c>
      <c r="C50" s="15">
        <f>IF($A50&lt;VARIABLES!$B$7,VARIABLES!$B$5/12,VARIABLES!$B$6/12)</f>
        <v>8.3333333333333332E-3</v>
      </c>
      <c r="D50" s="7">
        <f>IF($A50&lt;VARIABLES!$B$21,0,IF($A50=VARIABLES!$B$21,VARIABLES!$B$22+VARIABLES!$B$23,VARIABLES!$B$23))</f>
        <v>200000</v>
      </c>
      <c r="E50" s="7">
        <f>D50*VARIABLES!$B$24</f>
        <v>1500</v>
      </c>
      <c r="F50" s="7">
        <f>IF($A50&lt;VARIABLES!$B$21,0,(IF($A50=VARIABLES!$B$21,0,G49)+D50)*C50*VARIABLES!$B$25)</f>
        <v>5274.4023780730322</v>
      </c>
      <c r="G50" s="7">
        <f>IF($A50&lt;VARIABLES!$B$21,0,(IF($A50=VARIABLES!$B$21,0,G49)+D50)*(1+C50)-F50)</f>
        <v>25522833.107495401</v>
      </c>
      <c r="H50" s="7">
        <f>IF($A50&lt;VARIABLES!$B$28,0,IF($A50=VARIABLES!$B$28,VARIABLES!$B$29+VARIABLES!$B$30,VARIABLES!$B$30))</f>
        <v>40000</v>
      </c>
      <c r="I50" s="7">
        <f>H50*VARIABLES!$B$31</f>
        <v>300</v>
      </c>
      <c r="J50" s="7">
        <f>IF($A50&lt;VARIABLES!$B$28,0,(IF($A50=VARIABLES!$B$28,0,K49)+H50)*C50*VARIABLES!$B$32)</f>
        <v>3439.7708334035451</v>
      </c>
      <c r="K50" s="7">
        <f>IF($A50&lt;VARIABLES!$B$28,0,(IF($A50=VARIABLES!$B$28,0,K49)+H50)*(1+C50)-J50)</f>
        <v>4158682.9375848859</v>
      </c>
      <c r="L50" s="7">
        <f>IF($A50&lt;VARIABLES!$B$35,0,IF($A50=VARIABLES!$B$35,VARIABLES!$B$36+VARIABLES!$B$37,VARIABLES!$B$37))</f>
        <v>0</v>
      </c>
      <c r="M50" s="7">
        <f>L50*VARIABLES!$B$38</f>
        <v>0</v>
      </c>
      <c r="N50" s="7">
        <f>IF($A50&lt;VARIABLES!$B$35,0,(IF($A50=VARIABLES!$B$35,0,O49)+L50)*C50*VARIABLES!$B$39)</f>
        <v>20956.052223848048</v>
      </c>
      <c r="O50" s="7">
        <f>IF($A50&lt;VARIABLES!$B$35,0,(IF($A50=VARIABLES!$B$35,0,O49)+L50)*(1+C50)-N50)</f>
        <v>25335867.13863229</v>
      </c>
      <c r="P50" s="7">
        <f>IF($A50&lt;VARIABLES!$B$42,0,IF($A50=VARIABLES!$B$42,VARIABLES!$B$43+VARIABLES!$B$44,VARIABLES!$B$44))</f>
        <v>20000</v>
      </c>
      <c r="Q50" s="7">
        <f>P50*VARIABLES!$B$45</f>
        <v>150</v>
      </c>
      <c r="R50" s="7">
        <f>IF($A50&lt;VARIABLES!$B$42,0,(IF($A50=VARIABLES!$B$42,0,S49)+P50)*C50*VARIABLES!$B$46)</f>
        <v>464.76966380857033</v>
      </c>
      <c r="S50" s="7">
        <f>IF($A50&lt;VARIABLES!$B$42,0,(IF($A50=VARIABLES!$B$42,0,S49)+P50)*(1+C50)-R50)</f>
        <v>2249020.4031696715</v>
      </c>
      <c r="T50" s="16">
        <f>IF($A50&lt;VARIABLES!$B$50,0,MIN(VARIABLES!$B$49,INT(($A50-VARIABLES!$B$50)/VARIABLES!$B$51)+1)*VARIABLES!$B$52)</f>
        <v>45</v>
      </c>
      <c r="U50" s="7">
        <f>T50*VARIABLES!$B$54+IF(AND($A50&gt;=VARIABLES!$B$50,MOD($A50-VARIABLES!$B$50,VARIABLES!$B$51)=0,INT(($A50-VARIABLES!$B$50)/VARIABLES!$B$51)&lt;VARIABLES!$B$49),VARIABLES!$B$52*VARIABLES!$B$53,0)</f>
        <v>275000</v>
      </c>
      <c r="V50" s="7">
        <f>U50*VARIABLES!$B$55</f>
        <v>2062.5</v>
      </c>
      <c r="W50" s="7">
        <f>IF($A50&lt;VARIABLES!$B$50,0,(IF($A50&lt;VARIABLES!$B$50+1,0,X49)+U50)*C50*VARIABLES!$B$56)</f>
        <v>10838.271553528193</v>
      </c>
      <c r="X50" s="7">
        <f>IF($A50&lt;VARIABLES!$B$50,0,(IF($A50&lt;VARIABLES!$B$50+1,0,X49)+U50)*(1+C50)-W50)</f>
        <v>13103470.308215585</v>
      </c>
      <c r="Y50" s="7">
        <f t="shared" si="0"/>
        <v>535000</v>
      </c>
      <c r="Z50" s="7">
        <f t="shared" si="1"/>
        <v>4012.5</v>
      </c>
      <c r="AA50" s="7">
        <f t="shared" si="2"/>
        <v>40973.26665266139</v>
      </c>
      <c r="AB50" s="17">
        <f t="shared" si="3"/>
        <v>44985.76665266139</v>
      </c>
      <c r="AC50" s="18">
        <f t="shared" si="4"/>
        <v>70369873.895097822</v>
      </c>
      <c r="AD50" s="7">
        <f>IF($A50=1,VARIABLES!$B$12,0)</f>
        <v>0</v>
      </c>
      <c r="AE50" s="7">
        <f>IF($A50&lt;=3,VARIABLES!$B$13,IF($A50&lt;=6,VARIABLES!$B$14,VARIABLES!$B$15))</f>
        <v>46000</v>
      </c>
      <c r="AF50" s="7">
        <f>IF(MOD($A50,12)=0,AC50*VARIABLES!$B$16,0)</f>
        <v>0</v>
      </c>
      <c r="AG50" s="7">
        <f>VARIABLES!$B$17</f>
        <v>5000</v>
      </c>
      <c r="AH50" s="7">
        <f>IF(MOD($A50,12)=0,VARIABLES!$B$18,0)</f>
        <v>0</v>
      </c>
      <c r="AI50" s="19">
        <f t="shared" si="5"/>
        <v>51000</v>
      </c>
      <c r="AJ50" s="20">
        <f>IF($A50&lt;VARIABLES!$B$7,VARIABLES!$B$9,0)</f>
        <v>0</v>
      </c>
      <c r="AK50" s="21">
        <f t="shared" si="6"/>
        <v>-6014.2333473386097</v>
      </c>
      <c r="AL50" s="21">
        <f t="shared" si="7"/>
        <v>876330.14154798852</v>
      </c>
      <c r="AM50" s="22">
        <f t="shared" si="8"/>
        <v>280288.5816524743</v>
      </c>
    </row>
    <row r="51" spans="1:39" x14ac:dyDescent="0.2">
      <c r="A51" s="23">
        <v>48</v>
      </c>
      <c r="B51" s="23" t="str">
        <f>TEXT(DATE(VARIABLES!$B$60+INT((VARIABLES!$B$61+A51-2)/12),MOD(VARIABLES!$B$61+A51-2,12)+1,1),"mmm-yy")</f>
        <v>May-30</v>
      </c>
      <c r="C51" s="24">
        <f>IF($A51&lt;VARIABLES!$B$7,VARIABLES!$B$5/12,VARIABLES!$B$6/12)</f>
        <v>8.3333333333333332E-3</v>
      </c>
      <c r="D51" s="25">
        <f>IF($A51&lt;VARIABLES!$B$21,0,IF($A51=VARIABLES!$B$21,VARIABLES!$B$22+VARIABLES!$B$23,VARIABLES!$B$23))</f>
        <v>200000</v>
      </c>
      <c r="E51" s="25">
        <f>D51*VARIABLES!$B$24</f>
        <v>1500</v>
      </c>
      <c r="F51" s="25">
        <f>IF($A51&lt;VARIABLES!$B$21,0,(IF($A51=VARIABLES!$B$21,0,G50)+D51)*C51*VARIABLES!$B$25)</f>
        <v>5358.9235640615425</v>
      </c>
      <c r="G51" s="25">
        <f>IF($A51&lt;VARIABLES!$B$21,0,(IF($A51=VARIABLES!$B$21,0,G50)+D51)*(1+C51)-F51)</f>
        <v>25931831.1264938</v>
      </c>
      <c r="H51" s="25">
        <f>IF($A51&lt;VARIABLES!$B$28,0,IF($A51=VARIABLES!$B$28,VARIABLES!$B$29+VARIABLES!$B$30,VARIABLES!$B$30))</f>
        <v>40000</v>
      </c>
      <c r="I51" s="25">
        <f>H51*VARIABLES!$B$31</f>
        <v>300</v>
      </c>
      <c r="J51" s="25">
        <f>IF($A51&lt;VARIABLES!$B$28,0,(IF($A51=VARIABLES!$B$28,0,K50)+H51)*C51*VARIABLES!$B$32)</f>
        <v>3498.9024479874056</v>
      </c>
      <c r="K51" s="25">
        <f>IF($A51&lt;VARIABLES!$B$28,0,(IF($A51=VARIABLES!$B$28,0,K50)+H51)*(1+C51)-J51)</f>
        <v>4230173.0596167725</v>
      </c>
      <c r="L51" s="25">
        <f>IF($A51&lt;VARIABLES!$B$35,0,IF($A51=VARIABLES!$B$35,VARIABLES!$B$36+VARIABLES!$B$37,VARIABLES!$B$37))</f>
        <v>0</v>
      </c>
      <c r="M51" s="25">
        <f>L51*VARIABLES!$B$38</f>
        <v>0</v>
      </c>
      <c r="N51" s="25">
        <f>IF($A51&lt;VARIABLES!$B$35,0,(IF($A51=VARIABLES!$B$35,0,O50)+L51)*C51*VARIABLES!$B$39)</f>
        <v>21113.222615526909</v>
      </c>
      <c r="O51" s="25">
        <f>IF($A51&lt;VARIABLES!$B$35,0,(IF($A51=VARIABLES!$B$35,0,O50)+L51)*(1+C51)-N51)</f>
        <v>25525886.142172035</v>
      </c>
      <c r="P51" s="25">
        <f>IF($A51&lt;VARIABLES!$B$42,0,IF($A51=VARIABLES!$B$42,VARIABLES!$B$43+VARIABLES!$B$44,VARIABLES!$B$44))</f>
        <v>20000</v>
      </c>
      <c r="Q51" s="25">
        <f>P51*VARIABLES!$B$45</f>
        <v>150</v>
      </c>
      <c r="R51" s="25">
        <f>IF($A51&lt;VARIABLES!$B$42,0,(IF($A51=VARIABLES!$B$42,0,S50)+P51)*C51*VARIABLES!$B$46)</f>
        <v>472.71258399368156</v>
      </c>
      <c r="S51" s="25">
        <f>IF($A51&lt;VARIABLES!$B$42,0,(IF($A51=VARIABLES!$B$42,0,S50)+P51)*(1+C51)-R51)</f>
        <v>2287456.1939454251</v>
      </c>
      <c r="T51" s="26">
        <f>IF($A51&lt;VARIABLES!$B$50,0,MIN(VARIABLES!$B$49,INT(($A51-VARIABLES!$B$50)/VARIABLES!$B$51)+1)*VARIABLES!$B$52)</f>
        <v>46</v>
      </c>
      <c r="U51" s="25">
        <f>T51*VARIABLES!$B$54+IF(AND($A51&gt;=VARIABLES!$B$50,MOD($A51-VARIABLES!$B$50,VARIABLES!$B$51)=0,INT(($A51-VARIABLES!$B$50)/VARIABLES!$B$51)&lt;VARIABLES!$B$49),VARIABLES!$B$52*VARIABLES!$B$53,0)</f>
        <v>280000</v>
      </c>
      <c r="V51" s="25">
        <f>U51*VARIABLES!$B$55</f>
        <v>2100</v>
      </c>
      <c r="W51" s="25">
        <f>IF($A51&lt;VARIABLES!$B$50,0,(IF($A51&lt;VARIABLES!$B$50+1,0,X50)+U51)*C51*VARIABLES!$B$56)</f>
        <v>11152.891923512987</v>
      </c>
      <c r="X51" s="25">
        <f>IF($A51&lt;VARIABLES!$B$50,0,(IF($A51&lt;VARIABLES!$B$50+1,0,X50)+U51)*(1+C51)-W51)</f>
        <v>13483846.3355272</v>
      </c>
      <c r="Y51" s="25">
        <f t="shared" si="0"/>
        <v>540000</v>
      </c>
      <c r="Z51" s="25">
        <f t="shared" si="1"/>
        <v>4050</v>
      </c>
      <c r="AA51" s="25">
        <f t="shared" si="2"/>
        <v>41596.653135082524</v>
      </c>
      <c r="AB51" s="17">
        <f t="shared" si="3"/>
        <v>45646.653135082524</v>
      </c>
      <c r="AC51" s="18">
        <f t="shared" si="4"/>
        <v>71459192.857755229</v>
      </c>
      <c r="AD51" s="25">
        <f>IF($A51=1,VARIABLES!$B$12,0)</f>
        <v>0</v>
      </c>
      <c r="AE51" s="25">
        <f>IF($A51&lt;=3,VARIABLES!$B$13,IF($A51&lt;=6,VARIABLES!$B$14,VARIABLES!$B$15))</f>
        <v>46000</v>
      </c>
      <c r="AF51" s="25">
        <f>IF(MOD($A51,12)=0,AC51*VARIABLES!$B$16,0)</f>
        <v>178647.98214438808</v>
      </c>
      <c r="AG51" s="25">
        <f>VARIABLES!$B$17</f>
        <v>5000</v>
      </c>
      <c r="AH51" s="25">
        <f>IF(MOD($A51,12)=0,VARIABLES!$B$18,0)</f>
        <v>3000</v>
      </c>
      <c r="AI51" s="19">
        <f t="shared" si="5"/>
        <v>232647.98214438808</v>
      </c>
      <c r="AJ51" s="20">
        <f>IF($A51&lt;VARIABLES!$B$7,VARIABLES!$B$9,0)</f>
        <v>0</v>
      </c>
      <c r="AK51" s="27">
        <f t="shared" si="6"/>
        <v>-187001.32900930557</v>
      </c>
      <c r="AL51" s="27">
        <f t="shared" si="7"/>
        <v>876330.14154798852</v>
      </c>
      <c r="AM51" s="22">
        <f t="shared" si="8"/>
        <v>93287.252643168729</v>
      </c>
    </row>
    <row r="52" spans="1:39" x14ac:dyDescent="0.2">
      <c r="A52" s="37" t="s">
        <v>111</v>
      </c>
      <c r="B52" s="30"/>
      <c r="Y52" s="28">
        <f>SUM(Y4:Y51)</f>
        <v>25425000</v>
      </c>
      <c r="Z52" s="28">
        <f>SUM(Z4:Z51)</f>
        <v>190687.5</v>
      </c>
      <c r="AA52" s="28">
        <f>SUM(AA4:AA51)</f>
        <v>3629501.1448412449</v>
      </c>
      <c r="AB52" s="28">
        <f>SUM(AB4:AB51)</f>
        <v>3820188.6448412449</v>
      </c>
      <c r="AC52" s="28">
        <f>AC51</f>
        <v>71459192.857755229</v>
      </c>
      <c r="AD52" s="28">
        <f t="shared" ref="AD52:AK52" si="9">SUM(AD4:AD51)</f>
        <v>57499.999999999993</v>
      </c>
      <c r="AE52" s="28">
        <f t="shared" si="9"/>
        <v>2104500</v>
      </c>
      <c r="AF52" s="28">
        <f t="shared" si="9"/>
        <v>436571.25065008667</v>
      </c>
      <c r="AG52" s="28">
        <f t="shared" si="9"/>
        <v>240000</v>
      </c>
      <c r="AH52" s="28">
        <f t="shared" si="9"/>
        <v>12000</v>
      </c>
      <c r="AI52" s="28">
        <f t="shared" si="9"/>
        <v>2850571.2506500864</v>
      </c>
      <c r="AJ52" s="28">
        <f t="shared" si="9"/>
        <v>380882.99999999988</v>
      </c>
      <c r="AK52" s="28">
        <f t="shared" si="9"/>
        <v>588734.39419115754</v>
      </c>
      <c r="AL52" s="28">
        <f>AL51</f>
        <v>876330.14154798852</v>
      </c>
      <c r="AM52" s="28">
        <f>AM51</f>
        <v>93287.252643168729</v>
      </c>
    </row>
    <row r="54" spans="1:39" ht="39" customHeight="1" x14ac:dyDescent="0.2">
      <c r="A54" s="29" t="s">
        <v>119</v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</row>
  </sheetData>
  <mergeCells count="11">
    <mergeCell ref="A54:AM54"/>
    <mergeCell ref="AJ2"/>
    <mergeCell ref="D2:S2"/>
    <mergeCell ref="A2:C2"/>
    <mergeCell ref="A1:AM1"/>
    <mergeCell ref="AD2:AI2"/>
    <mergeCell ref="AK2:AM2"/>
    <mergeCell ref="A52:B52"/>
    <mergeCell ref="T2:X2"/>
    <mergeCell ref="AC2"/>
    <mergeCell ref="Y2:A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5E20"/>
  </sheetPr>
  <dimension ref="A1:F1"/>
  <sheetViews>
    <sheetView showGridLines="0" workbookViewId="0">
      <selection sqref="A1:F1"/>
    </sheetView>
  </sheetViews>
  <sheetFormatPr defaultRowHeight="15" x14ac:dyDescent="0.25"/>
  <sheetData>
    <row r="1" spans="1:6" ht="24" customHeight="1" x14ac:dyDescent="0.25">
      <c r="A1" s="45" t="s">
        <v>112</v>
      </c>
      <c r="B1" s="46"/>
      <c r="C1" s="46"/>
      <c r="D1" s="46"/>
      <c r="E1" s="46"/>
      <c r="F1" s="46"/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VARIABLES</vt:lpstr>
      <vt:lpstr>MONTHLY FORECAST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Davin Gaier</cp:lastModifiedBy>
  <dcterms:created xsi:type="dcterms:W3CDTF">2026-05-20T18:33:12Z</dcterms:created>
  <dcterms:modified xsi:type="dcterms:W3CDTF">2026-06-11T19:23:20Z</dcterms:modified>
</cp:coreProperties>
</file>