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VARIABLES" sheetId="1" state="visible" r:id="rId1"/>
    <sheet xmlns:r="http://schemas.openxmlformats.org/officeDocument/2006/relationships" name="MONTHLY FORECAST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 #,##0;[Red](R #,##0)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1A1A1A"/>
      <sz val="10"/>
    </font>
    <font>
      <name val="Calibri"/>
      <b val="1"/>
      <color rgb="00FFFFFF"/>
      <sz val="11"/>
    </font>
    <font>
      <name val="Calibri"/>
      <color rgb="001A1A1A"/>
      <sz val="11"/>
    </font>
    <font>
      <name val="Calibri"/>
      <b val="1"/>
      <color rgb="001A1A1A"/>
      <sz val="11"/>
    </font>
    <font>
      <name val="Calibri"/>
      <i val="1"/>
      <color rgb="00555555"/>
      <sz val="9"/>
    </font>
    <font>
      <name val="Calibri"/>
      <i val="1"/>
      <color rgb="001A1A1A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1A1A1A"/>
      <sz val="10"/>
    </font>
    <font>
      <name val="Calibri"/>
      <i val="1"/>
      <color rgb="00555555"/>
      <sz val="10"/>
    </font>
    <font>
      <name val="Calibri"/>
      <b val="1"/>
      <color rgb="001A1A1A"/>
      <sz val="10"/>
    </font>
    <font>
      <name val="Calibri"/>
      <b val="1"/>
      <color rgb="00FFFFFF"/>
      <sz val="14"/>
    </font>
  </fonts>
  <fills count="17">
    <fill>
      <patternFill/>
    </fill>
    <fill>
      <patternFill patternType="gray125"/>
    </fill>
    <fill>
      <patternFill patternType="solid">
        <fgColor rgb="00C9A227"/>
      </patternFill>
    </fill>
    <fill>
      <patternFill patternType="solid">
        <fgColor rgb="00F5EBC8"/>
      </patternFill>
    </fill>
    <fill>
      <patternFill patternType="solid">
        <fgColor rgb="00006064"/>
      </patternFill>
    </fill>
    <fill>
      <patternFill patternType="solid">
        <fgColor rgb="00F5F5F5"/>
      </patternFill>
    </fill>
    <fill>
      <patternFill patternType="solid">
        <fgColor rgb="00FFF9C4"/>
      </patternFill>
    </fill>
    <fill>
      <patternFill patternType="solid">
        <fgColor rgb="00FFFFFF"/>
      </patternFill>
    </fill>
    <fill>
      <patternFill patternType="solid">
        <fgColor rgb="0037474F"/>
      </patternFill>
    </fill>
    <fill>
      <patternFill patternType="solid">
        <fgColor rgb="001B5E20"/>
      </patternFill>
    </fill>
    <fill>
      <patternFill patternType="solid">
        <fgColor rgb="001A1A1A"/>
      </patternFill>
    </fill>
    <fill>
      <patternFill patternType="solid">
        <fgColor rgb="00B71C1C"/>
      </patternFill>
    </fill>
    <fill>
      <patternFill patternType="solid">
        <fgColor rgb="006D4C41"/>
      </patternFill>
    </fill>
    <fill>
      <patternFill patternType="solid">
        <fgColor rgb="00C8E6C9"/>
      </patternFill>
    </fill>
    <fill>
      <patternFill patternType="solid">
        <fgColor rgb="00E3F2FD"/>
      </patternFill>
    </fill>
    <fill>
      <patternFill patternType="solid">
        <fgColor rgb="00FFCDD2"/>
      </patternFill>
    </fill>
    <fill>
      <patternFill patternType="solid">
        <fgColor rgb="00FFF3E0"/>
      </patternFill>
    </fill>
  </fills>
  <borders count="3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thin">
        <color rgb="00CCCCCC"/>
      </right>
      <top style="medium">
        <color rgb="00888888"/>
      </top>
      <bottom style="medium">
        <color rgb="00888888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10" fontId="5" fillId="6" borderId="2" applyAlignment="1" pivotButton="0" quotePrefix="0" xfId="0">
      <alignment horizontal="right" vertical="center"/>
    </xf>
    <xf numFmtId="0" fontId="6" fillId="7" borderId="1" applyAlignment="1" pivotButton="0" quotePrefix="0" xfId="0">
      <alignment horizontal="left" vertical="center"/>
    </xf>
    <xf numFmtId="0" fontId="5" fillId="6" borderId="2" applyAlignment="1" pivotButton="0" quotePrefix="0" xfId="0">
      <alignment horizontal="right" vertical="center"/>
    </xf>
    <xf numFmtId="164" fontId="5" fillId="6" borderId="2" applyAlignment="1" pivotButton="0" quotePrefix="0" xfId="0">
      <alignment horizontal="right" vertical="center"/>
    </xf>
    <xf numFmtId="164" fontId="4" fillId="7" borderId="1" applyAlignment="1" pivotButton="0" quotePrefix="0" xfId="0">
      <alignment horizontal="right" vertical="center"/>
    </xf>
    <xf numFmtId="0" fontId="3" fillId="8" borderId="0" applyAlignment="1" pivotButton="0" quotePrefix="0" xfId="0">
      <alignment horizontal="left" vertical="center"/>
    </xf>
    <xf numFmtId="0" fontId="3" fillId="9" borderId="0" applyAlignment="1" pivotButton="0" quotePrefix="0" xfId="0">
      <alignment horizontal="left" vertical="center"/>
    </xf>
    <xf numFmtId="0" fontId="3" fillId="2" borderId="0" applyAlignment="1" pivotButton="0" quotePrefix="0" xfId="0">
      <alignment horizontal="left" vertical="center"/>
    </xf>
    <xf numFmtId="0" fontId="4" fillId="7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left" vertical="center" wrapText="1"/>
    </xf>
    <xf numFmtId="0" fontId="8" fillId="2" borderId="0" applyAlignment="1" pivotButton="0" quotePrefix="0" xfId="0">
      <alignment horizontal="center" vertical="center"/>
    </xf>
    <xf numFmtId="0" fontId="9" fillId="10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9" fillId="9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center" vertical="center"/>
    </xf>
    <xf numFmtId="0" fontId="9" fillId="11" borderId="0" applyAlignment="1" pivotButton="0" quotePrefix="0" xfId="0">
      <alignment horizontal="center" vertical="center"/>
    </xf>
    <xf numFmtId="0" fontId="9" fillId="12" borderId="0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 wrapText="1"/>
    </xf>
    <xf numFmtId="0" fontId="10" fillId="8" borderId="0" applyAlignment="1" pivotButton="0" quotePrefix="0" xfId="0">
      <alignment horizontal="center" vertical="center" wrapText="1"/>
    </xf>
    <xf numFmtId="0" fontId="10" fillId="9" borderId="0" applyAlignment="1" pivotButton="0" quotePrefix="0" xfId="0">
      <alignment horizontal="center" vertical="center" wrapText="1"/>
    </xf>
    <xf numFmtId="0" fontId="10" fillId="11" borderId="0" applyAlignment="1" pivotButton="0" quotePrefix="0" xfId="0">
      <alignment horizontal="center" vertical="center" wrapText="1"/>
    </xf>
    <xf numFmtId="0" fontId="10" fillId="12" borderId="0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4" fontId="11" fillId="7" borderId="1" applyAlignment="1" pivotButton="0" quotePrefix="0" xfId="0">
      <alignment horizontal="right" vertical="center"/>
    </xf>
    <xf numFmtId="1" fontId="11" fillId="7" borderId="1" applyAlignment="1" pivotButton="0" quotePrefix="0" xfId="0">
      <alignment horizontal="center" vertical="center"/>
    </xf>
    <xf numFmtId="164" fontId="13" fillId="13" borderId="1" applyAlignment="1" pivotButton="0" quotePrefix="0" xfId="0">
      <alignment horizontal="right" vertical="center"/>
    </xf>
    <xf numFmtId="164" fontId="13" fillId="14" borderId="1" applyAlignment="1" pivotButton="0" quotePrefix="0" xfId="0">
      <alignment horizontal="right" vertical="center"/>
    </xf>
    <xf numFmtId="164" fontId="13" fillId="15" borderId="1" applyAlignment="1" pivotButton="0" quotePrefix="0" xfId="0">
      <alignment horizontal="right" vertical="center"/>
    </xf>
    <xf numFmtId="164" fontId="11" fillId="16" borderId="1" applyAlignment="1" pivotButton="0" quotePrefix="0" xfId="0">
      <alignment horizontal="right" vertical="center"/>
    </xf>
    <xf numFmtId="164" fontId="13" fillId="7" borderId="1" applyAlignment="1" pivotButton="0" quotePrefix="0" xfId="0">
      <alignment horizontal="right" vertical="center"/>
    </xf>
    <xf numFmtId="164" fontId="13" fillId="16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164" fontId="11" fillId="5" borderId="1" applyAlignment="1" pivotButton="0" quotePrefix="0" xfId="0">
      <alignment horizontal="right" vertical="center"/>
    </xf>
    <xf numFmtId="1" fontId="11" fillId="5" borderId="1" applyAlignment="1" pivotButton="0" quotePrefix="0" xfId="0">
      <alignment horizontal="center" vertical="center"/>
    </xf>
    <xf numFmtId="164" fontId="13" fillId="5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/>
    </xf>
    <xf numFmtId="164" fontId="13" fillId="3" borderId="1" applyAlignment="1" pivotButton="0" quotePrefix="0" xfId="0">
      <alignment horizontal="right" vertical="center"/>
    </xf>
    <xf numFmtId="0" fontId="6" fillId="3" borderId="0" applyAlignment="1" pivotButton="0" quotePrefix="0" xfId="0">
      <alignment horizontal="left" vertical="center" wrapText="1"/>
    </xf>
    <xf numFmtId="0" fontId="14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AUM Growth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FORECAST'!AC3</f>
            </strRef>
          </tx>
          <spPr>
            <a:ln xmlns:a="http://schemas.openxmlformats.org/drawingml/2006/main" w="25000">
              <a:solidFill>
                <a:srgbClr val="C9A22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FORECAST'!$B$4:$B$51</f>
            </numRef>
          </cat>
          <val>
            <numRef>
              <f>'MONTHLY FORECAST'!$AC$4:$AC$51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Revenue vs Costs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FORECAST'!AB3</f>
            </strRef>
          </tx>
          <spPr>
            <a:ln xmlns:a="http://schemas.openxmlformats.org/drawingml/2006/main" w="20000">
              <a:solidFill>
                <a:srgbClr val="1B5E2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FORECAST'!$B$4:$B$51</f>
            </numRef>
          </cat>
          <val>
            <numRef>
              <f>'MONTHLY FORECAST'!$AB$4:$AB$51</f>
            </numRef>
          </val>
        </ser>
        <ser>
          <idx val="1"/>
          <order val="1"/>
          <tx>
            <strRef>
              <f>'MONTHLY FORECAST'!AI3</f>
            </strRef>
          </tx>
          <spPr>
            <a:ln xmlns:a="http://schemas.openxmlformats.org/drawingml/2006/main" w="20000">
              <a:solidFill>
                <a:srgbClr val="B71C1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FORECAST'!$B$4:$B$51</f>
            </numRef>
          </cat>
          <val>
            <numRef>
              <f>'MONTHLY FORECAST'!$AI$4:$AI$51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Cashflow &amp; Reserve Fund (ZAR)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FORECAST'!AL3</f>
            </strRef>
          </tx>
          <spPr>
            <a:ln xmlns:a="http://schemas.openxmlformats.org/drawingml/2006/main" w="20000">
              <a:solidFill>
                <a:srgbClr val="00606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FORECAST'!$B$4:$B$51</f>
            </numRef>
          </cat>
          <val>
            <numRef>
              <f>'MONTHLY FORECAST'!$AL$4:$AL$51</f>
            </numRef>
          </val>
        </ser>
        <ser>
          <idx val="1"/>
          <order val="1"/>
          <tx>
            <strRef>
              <f>'MONTHLY FORECAST'!AM3</f>
            </strRef>
          </tx>
          <spPr>
            <a:ln xmlns:a="http://schemas.openxmlformats.org/drawingml/2006/main" w="20000">
              <a:solidFill>
                <a:srgbClr val="BF360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'MONTHLY FORECAST'!$B$4:$B$51</f>
            </numRef>
          </cat>
          <val>
            <numRef>
              <f>'MONTHLY FORECAST'!$AM$4:$AM$51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ZAR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31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60</row>
      <rowOff>0</rowOff>
    </from>
    <ext cx="10080000" cy="50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C9A227"/>
    <outlinePr summaryBelow="1" summaryRight="1"/>
    <pageSetUpPr/>
  </sheetPr>
  <dimension ref="A1:C64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2" customWidth="1" min="2" max="2"/>
    <col width="42" customWidth="1" min="3" max="3"/>
  </cols>
  <sheetData>
    <row r="1" ht="30" customHeight="1">
      <c r="A1" s="1" t="inlineStr">
        <is>
          <t>BitWealth (Pty) Ltd — Cashflow Model Variables</t>
        </is>
      </c>
    </row>
    <row r="2">
      <c r="A2" s="2" t="inlineStr">
        <is>
          <t>v3.0  ·  48-Month Forecast  ·  Adjust YELLOW cells  ·  All formulas in 'MONTHLY FORECAST' tab update automatically</t>
        </is>
      </c>
    </row>
    <row r="4" ht="18" customHeight="1">
      <c r="A4" s="3" t="inlineStr">
        <is>
          <t>RETURN &amp; PERFORMANCE ASSUMPTIONS</t>
        </is>
      </c>
    </row>
    <row r="5">
      <c r="A5" s="4" t="inlineStr">
        <is>
          <t>Annual portfolio return — Years 1–3 (p.a.)</t>
        </is>
      </c>
      <c r="B5" s="5" t="n">
        <v>0.5</v>
      </c>
      <c r="C5" s="6" t="inlineStr">
        <is>
          <t>50% p.a. BTC bull cycle; divided by 12 for monthly</t>
        </is>
      </c>
    </row>
    <row r="6">
      <c r="A6" s="4" t="inlineStr">
        <is>
          <t>Annual portfolio return — Year 4 (p.a.)</t>
        </is>
      </c>
      <c r="B6" s="7" t="n">
        <v>0</v>
      </c>
      <c r="C6" s="6" t="inlineStr">
        <is>
          <t>0% — BTC bear/consolidation year; set to e.g. 20% for optimistic Y4</t>
        </is>
      </c>
    </row>
    <row r="7">
      <c r="A7" s="4" t="inlineStr">
        <is>
          <t>Year 4 starts (model month number)</t>
        </is>
      </c>
      <c r="B7" s="7" t="n">
        <v>37</v>
      </c>
      <c r="C7" s="6" t="inlineStr">
        <is>
          <t>Month 37 = July 2029 (one month after the 36-month bull period)</t>
        </is>
      </c>
    </row>
    <row r="8">
      <c r="A8" s="4" t="inlineStr">
        <is>
          <t>Performance fee crystallisation period (months)</t>
        </is>
      </c>
      <c r="B8" s="7" t="n">
        <v>3</v>
      </c>
      <c r="C8" s="6" t="inlineStr">
        <is>
          <t>3 = quarterly (default). Change to 1 for monthly, 12 for annual</t>
        </is>
      </c>
    </row>
    <row r="9">
      <c r="A9" s="4" t="inlineStr">
        <is>
          <t>Monthly reserve provision into Y4 buffer (R)</t>
        </is>
      </c>
      <c r="B9" s="8" t="n">
        <v>12500</v>
      </c>
      <c r="C9" s="6" t="inlineStr">
        <is>
          <t>Set aside this amount each month in Years 1–3 to fund Year 4 cash deficit</t>
        </is>
      </c>
    </row>
    <row r="11" ht="18" customHeight="1">
      <c r="A11" s="3" t="inlineStr">
        <is>
          <t>COST ASSUMPTIONS</t>
        </is>
      </c>
    </row>
    <row r="12">
      <c r="A12" s="4" t="inlineStr">
        <is>
          <t>CAEP onboarding fee (once-off, Month 1)</t>
        </is>
      </c>
      <c r="B12" s="9" t="n">
        <v>50000</v>
      </c>
      <c r="C12" s="6" t="inlineStr">
        <is>
          <t>Juristic Representative appointment fee</t>
        </is>
      </c>
    </row>
    <row r="13">
      <c r="A13" s="4" t="inlineStr">
        <is>
          <t>CAEP hosting — Months 1–3</t>
        </is>
      </c>
      <c r="B13" s="8" t="n">
        <v>20000</v>
      </c>
      <c r="C13" s="6" t="inlineStr">
        <is>
          <t>Per month</t>
        </is>
      </c>
    </row>
    <row r="14">
      <c r="A14" s="4" t="inlineStr">
        <is>
          <t>CAEP hosting — Months 4–6</t>
        </is>
      </c>
      <c r="B14" s="8" t="n">
        <v>30000</v>
      </c>
      <c r="C14" s="6" t="inlineStr">
        <is>
          <t>Per month</t>
        </is>
      </c>
    </row>
    <row r="15">
      <c r="A15" s="4" t="inlineStr">
        <is>
          <t>CAEP hosting — Month 7 onwards</t>
        </is>
      </c>
      <c r="B15" s="8" t="n">
        <v>40000</v>
      </c>
      <c r="C15" s="6" t="inlineStr">
        <is>
          <t>Per month steady-state; negotiate cap contractually</t>
        </is>
      </c>
    </row>
    <row r="16">
      <c r="A16" s="4" t="inlineStr">
        <is>
          <t>CAEP AUM fee (% of AUM, billed once annually)</t>
        </is>
      </c>
      <c r="B16" s="5" t="n">
        <v>0.0025</v>
      </c>
      <c r="C16" s="6" t="inlineStr">
        <is>
          <t>0.25% p.a.; billed in months 12, 24, 36, 48 on AUM at that date</t>
        </is>
      </c>
    </row>
    <row r="17">
      <c r="A17" s="4" t="inlineStr">
        <is>
          <t>Software &amp; infrastructure (monthly)</t>
        </is>
      </c>
      <c r="B17" s="8" t="n">
        <v>5000</v>
      </c>
      <c r="C17" s="6" t="inlineStr">
        <is>
          <t>Cloud, Supabase, VALR API, domain etc.</t>
        </is>
      </c>
    </row>
    <row r="18">
      <c r="A18" s="4" t="inlineStr">
        <is>
          <t>Company secretarial (annual, charged in month 12/24/36/48)</t>
        </is>
      </c>
      <c r="B18" s="8" t="n">
        <v>3000</v>
      </c>
      <c r="C18" s="6" t="inlineStr">
        <is>
          <t>CIPC return + company secretary</t>
        </is>
      </c>
    </row>
    <row r="20" ht="18" customHeight="1">
      <c r="A20" s="10" t="inlineStr">
        <is>
          <t>CLIENT 1 (Founding — Davin referral / existing)</t>
        </is>
      </c>
    </row>
    <row r="21">
      <c r="A21" s="4" t="inlineStr">
        <is>
          <t>Start month</t>
        </is>
      </c>
      <c r="B21" s="7" t="n">
        <v>1</v>
      </c>
      <c r="C21" s="6" t="inlineStr">
        <is>
          <t>Month 1 = June 2026</t>
        </is>
      </c>
    </row>
    <row r="22">
      <c r="A22" s="4" t="inlineStr">
        <is>
          <t>Initial lump sum (R)</t>
        </is>
      </c>
      <c r="B22" s="8" t="n">
        <v>300000</v>
      </c>
      <c r="C22" s="6" t="inlineStr"/>
    </row>
    <row r="23">
      <c r="A23" s="4" t="inlineStr">
        <is>
          <t>Monthly contribution (R)</t>
        </is>
      </c>
      <c r="B23" s="8" t="n">
        <v>200000</v>
      </c>
      <c r="C23" s="6" t="inlineStr">
        <is>
          <t>Minimum 5 years</t>
        </is>
      </c>
    </row>
    <row r="24">
      <c r="A24" s="4" t="inlineStr">
        <is>
          <t>Platform fee rate</t>
        </is>
      </c>
      <c r="B24" s="5" t="n">
        <v>0.0075</v>
      </c>
      <c r="C24" s="6" t="inlineStr">
        <is>
          <t>0.75%</t>
        </is>
      </c>
    </row>
    <row r="25">
      <c r="A25" s="4" t="inlineStr">
        <is>
          <t>Performance fee rate</t>
        </is>
      </c>
      <c r="B25" s="5" t="n">
        <v>0.025</v>
      </c>
      <c r="C25" s="6" t="inlineStr">
        <is>
          <t>2.5% — negotiated rate for this client</t>
        </is>
      </c>
    </row>
    <row r="27" ht="18" customHeight="1">
      <c r="A27" s="10" t="inlineStr">
        <is>
          <t>CLIENT 2 (Founding — lined-up)</t>
        </is>
      </c>
    </row>
    <row r="28">
      <c r="A28" s="4" t="inlineStr">
        <is>
          <t>Start month</t>
        </is>
      </c>
      <c r="B28" s="7" t="n">
        <v>2</v>
      </c>
      <c r="C28" s="6" t="inlineStr">
        <is>
          <t>Month 2 = July 2026</t>
        </is>
      </c>
    </row>
    <row r="29">
      <c r="A29" s="4" t="inlineStr">
        <is>
          <t>Initial lump sum (R)</t>
        </is>
      </c>
      <c r="B29" s="7" t="n">
        <v>0</v>
      </c>
      <c r="C29" s="6" t="inlineStr"/>
    </row>
    <row r="30">
      <c r="A30" s="4" t="inlineStr">
        <is>
          <t>Monthly contribution (R)</t>
        </is>
      </c>
      <c r="B30" s="8" t="n">
        <v>40000</v>
      </c>
      <c r="C30" s="6" t="inlineStr"/>
    </row>
    <row r="31">
      <c r="A31" s="4" t="inlineStr">
        <is>
          <t>Platform fee rate</t>
        </is>
      </c>
      <c r="B31" s="5" t="n">
        <v>0.0075</v>
      </c>
      <c r="C31" s="6" t="inlineStr"/>
    </row>
    <row r="32">
      <c r="A32" s="4" t="inlineStr">
        <is>
          <t>Performance fee rate</t>
        </is>
      </c>
      <c r="B32" s="5" t="n">
        <v>0.1</v>
      </c>
      <c r="C32" s="6" t="inlineStr">
        <is>
          <t>Standard 10%</t>
        </is>
      </c>
    </row>
    <row r="34" ht="18" customHeight="1">
      <c r="A34" s="10" t="inlineStr">
        <is>
          <t>CLIENT 3 (Founding — large lump sum)</t>
        </is>
      </c>
    </row>
    <row r="35">
      <c r="A35" s="4" t="inlineStr">
        <is>
          <t>Start month</t>
        </is>
      </c>
      <c r="B35" s="7" t="n">
        <v>2</v>
      </c>
      <c r="C35" s="6" t="inlineStr">
        <is>
          <t>Month 2 = July 2026</t>
        </is>
      </c>
    </row>
    <row r="36">
      <c r="A36" s="4" t="inlineStr">
        <is>
          <t>Initial lump sum (R)</t>
        </is>
      </c>
      <c r="B36" s="8" t="n">
        <v>5000000</v>
      </c>
      <c r="C36" s="6" t="inlineStr"/>
    </row>
    <row r="37">
      <c r="A37" s="4" t="inlineStr">
        <is>
          <t>Monthly contribution (R)</t>
        </is>
      </c>
      <c r="B37" s="7" t="n">
        <v>0</v>
      </c>
      <c r="C37" s="6" t="inlineStr">
        <is>
          <t>No monthly contributions</t>
        </is>
      </c>
    </row>
    <row r="38">
      <c r="A38" s="4" t="inlineStr">
        <is>
          <t>Platform fee rate</t>
        </is>
      </c>
      <c r="B38" s="5" t="n">
        <v>0.0075</v>
      </c>
      <c r="C38" s="6" t="inlineStr">
        <is>
          <t>0.75% on lump sum = R37 500 on day 1</t>
        </is>
      </c>
    </row>
    <row r="39">
      <c r="A39" s="4" t="inlineStr">
        <is>
          <t>Performance fee rate</t>
        </is>
      </c>
      <c r="B39" s="5" t="n">
        <v>0.1</v>
      </c>
      <c r="C39" s="6" t="inlineStr">
        <is>
          <t>Standard 10%</t>
        </is>
      </c>
    </row>
    <row r="41" ht="18" customHeight="1">
      <c r="A41" s="10" t="inlineStr">
        <is>
          <t>CLIENT 4 (Founding — Simon / preferential)</t>
        </is>
      </c>
    </row>
    <row r="42">
      <c r="A42" s="4" t="inlineStr">
        <is>
          <t>Start month</t>
        </is>
      </c>
      <c r="B42" s="7" t="n">
        <v>2</v>
      </c>
      <c r="C42" s="6" t="inlineStr">
        <is>
          <t>Month 2 = July 2026</t>
        </is>
      </c>
    </row>
    <row r="43">
      <c r="A43" s="4" t="inlineStr">
        <is>
          <t>Initial lump sum (R)</t>
        </is>
      </c>
      <c r="B43" s="7" t="n">
        <v>0</v>
      </c>
      <c r="C43" s="6" t="inlineStr"/>
    </row>
    <row r="44">
      <c r="A44" s="4" t="inlineStr">
        <is>
          <t>Monthly contribution (R)</t>
        </is>
      </c>
      <c r="B44" s="8" t="n">
        <v>20000</v>
      </c>
      <c r="C44" s="6" t="inlineStr"/>
    </row>
    <row r="45">
      <c r="A45" s="4" t="inlineStr">
        <is>
          <t>Platform fee rate</t>
        </is>
      </c>
      <c r="B45" s="5" t="n">
        <v>0.0075</v>
      </c>
      <c r="C45" s="6" t="inlineStr"/>
    </row>
    <row r="46">
      <c r="A46" s="4" t="inlineStr">
        <is>
          <t>Performance fee rate</t>
        </is>
      </c>
      <c r="B46" s="5" t="n">
        <v>0.025</v>
      </c>
      <c r="C46" s="6" t="inlineStr">
        <is>
          <t>2.5% — preferential rate</t>
        </is>
      </c>
    </row>
    <row r="48" ht="18" customHeight="1">
      <c r="A48" s="11" t="inlineStr">
        <is>
          <t>NEW CLIENT ACQUISITION (rolling ramp)</t>
        </is>
      </c>
    </row>
    <row r="49">
      <c r="A49" s="4" t="inlineStr">
        <is>
          <t>Maximum cohort batches to model</t>
        </is>
      </c>
      <c r="B49" s="7" t="n">
        <v>12</v>
      </c>
      <c r="C49" s="6" t="inlineStr">
        <is>
          <t>Model adds 1 batch per interval up to this cap; total clients = batches × per-cohort</t>
        </is>
      </c>
    </row>
    <row r="50">
      <c r="A50" s="4" t="inlineStr">
        <is>
          <t>First cohort — start month</t>
        </is>
      </c>
      <c r="B50" s="7" t="n">
        <v>4</v>
      </c>
      <c r="C50" s="6" t="inlineStr">
        <is>
          <t>Month 4 = September 2026 (first quarter after founding 3)</t>
        </is>
      </c>
    </row>
    <row r="51">
      <c r="A51" s="4" t="inlineStr">
        <is>
          <t>Subsequent cohorts — interval (months)</t>
        </is>
      </c>
      <c r="B51" s="7" t="n">
        <v>3</v>
      </c>
      <c r="C51" s="6" t="inlineStr">
        <is>
          <t>1 new cohort every 3 months (quarterly). Change to 1 for monthly growth</t>
        </is>
      </c>
    </row>
    <row r="52">
      <c r="A52" s="4" t="inlineStr">
        <is>
          <t>New clients per cohort batch</t>
        </is>
      </c>
      <c r="B52" s="7" t="n">
        <v>1</v>
      </c>
      <c r="C52" s="6" t="inlineStr">
        <is>
          <t>Change to 2+ to onboard multiple clients per interval. NC Active# column shows total active clients</t>
        </is>
      </c>
    </row>
    <row r="53">
      <c r="A53" s="4" t="inlineStr">
        <is>
          <t>New client initial lump sum (R, per client)</t>
        </is>
      </c>
      <c r="B53" s="7" t="n">
        <v>0</v>
      </c>
      <c r="C53" s="6" t="inlineStr">
        <is>
          <t>Applied per client; if 2 clients per batch and lump=500k → R1m lump per batch</t>
        </is>
      </c>
    </row>
    <row r="54">
      <c r="A54" s="4" t="inlineStr">
        <is>
          <t>New client monthly contribution (R, per client)</t>
        </is>
      </c>
      <c r="B54" s="8" t="n">
        <v>50000</v>
      </c>
      <c r="C54" s="6" t="inlineStr">
        <is>
          <t>Per client per month; total = active_clients × this value</t>
        </is>
      </c>
    </row>
    <row r="55">
      <c r="A55" s="4" t="inlineStr">
        <is>
          <t>New client platform fee rate</t>
        </is>
      </c>
      <c r="B55" s="5" t="n">
        <v>0.0075</v>
      </c>
      <c r="C55" s="6" t="inlineStr">
        <is>
          <t>Standard 0.75%</t>
        </is>
      </c>
    </row>
    <row r="56">
      <c r="A56" s="4" t="inlineStr">
        <is>
          <t>New client performance fee rate</t>
        </is>
      </c>
      <c r="B56" s="5" t="n">
        <v>0.1</v>
      </c>
      <c r="C56" s="6" t="inlineStr">
        <is>
          <t>Standard 10%</t>
        </is>
      </c>
    </row>
    <row r="58" ht="18" customHeight="1">
      <c r="A58" s="12" t="inlineStr">
        <is>
          <t>FORECAST PARAMETERS</t>
        </is>
      </c>
    </row>
    <row r="59">
      <c r="A59" s="4" t="inlineStr">
        <is>
          <t>Forecast months</t>
        </is>
      </c>
      <c r="B59" s="7" t="n">
        <v>48</v>
      </c>
      <c r="C59" s="6" t="inlineStr">
        <is>
          <t>Max 48 (4 years). Rows beyond this will show blank.</t>
        </is>
      </c>
    </row>
    <row r="60">
      <c r="A60" s="4" t="inlineStr">
        <is>
          <t>Model start year</t>
        </is>
      </c>
      <c r="B60" s="9" t="n">
        <v>2026</v>
      </c>
      <c r="C60" s="6" t="inlineStr">
        <is>
          <t>Calendar year of Month 1</t>
        </is>
      </c>
    </row>
    <row r="61">
      <c r="A61" s="4" t="inlineStr">
        <is>
          <t>Model start calendar month (1=Jan … 12=Dec)</t>
        </is>
      </c>
      <c r="B61" s="13" t="n">
        <v>6</v>
      </c>
      <c r="C61" s="6" t="inlineStr">
        <is>
          <t>6 = June</t>
        </is>
      </c>
    </row>
    <row r="64" ht="48" customHeight="1">
      <c r="A64" s="14" t="inlineStr">
        <is>
          <t>★  Yellow cells are editable.  The MONTHLY FORECAST sheet uses Excel formulas that reference these cells — change any value above and the forecast updates automatically.  Performance fee note: model uses simplified monthly accrual (fee = AUM × monthly_return × perf_rate) which closely approximates the quarterly HWM crystallisation approach (verified within 1% annual variance).</t>
        </is>
      </c>
    </row>
  </sheetData>
  <mergeCells count="11">
    <mergeCell ref="A41:C41"/>
    <mergeCell ref="A11:C11"/>
    <mergeCell ref="A1:C1"/>
    <mergeCell ref="A58:C58"/>
    <mergeCell ref="A27:C27"/>
    <mergeCell ref="A34:C34"/>
    <mergeCell ref="A4:C4"/>
    <mergeCell ref="A48:C48"/>
    <mergeCell ref="A20:C20"/>
    <mergeCell ref="A2:C2"/>
    <mergeCell ref="A64:C6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6064"/>
    <outlinePr summaryBelow="1" summaryRight="1"/>
    <pageSetUpPr/>
  </sheetPr>
  <dimension ref="A1:AM54"/>
  <sheetViews>
    <sheetView showGridLines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9" customWidth="1" min="2" max="2"/>
    <col width="8" customWidth="1" min="3" max="3"/>
    <col hidden="1" outlineLevel="1" width="13" customWidth="1" min="4" max="4"/>
    <col hidden="1" outlineLevel="1" width="12" customWidth="1" min="5" max="5"/>
    <col hidden="1" outlineLevel="1" width="12" customWidth="1" min="6" max="6"/>
    <col hidden="1" outlineLevel="1" width="14" customWidth="1" min="7" max="7"/>
    <col hidden="1" outlineLevel="1" width="13" customWidth="1" min="8" max="8"/>
    <col hidden="1" outlineLevel="1" width="12" customWidth="1" min="9" max="9"/>
    <col hidden="1" outlineLevel="1" width="12" customWidth="1" min="10" max="10"/>
    <col hidden="1" outlineLevel="1" width="14" customWidth="1" min="11" max="11"/>
    <col hidden="1" outlineLevel="1" width="13" customWidth="1" min="12" max="12"/>
    <col hidden="1" outlineLevel="1" width="12" customWidth="1" min="13" max="13"/>
    <col hidden="1" outlineLevel="1" width="12" customWidth="1" min="14" max="14"/>
    <col hidden="1" outlineLevel="1" width="14" customWidth="1" min="15" max="15"/>
    <col hidden="1" outlineLevel="1" width="13" customWidth="1" min="16" max="16"/>
    <col hidden="1" outlineLevel="1" width="12" customWidth="1" min="17" max="17"/>
    <col hidden="1" outlineLevel="1" width="12" customWidth="1" min="18" max="18"/>
    <col hidden="1" outlineLevel="1" width="14" customWidth="1" min="19" max="19"/>
    <col hidden="1" outlineLevel="1" width="8" customWidth="1" min="20" max="20"/>
    <col hidden="1" outlineLevel="1" width="14" customWidth="1" min="21" max="21"/>
    <col hidden="1" outlineLevel="1" width="12" customWidth="1" min="22" max="22"/>
    <col hidden="1" outlineLevel="1" width="12" customWidth="1" min="23" max="23"/>
    <col hidden="1" outlineLevel="1" width="14" customWidth="1" min="24" max="24"/>
    <col width="14" customWidth="1" min="25" max="25"/>
    <col width="14" customWidth="1" min="26" max="26"/>
    <col width="14" customWidth="1" min="27" max="27"/>
    <col width="15" customWidth="1" min="28" max="28"/>
    <col width="16" customWidth="1" min="29" max="29"/>
    <col width="14" customWidth="1" min="30" max="30"/>
    <col width="13" customWidth="1" min="31" max="31"/>
    <col width="14" customWidth="1" min="32" max="32"/>
    <col width="11" customWidth="1" min="33" max="33"/>
    <col width="11" customWidth="1" min="34" max="34"/>
    <col width="13" customWidth="1" min="35" max="35"/>
    <col width="14" customWidth="1" min="36" max="36"/>
    <col width="14" customWidth="1" min="37" max="37"/>
    <col width="16" customWidth="1" min="38" max="38"/>
    <col width="16" customWidth="1" min="39" max="39"/>
  </cols>
  <sheetData>
    <row r="1" ht="22" customHeight="1">
      <c r="A1" s="15" t="inlineStr">
        <is>
          <t>BitWealth (Pty) Ltd — 48-Month Operating Cashflow Forecast v3.0  ·  All formulas auto-update when VARIABLES are changed</t>
        </is>
      </c>
    </row>
    <row r="2">
      <c r="A2" s="16" t="inlineStr">
        <is>
          <t>PERIOD</t>
        </is>
      </c>
      <c r="D2" s="17" t="inlineStr">
        <is>
          <t>CLIENT DETAIL (hidden by default — click + to expand)</t>
        </is>
      </c>
      <c r="T2" s="18" t="inlineStr">
        <is>
          <t>NEW CLIENTS</t>
        </is>
      </c>
      <c r="Y2" s="18" t="inlineStr">
        <is>
          <t>REVENUE</t>
        </is>
      </c>
      <c r="AC2" s="19" t="inlineStr">
        <is>
          <t>TOTAL AUM</t>
        </is>
      </c>
      <c r="AD2" s="20" t="inlineStr">
        <is>
          <t>COSTS</t>
        </is>
      </c>
      <c r="AJ2" s="21" t="inlineStr">
        <is>
          <t>RESERVE</t>
        </is>
      </c>
      <c r="AK2" s="19" t="inlineStr">
        <is>
          <t>CASHFLOW</t>
        </is>
      </c>
    </row>
    <row r="3" ht="42" customHeight="1">
      <c r="A3" s="22" t="inlineStr">
        <is>
          <t>Month
#</t>
        </is>
      </c>
      <c r="B3" s="22" t="inlineStr">
        <is>
          <t>Month</t>
        </is>
      </c>
      <c r="C3" s="22" t="inlineStr">
        <is>
          <t>Monthly
Return %</t>
        </is>
      </c>
      <c r="D3" s="23" t="inlineStr">
        <is>
          <t>C1
Contrib</t>
        </is>
      </c>
      <c r="E3" s="23" t="inlineStr">
        <is>
          <t>C1
Plat Fee</t>
        </is>
      </c>
      <c r="F3" s="23" t="inlineStr">
        <is>
          <t>C1
Perf Fee</t>
        </is>
      </c>
      <c r="G3" s="23" t="inlineStr">
        <is>
          <t>C1
AUM</t>
        </is>
      </c>
      <c r="H3" s="23" t="inlineStr">
        <is>
          <t>C2
Contrib</t>
        </is>
      </c>
      <c r="I3" s="23" t="inlineStr">
        <is>
          <t>C2
Plat Fee</t>
        </is>
      </c>
      <c r="J3" s="23" t="inlineStr">
        <is>
          <t>C2
Perf Fee</t>
        </is>
      </c>
      <c r="K3" s="23" t="inlineStr">
        <is>
          <t>C2
AUM</t>
        </is>
      </c>
      <c r="L3" s="23" t="inlineStr">
        <is>
          <t>C3
Contrib</t>
        </is>
      </c>
      <c r="M3" s="23" t="inlineStr">
        <is>
          <t>C3
Plat Fee</t>
        </is>
      </c>
      <c r="N3" s="23" t="inlineStr">
        <is>
          <t>C3
Perf Fee</t>
        </is>
      </c>
      <c r="O3" s="23" t="inlineStr">
        <is>
          <t>C3
AUM</t>
        </is>
      </c>
      <c r="P3" s="23" t="inlineStr">
        <is>
          <t>C4
Contrib</t>
        </is>
      </c>
      <c r="Q3" s="23" t="inlineStr">
        <is>
          <t>C4
Plat Fee</t>
        </is>
      </c>
      <c r="R3" s="23" t="inlineStr">
        <is>
          <t>C4
Perf Fee</t>
        </is>
      </c>
      <c r="S3" s="23" t="inlineStr">
        <is>
          <t>C4
AUM</t>
        </is>
      </c>
      <c r="T3" s="23" t="inlineStr">
        <is>
          <t>NC
Active#</t>
        </is>
      </c>
      <c r="U3" s="23" t="inlineStr">
        <is>
          <t>NC
Contrib</t>
        </is>
      </c>
      <c r="V3" s="23" t="inlineStr">
        <is>
          <t>NC
Plat Fee</t>
        </is>
      </c>
      <c r="W3" s="23" t="inlineStr">
        <is>
          <t>NC
Perf Fee</t>
        </is>
      </c>
      <c r="X3" s="23" t="inlineStr">
        <is>
          <t>NC
AUM</t>
        </is>
      </c>
      <c r="Y3" s="24" t="inlineStr">
        <is>
          <t>Total
Contrib</t>
        </is>
      </c>
      <c r="Z3" s="24" t="inlineStr">
        <is>
          <t>Total
Plat Fee</t>
        </is>
      </c>
      <c r="AA3" s="24" t="inlineStr">
        <is>
          <t>Total
Perf Fee</t>
        </is>
      </c>
      <c r="AB3" s="24" t="inlineStr">
        <is>
          <t>TOTAL
REVENUE</t>
        </is>
      </c>
      <c r="AC3" s="22" t="inlineStr">
        <is>
          <t>TOTAL
AUM</t>
        </is>
      </c>
      <c r="AD3" s="25" t="inlineStr">
        <is>
          <t>CAEP
Onboard</t>
        </is>
      </c>
      <c r="AE3" s="25" t="inlineStr">
        <is>
          <t>CAEP
Hosting</t>
        </is>
      </c>
      <c r="AF3" s="25" t="inlineStr">
        <is>
          <t>CAEP
AUM Fee</t>
        </is>
      </c>
      <c r="AG3" s="25" t="inlineStr">
        <is>
          <t>Software</t>
        </is>
      </c>
      <c r="AH3" s="25" t="inlineStr">
        <is>
          <t>Co Sec</t>
        </is>
      </c>
      <c r="AI3" s="25" t="inlineStr">
        <is>
          <t>TOTAL
COSTS</t>
        </is>
      </c>
      <c r="AJ3" s="26" t="inlineStr">
        <is>
          <t>Reserve
Provision</t>
        </is>
      </c>
      <c r="AK3" s="22" t="inlineStr">
        <is>
          <t>NET CASH
(after reserve)</t>
        </is>
      </c>
      <c r="AL3" s="22" t="inlineStr">
        <is>
          <t>CUMULATIVE
CASH</t>
        </is>
      </c>
      <c r="AM3" s="22" t="inlineStr">
        <is>
          <t>Reserve
Fund Bal</t>
        </is>
      </c>
    </row>
    <row r="4">
      <c r="A4" s="27" t="n">
        <v>1</v>
      </c>
      <c r="B4" s="28">
        <f>TEXT(DATE(VARIABLES!$B$60+INT((VARIABLES!$B$61+A4-2)/12),MOD(VARIABLES!$B$61+A4-2,12)+1,1),"mmm-yy")</f>
        <v/>
      </c>
      <c r="C4" s="29">
        <f>IF($A4&lt;VARIABLES!$B$7,VARIABLES!$B$5/12,VARIABLES!$B$6/12)</f>
        <v/>
      </c>
      <c r="D4" s="30">
        <f>IF($A4&lt;VARIABLES!$B$21,0,IF($A4=VARIABLES!$B$21,VARIABLES!$B$22+VARIABLES!$B$23,VARIABLES!$B$23))</f>
        <v/>
      </c>
      <c r="E4" s="30">
        <f>D4*VARIABLES!$B$24</f>
        <v/>
      </c>
      <c r="F4" s="30">
        <f>IF($A4&lt;VARIABLES!$B$21,0,(IF($A4=VARIABLES!$B$21,0,G3)+D4)*C4*VARIABLES!$B$25)</f>
        <v/>
      </c>
      <c r="G4" s="30">
        <f>IF($A4&lt;VARIABLES!$B$21,0,(IF($A4=VARIABLES!$B$21,0,G3)+D4)*(1+C4)-F4)</f>
        <v/>
      </c>
      <c r="H4" s="30">
        <f>IF($A4&lt;VARIABLES!$B$28,0,IF($A4=VARIABLES!$B$28,VARIABLES!$B$29+VARIABLES!$B$30,VARIABLES!$B$30))</f>
        <v/>
      </c>
      <c r="I4" s="30">
        <f>H4*VARIABLES!$B$31</f>
        <v/>
      </c>
      <c r="J4" s="30">
        <f>IF($A4&lt;VARIABLES!$B$28,0,(IF($A4=VARIABLES!$B$28,0,K3)+H4)*C4*VARIABLES!$B$32)</f>
        <v/>
      </c>
      <c r="K4" s="30">
        <f>IF($A4&lt;VARIABLES!$B$28,0,(IF($A4=VARIABLES!$B$28,0,K3)+H4)*(1+C4)-J4)</f>
        <v/>
      </c>
      <c r="L4" s="30">
        <f>IF($A4&lt;VARIABLES!$B$35,0,IF($A4=VARIABLES!$B$35,VARIABLES!$B$36+VARIABLES!$B$37,VARIABLES!$B$37))</f>
        <v/>
      </c>
      <c r="M4" s="30">
        <f>L4*VARIABLES!$B$38</f>
        <v/>
      </c>
      <c r="N4" s="30">
        <f>IF($A4&lt;VARIABLES!$B$35,0,(IF($A4=VARIABLES!$B$35,0,O3)+L4)*C4*VARIABLES!$B$39)</f>
        <v/>
      </c>
      <c r="O4" s="30">
        <f>IF($A4&lt;VARIABLES!$B$35,0,(IF($A4=VARIABLES!$B$35,0,O3)+L4)*(1+C4)-N4)</f>
        <v/>
      </c>
      <c r="P4" s="30">
        <f>IF($A4&lt;VARIABLES!$B$42,0,IF($A4=VARIABLES!$B$42,VARIABLES!$B$43+VARIABLES!$B$44,VARIABLES!$B$44))</f>
        <v/>
      </c>
      <c r="Q4" s="30">
        <f>P4*VARIABLES!$B$45</f>
        <v/>
      </c>
      <c r="R4" s="30">
        <f>IF($A4&lt;VARIABLES!$B$42,0,(IF($A4=VARIABLES!$B$42,0,S3)+P4)*C4*VARIABLES!$B$46)</f>
        <v/>
      </c>
      <c r="S4" s="30">
        <f>IF($A4&lt;VARIABLES!$B$42,0,(IF($A4=VARIABLES!$B$42,0,S3)+P4)*(1+C4)-R4)</f>
        <v/>
      </c>
      <c r="T4" s="31">
        <f>IF($A4&lt;VARIABLES!$B$50,0,MIN(VARIABLES!$B$49,INT(($A4-VARIABLES!$B$50)/VARIABLES!$B$51)+1)*VARIABLES!$B$52)</f>
        <v/>
      </c>
      <c r="U4" s="30">
        <f>T4*VARIABLES!$B$54+IF(AND($A4&gt;=VARIABLES!$B$50,MOD($A4-VARIABLES!$B$50,VARIABLES!$B$51)=0,INT(($A4-VARIABLES!$B$50)/VARIABLES!$B$51)&lt;VARIABLES!$B$49),VARIABLES!$B$52*VARIABLES!$B$53,0)</f>
        <v/>
      </c>
      <c r="V4" s="30">
        <f>U4*VARIABLES!$B$55</f>
        <v/>
      </c>
      <c r="W4" s="30">
        <f>IF($A4&lt;VARIABLES!$B$50,0,(IF($A4&lt;VARIABLES!$B$50+1,0,X3)+U4)*C4*VARIABLES!$B$56)</f>
        <v/>
      </c>
      <c r="X4" s="30">
        <f>IF($A4&lt;VARIABLES!$B$50,0,(IF($A4&lt;VARIABLES!$B$50+1,0,X3)+U4)*(1+C4)-W4)</f>
        <v/>
      </c>
      <c r="Y4" s="30">
        <f>D4+H4+L4+P4+U4</f>
        <v/>
      </c>
      <c r="Z4" s="30">
        <f>E4+I4+M4+Q4+V4</f>
        <v/>
      </c>
      <c r="AA4" s="30">
        <f>F4+J4+N4+R4+W4</f>
        <v/>
      </c>
      <c r="AB4" s="32">
        <f>Z4+AA4</f>
        <v/>
      </c>
      <c r="AC4" s="33">
        <f>G4+K4+O4+S4+X4</f>
        <v/>
      </c>
      <c r="AD4" s="30">
        <f>IF($A4=1,VARIABLES!$B$12,0)</f>
        <v/>
      </c>
      <c r="AE4" s="30">
        <f>IF($A4&lt;=3,VARIABLES!$B$13,IF($A4&lt;=6,VARIABLES!$B$14,VARIABLES!$B$15))</f>
        <v/>
      </c>
      <c r="AF4" s="30">
        <f>IF(MOD($A4,12)=0,AC4*VARIABLES!$B$16,0)</f>
        <v/>
      </c>
      <c r="AG4" s="30">
        <f>VARIABLES!$B$17</f>
        <v/>
      </c>
      <c r="AH4" s="30">
        <f>IF(MOD($A4,12)=0,VARIABLES!$B$18,0)</f>
        <v/>
      </c>
      <c r="AI4" s="34">
        <f>AD4+AE4+AF4+AG4+AH4</f>
        <v/>
      </c>
      <c r="AJ4" s="35">
        <f>IF($A4&lt;VARIABLES!$B$7,VARIABLES!$B$9,0)</f>
        <v/>
      </c>
      <c r="AK4" s="36">
        <f>AB4-AI4-AJ4</f>
        <v/>
      </c>
      <c r="AL4" s="36">
        <f>AK4</f>
        <v/>
      </c>
      <c r="AM4" s="37">
        <f>AJ4</f>
        <v/>
      </c>
    </row>
    <row r="5">
      <c r="A5" s="38" t="n">
        <v>2</v>
      </c>
      <c r="B5" s="39">
        <f>TEXT(DATE(VARIABLES!$B$60+INT((VARIABLES!$B$61+A5-2)/12),MOD(VARIABLES!$B$61+A5-2,12)+1,1),"mmm-yy")</f>
        <v/>
      </c>
      <c r="C5" s="40">
        <f>IF($A5&lt;VARIABLES!$B$7,VARIABLES!$B$5/12,VARIABLES!$B$6/12)</f>
        <v/>
      </c>
      <c r="D5" s="41">
        <f>IF($A5&lt;VARIABLES!$B$21,0,IF($A5=VARIABLES!$B$21,VARIABLES!$B$22+VARIABLES!$B$23,VARIABLES!$B$23))</f>
        <v/>
      </c>
      <c r="E5" s="41">
        <f>D5*VARIABLES!$B$24</f>
        <v/>
      </c>
      <c r="F5" s="41">
        <f>IF($A5&lt;VARIABLES!$B$21,0,(IF($A5=VARIABLES!$B$21,0,G4)+D5)*C5*VARIABLES!$B$25)</f>
        <v/>
      </c>
      <c r="G5" s="41">
        <f>IF($A5&lt;VARIABLES!$B$21,0,(IF($A5=VARIABLES!$B$21,0,G4)+D5)*(1+C5)-F5)</f>
        <v/>
      </c>
      <c r="H5" s="41">
        <f>IF($A5&lt;VARIABLES!$B$28,0,IF($A5=VARIABLES!$B$28,VARIABLES!$B$29+VARIABLES!$B$30,VARIABLES!$B$30))</f>
        <v/>
      </c>
      <c r="I5" s="41">
        <f>H5*VARIABLES!$B$31</f>
        <v/>
      </c>
      <c r="J5" s="41">
        <f>IF($A5&lt;VARIABLES!$B$28,0,(IF($A5=VARIABLES!$B$28,0,K4)+H5)*C5*VARIABLES!$B$32)</f>
        <v/>
      </c>
      <c r="K5" s="41">
        <f>IF($A5&lt;VARIABLES!$B$28,0,(IF($A5=VARIABLES!$B$28,0,K4)+H5)*(1+C5)-J5)</f>
        <v/>
      </c>
      <c r="L5" s="41">
        <f>IF($A5&lt;VARIABLES!$B$35,0,IF($A5=VARIABLES!$B$35,VARIABLES!$B$36+VARIABLES!$B$37,VARIABLES!$B$37))</f>
        <v/>
      </c>
      <c r="M5" s="41">
        <f>L5*VARIABLES!$B$38</f>
        <v/>
      </c>
      <c r="N5" s="41">
        <f>IF($A5&lt;VARIABLES!$B$35,0,(IF($A5=VARIABLES!$B$35,0,O4)+L5)*C5*VARIABLES!$B$39)</f>
        <v/>
      </c>
      <c r="O5" s="41">
        <f>IF($A5&lt;VARIABLES!$B$35,0,(IF($A5=VARIABLES!$B$35,0,O4)+L5)*(1+C5)-N5)</f>
        <v/>
      </c>
      <c r="P5" s="41">
        <f>IF($A5&lt;VARIABLES!$B$42,0,IF($A5=VARIABLES!$B$42,VARIABLES!$B$43+VARIABLES!$B$44,VARIABLES!$B$44))</f>
        <v/>
      </c>
      <c r="Q5" s="41">
        <f>P5*VARIABLES!$B$45</f>
        <v/>
      </c>
      <c r="R5" s="41">
        <f>IF($A5&lt;VARIABLES!$B$42,0,(IF($A5=VARIABLES!$B$42,0,S4)+P5)*C5*VARIABLES!$B$46)</f>
        <v/>
      </c>
      <c r="S5" s="41">
        <f>IF($A5&lt;VARIABLES!$B$42,0,(IF($A5=VARIABLES!$B$42,0,S4)+P5)*(1+C5)-R5)</f>
        <v/>
      </c>
      <c r="T5" s="42">
        <f>IF($A5&lt;VARIABLES!$B$50,0,MIN(VARIABLES!$B$49,INT(($A5-VARIABLES!$B$50)/VARIABLES!$B$51)+1)*VARIABLES!$B$52)</f>
        <v/>
      </c>
      <c r="U5" s="41">
        <f>T5*VARIABLES!$B$54+IF(AND($A5&gt;=VARIABLES!$B$50,MOD($A5-VARIABLES!$B$50,VARIABLES!$B$51)=0,INT(($A5-VARIABLES!$B$50)/VARIABLES!$B$51)&lt;VARIABLES!$B$49),VARIABLES!$B$52*VARIABLES!$B$53,0)</f>
        <v/>
      </c>
      <c r="V5" s="41">
        <f>U5*VARIABLES!$B$55</f>
        <v/>
      </c>
      <c r="W5" s="41">
        <f>IF($A5&lt;VARIABLES!$B$50,0,(IF($A5&lt;VARIABLES!$B$50+1,0,X4)+U5)*C5*VARIABLES!$B$56)</f>
        <v/>
      </c>
      <c r="X5" s="41">
        <f>IF($A5&lt;VARIABLES!$B$50,0,(IF($A5&lt;VARIABLES!$B$50+1,0,X4)+U5)*(1+C5)-W5)</f>
        <v/>
      </c>
      <c r="Y5" s="41">
        <f>D5+H5+L5+P5+U5</f>
        <v/>
      </c>
      <c r="Z5" s="41">
        <f>E5+I5+M5+Q5+V5</f>
        <v/>
      </c>
      <c r="AA5" s="41">
        <f>F5+J5+N5+R5+W5</f>
        <v/>
      </c>
      <c r="AB5" s="32">
        <f>Z5+AA5</f>
        <v/>
      </c>
      <c r="AC5" s="33">
        <f>G5+K5+O5+S5+X5</f>
        <v/>
      </c>
      <c r="AD5" s="41">
        <f>IF($A5=1,VARIABLES!$B$12,0)</f>
        <v/>
      </c>
      <c r="AE5" s="41">
        <f>IF($A5&lt;=3,VARIABLES!$B$13,IF($A5&lt;=6,VARIABLES!$B$14,VARIABLES!$B$15))</f>
        <v/>
      </c>
      <c r="AF5" s="41">
        <f>IF(MOD($A5,12)=0,AC5*VARIABLES!$B$16,0)</f>
        <v/>
      </c>
      <c r="AG5" s="41">
        <f>VARIABLES!$B$17</f>
        <v/>
      </c>
      <c r="AH5" s="41">
        <f>IF(MOD($A5,12)=0,VARIABLES!$B$18,0)</f>
        <v/>
      </c>
      <c r="AI5" s="34">
        <f>AD5+AE5+AF5+AG5+AH5</f>
        <v/>
      </c>
      <c r="AJ5" s="35">
        <f>IF($A5&lt;VARIABLES!$B$7,VARIABLES!$B$9,0)</f>
        <v/>
      </c>
      <c r="AK5" s="43">
        <f>AB5-AI5-AJ5</f>
        <v/>
      </c>
      <c r="AL5" s="43">
        <f>AL4+AK5</f>
        <v/>
      </c>
      <c r="AM5" s="37">
        <f>AM4+AJ5</f>
        <v/>
      </c>
    </row>
    <row r="6">
      <c r="A6" s="27" t="n">
        <v>3</v>
      </c>
      <c r="B6" s="28">
        <f>TEXT(DATE(VARIABLES!$B$60+INT((VARIABLES!$B$61+A6-2)/12),MOD(VARIABLES!$B$61+A6-2,12)+1,1),"mmm-yy")</f>
        <v/>
      </c>
      <c r="C6" s="29">
        <f>IF($A6&lt;VARIABLES!$B$7,VARIABLES!$B$5/12,VARIABLES!$B$6/12)</f>
        <v/>
      </c>
      <c r="D6" s="30">
        <f>IF($A6&lt;VARIABLES!$B$21,0,IF($A6=VARIABLES!$B$21,VARIABLES!$B$22+VARIABLES!$B$23,VARIABLES!$B$23))</f>
        <v/>
      </c>
      <c r="E6" s="30">
        <f>D6*VARIABLES!$B$24</f>
        <v/>
      </c>
      <c r="F6" s="30">
        <f>IF($A6&lt;VARIABLES!$B$21,0,(IF($A6=VARIABLES!$B$21,0,G5)+D6)*C6*VARIABLES!$B$25)</f>
        <v/>
      </c>
      <c r="G6" s="30">
        <f>IF($A6&lt;VARIABLES!$B$21,0,(IF($A6=VARIABLES!$B$21,0,G5)+D6)*(1+C6)-F6)</f>
        <v/>
      </c>
      <c r="H6" s="30">
        <f>IF($A6&lt;VARIABLES!$B$28,0,IF($A6=VARIABLES!$B$28,VARIABLES!$B$29+VARIABLES!$B$30,VARIABLES!$B$30))</f>
        <v/>
      </c>
      <c r="I6" s="30">
        <f>H6*VARIABLES!$B$31</f>
        <v/>
      </c>
      <c r="J6" s="30">
        <f>IF($A6&lt;VARIABLES!$B$28,0,(IF($A6=VARIABLES!$B$28,0,K5)+H6)*C6*VARIABLES!$B$32)</f>
        <v/>
      </c>
      <c r="K6" s="30">
        <f>IF($A6&lt;VARIABLES!$B$28,0,(IF($A6=VARIABLES!$B$28,0,K5)+H6)*(1+C6)-J6)</f>
        <v/>
      </c>
      <c r="L6" s="30">
        <f>IF($A6&lt;VARIABLES!$B$35,0,IF($A6=VARIABLES!$B$35,VARIABLES!$B$36+VARIABLES!$B$37,VARIABLES!$B$37))</f>
        <v/>
      </c>
      <c r="M6" s="30">
        <f>L6*VARIABLES!$B$38</f>
        <v/>
      </c>
      <c r="N6" s="30">
        <f>IF($A6&lt;VARIABLES!$B$35,0,(IF($A6=VARIABLES!$B$35,0,O5)+L6)*C6*VARIABLES!$B$39)</f>
        <v/>
      </c>
      <c r="O6" s="30">
        <f>IF($A6&lt;VARIABLES!$B$35,0,(IF($A6=VARIABLES!$B$35,0,O5)+L6)*(1+C6)-N6)</f>
        <v/>
      </c>
      <c r="P6" s="30">
        <f>IF($A6&lt;VARIABLES!$B$42,0,IF($A6=VARIABLES!$B$42,VARIABLES!$B$43+VARIABLES!$B$44,VARIABLES!$B$44))</f>
        <v/>
      </c>
      <c r="Q6" s="30">
        <f>P6*VARIABLES!$B$45</f>
        <v/>
      </c>
      <c r="R6" s="30">
        <f>IF($A6&lt;VARIABLES!$B$42,0,(IF($A6=VARIABLES!$B$42,0,S5)+P6)*C6*VARIABLES!$B$46)</f>
        <v/>
      </c>
      <c r="S6" s="30">
        <f>IF($A6&lt;VARIABLES!$B$42,0,(IF($A6=VARIABLES!$B$42,0,S5)+P6)*(1+C6)-R6)</f>
        <v/>
      </c>
      <c r="T6" s="31">
        <f>IF($A6&lt;VARIABLES!$B$50,0,MIN(VARIABLES!$B$49,INT(($A6-VARIABLES!$B$50)/VARIABLES!$B$51)+1)*VARIABLES!$B$52)</f>
        <v/>
      </c>
      <c r="U6" s="30">
        <f>T6*VARIABLES!$B$54+IF(AND($A6&gt;=VARIABLES!$B$50,MOD($A6-VARIABLES!$B$50,VARIABLES!$B$51)=0,INT(($A6-VARIABLES!$B$50)/VARIABLES!$B$51)&lt;VARIABLES!$B$49),VARIABLES!$B$52*VARIABLES!$B$53,0)</f>
        <v/>
      </c>
      <c r="V6" s="30">
        <f>U6*VARIABLES!$B$55</f>
        <v/>
      </c>
      <c r="W6" s="30">
        <f>IF($A6&lt;VARIABLES!$B$50,0,(IF($A6&lt;VARIABLES!$B$50+1,0,X5)+U6)*C6*VARIABLES!$B$56)</f>
        <v/>
      </c>
      <c r="X6" s="30">
        <f>IF($A6&lt;VARIABLES!$B$50,0,(IF($A6&lt;VARIABLES!$B$50+1,0,X5)+U6)*(1+C6)-W6)</f>
        <v/>
      </c>
      <c r="Y6" s="30">
        <f>D6+H6+L6+P6+U6</f>
        <v/>
      </c>
      <c r="Z6" s="30">
        <f>E6+I6+M6+Q6+V6</f>
        <v/>
      </c>
      <c r="AA6" s="30">
        <f>F6+J6+N6+R6+W6</f>
        <v/>
      </c>
      <c r="AB6" s="32">
        <f>Z6+AA6</f>
        <v/>
      </c>
      <c r="AC6" s="33">
        <f>G6+K6+O6+S6+X6</f>
        <v/>
      </c>
      <c r="AD6" s="30">
        <f>IF($A6=1,VARIABLES!$B$12,0)</f>
        <v/>
      </c>
      <c r="AE6" s="30">
        <f>IF($A6&lt;=3,VARIABLES!$B$13,IF($A6&lt;=6,VARIABLES!$B$14,VARIABLES!$B$15))</f>
        <v/>
      </c>
      <c r="AF6" s="30">
        <f>IF(MOD($A6,12)=0,AC6*VARIABLES!$B$16,0)</f>
        <v/>
      </c>
      <c r="AG6" s="30">
        <f>VARIABLES!$B$17</f>
        <v/>
      </c>
      <c r="AH6" s="30">
        <f>IF(MOD($A6,12)=0,VARIABLES!$B$18,0)</f>
        <v/>
      </c>
      <c r="AI6" s="34">
        <f>AD6+AE6+AF6+AG6+AH6</f>
        <v/>
      </c>
      <c r="AJ6" s="35">
        <f>IF($A6&lt;VARIABLES!$B$7,VARIABLES!$B$9,0)</f>
        <v/>
      </c>
      <c r="AK6" s="36">
        <f>AB6-AI6-AJ6</f>
        <v/>
      </c>
      <c r="AL6" s="36">
        <f>AL5+AK6</f>
        <v/>
      </c>
      <c r="AM6" s="37">
        <f>AM5+AJ6</f>
        <v/>
      </c>
    </row>
    <row r="7">
      <c r="A7" s="38" t="n">
        <v>4</v>
      </c>
      <c r="B7" s="39">
        <f>TEXT(DATE(VARIABLES!$B$60+INT((VARIABLES!$B$61+A7-2)/12),MOD(VARIABLES!$B$61+A7-2,12)+1,1),"mmm-yy")</f>
        <v/>
      </c>
      <c r="C7" s="40">
        <f>IF($A7&lt;VARIABLES!$B$7,VARIABLES!$B$5/12,VARIABLES!$B$6/12)</f>
        <v/>
      </c>
      <c r="D7" s="41">
        <f>IF($A7&lt;VARIABLES!$B$21,0,IF($A7=VARIABLES!$B$21,VARIABLES!$B$22+VARIABLES!$B$23,VARIABLES!$B$23))</f>
        <v/>
      </c>
      <c r="E7" s="41">
        <f>D7*VARIABLES!$B$24</f>
        <v/>
      </c>
      <c r="F7" s="41">
        <f>IF($A7&lt;VARIABLES!$B$21,0,(IF($A7=VARIABLES!$B$21,0,G6)+D7)*C7*VARIABLES!$B$25)</f>
        <v/>
      </c>
      <c r="G7" s="41">
        <f>IF($A7&lt;VARIABLES!$B$21,0,(IF($A7=VARIABLES!$B$21,0,G6)+D7)*(1+C7)-F7)</f>
        <v/>
      </c>
      <c r="H7" s="41">
        <f>IF($A7&lt;VARIABLES!$B$28,0,IF($A7=VARIABLES!$B$28,VARIABLES!$B$29+VARIABLES!$B$30,VARIABLES!$B$30))</f>
        <v/>
      </c>
      <c r="I7" s="41">
        <f>H7*VARIABLES!$B$31</f>
        <v/>
      </c>
      <c r="J7" s="41">
        <f>IF($A7&lt;VARIABLES!$B$28,0,(IF($A7=VARIABLES!$B$28,0,K6)+H7)*C7*VARIABLES!$B$32)</f>
        <v/>
      </c>
      <c r="K7" s="41">
        <f>IF($A7&lt;VARIABLES!$B$28,0,(IF($A7=VARIABLES!$B$28,0,K6)+H7)*(1+C7)-J7)</f>
        <v/>
      </c>
      <c r="L7" s="41">
        <f>IF($A7&lt;VARIABLES!$B$35,0,IF($A7=VARIABLES!$B$35,VARIABLES!$B$36+VARIABLES!$B$37,VARIABLES!$B$37))</f>
        <v/>
      </c>
      <c r="M7" s="41">
        <f>L7*VARIABLES!$B$38</f>
        <v/>
      </c>
      <c r="N7" s="41">
        <f>IF($A7&lt;VARIABLES!$B$35,0,(IF($A7=VARIABLES!$B$35,0,O6)+L7)*C7*VARIABLES!$B$39)</f>
        <v/>
      </c>
      <c r="O7" s="41">
        <f>IF($A7&lt;VARIABLES!$B$35,0,(IF($A7=VARIABLES!$B$35,0,O6)+L7)*(1+C7)-N7)</f>
        <v/>
      </c>
      <c r="P7" s="41">
        <f>IF($A7&lt;VARIABLES!$B$42,0,IF($A7=VARIABLES!$B$42,VARIABLES!$B$43+VARIABLES!$B$44,VARIABLES!$B$44))</f>
        <v/>
      </c>
      <c r="Q7" s="41">
        <f>P7*VARIABLES!$B$45</f>
        <v/>
      </c>
      <c r="R7" s="41">
        <f>IF($A7&lt;VARIABLES!$B$42,0,(IF($A7=VARIABLES!$B$42,0,S6)+P7)*C7*VARIABLES!$B$46)</f>
        <v/>
      </c>
      <c r="S7" s="41">
        <f>IF($A7&lt;VARIABLES!$B$42,0,(IF($A7=VARIABLES!$B$42,0,S6)+P7)*(1+C7)-R7)</f>
        <v/>
      </c>
      <c r="T7" s="42">
        <f>IF($A7&lt;VARIABLES!$B$50,0,MIN(VARIABLES!$B$49,INT(($A7-VARIABLES!$B$50)/VARIABLES!$B$51)+1)*VARIABLES!$B$52)</f>
        <v/>
      </c>
      <c r="U7" s="41">
        <f>T7*VARIABLES!$B$54+IF(AND($A7&gt;=VARIABLES!$B$50,MOD($A7-VARIABLES!$B$50,VARIABLES!$B$51)=0,INT(($A7-VARIABLES!$B$50)/VARIABLES!$B$51)&lt;VARIABLES!$B$49),VARIABLES!$B$52*VARIABLES!$B$53,0)</f>
        <v/>
      </c>
      <c r="V7" s="41">
        <f>U7*VARIABLES!$B$55</f>
        <v/>
      </c>
      <c r="W7" s="41">
        <f>IF($A7&lt;VARIABLES!$B$50,0,(IF($A7&lt;VARIABLES!$B$50+1,0,X6)+U7)*C7*VARIABLES!$B$56)</f>
        <v/>
      </c>
      <c r="X7" s="41">
        <f>IF($A7&lt;VARIABLES!$B$50,0,(IF($A7&lt;VARIABLES!$B$50+1,0,X6)+U7)*(1+C7)-W7)</f>
        <v/>
      </c>
      <c r="Y7" s="41">
        <f>D7+H7+L7+P7+U7</f>
        <v/>
      </c>
      <c r="Z7" s="41">
        <f>E7+I7+M7+Q7+V7</f>
        <v/>
      </c>
      <c r="AA7" s="41">
        <f>F7+J7+N7+R7+W7</f>
        <v/>
      </c>
      <c r="AB7" s="32">
        <f>Z7+AA7</f>
        <v/>
      </c>
      <c r="AC7" s="33">
        <f>G7+K7+O7+S7+X7</f>
        <v/>
      </c>
      <c r="AD7" s="41">
        <f>IF($A7=1,VARIABLES!$B$12,0)</f>
        <v/>
      </c>
      <c r="AE7" s="41">
        <f>IF($A7&lt;=3,VARIABLES!$B$13,IF($A7&lt;=6,VARIABLES!$B$14,VARIABLES!$B$15))</f>
        <v/>
      </c>
      <c r="AF7" s="41">
        <f>IF(MOD($A7,12)=0,AC7*VARIABLES!$B$16,0)</f>
        <v/>
      </c>
      <c r="AG7" s="41">
        <f>VARIABLES!$B$17</f>
        <v/>
      </c>
      <c r="AH7" s="41">
        <f>IF(MOD($A7,12)=0,VARIABLES!$B$18,0)</f>
        <v/>
      </c>
      <c r="AI7" s="34">
        <f>AD7+AE7+AF7+AG7+AH7</f>
        <v/>
      </c>
      <c r="AJ7" s="35">
        <f>IF($A7&lt;VARIABLES!$B$7,VARIABLES!$B$9,0)</f>
        <v/>
      </c>
      <c r="AK7" s="43">
        <f>AB7-AI7-AJ7</f>
        <v/>
      </c>
      <c r="AL7" s="43">
        <f>AL6+AK7</f>
        <v/>
      </c>
      <c r="AM7" s="37">
        <f>AM6+AJ7</f>
        <v/>
      </c>
    </row>
    <row r="8">
      <c r="A8" s="27" t="n">
        <v>5</v>
      </c>
      <c r="B8" s="28">
        <f>TEXT(DATE(VARIABLES!$B$60+INT((VARIABLES!$B$61+A8-2)/12),MOD(VARIABLES!$B$61+A8-2,12)+1,1),"mmm-yy")</f>
        <v/>
      </c>
      <c r="C8" s="29">
        <f>IF($A8&lt;VARIABLES!$B$7,VARIABLES!$B$5/12,VARIABLES!$B$6/12)</f>
        <v/>
      </c>
      <c r="D8" s="30">
        <f>IF($A8&lt;VARIABLES!$B$21,0,IF($A8=VARIABLES!$B$21,VARIABLES!$B$22+VARIABLES!$B$23,VARIABLES!$B$23))</f>
        <v/>
      </c>
      <c r="E8" s="30">
        <f>D8*VARIABLES!$B$24</f>
        <v/>
      </c>
      <c r="F8" s="30">
        <f>IF($A8&lt;VARIABLES!$B$21,0,(IF($A8=VARIABLES!$B$21,0,G7)+D8)*C8*VARIABLES!$B$25)</f>
        <v/>
      </c>
      <c r="G8" s="30">
        <f>IF($A8&lt;VARIABLES!$B$21,0,(IF($A8=VARIABLES!$B$21,0,G7)+D8)*(1+C8)-F8)</f>
        <v/>
      </c>
      <c r="H8" s="30">
        <f>IF($A8&lt;VARIABLES!$B$28,0,IF($A8=VARIABLES!$B$28,VARIABLES!$B$29+VARIABLES!$B$30,VARIABLES!$B$30))</f>
        <v/>
      </c>
      <c r="I8" s="30">
        <f>H8*VARIABLES!$B$31</f>
        <v/>
      </c>
      <c r="J8" s="30">
        <f>IF($A8&lt;VARIABLES!$B$28,0,(IF($A8=VARIABLES!$B$28,0,K7)+H8)*C8*VARIABLES!$B$32)</f>
        <v/>
      </c>
      <c r="K8" s="30">
        <f>IF($A8&lt;VARIABLES!$B$28,0,(IF($A8=VARIABLES!$B$28,0,K7)+H8)*(1+C8)-J8)</f>
        <v/>
      </c>
      <c r="L8" s="30">
        <f>IF($A8&lt;VARIABLES!$B$35,0,IF($A8=VARIABLES!$B$35,VARIABLES!$B$36+VARIABLES!$B$37,VARIABLES!$B$37))</f>
        <v/>
      </c>
      <c r="M8" s="30">
        <f>L8*VARIABLES!$B$38</f>
        <v/>
      </c>
      <c r="N8" s="30">
        <f>IF($A8&lt;VARIABLES!$B$35,0,(IF($A8=VARIABLES!$B$35,0,O7)+L8)*C8*VARIABLES!$B$39)</f>
        <v/>
      </c>
      <c r="O8" s="30">
        <f>IF($A8&lt;VARIABLES!$B$35,0,(IF($A8=VARIABLES!$B$35,0,O7)+L8)*(1+C8)-N8)</f>
        <v/>
      </c>
      <c r="P8" s="30">
        <f>IF($A8&lt;VARIABLES!$B$42,0,IF($A8=VARIABLES!$B$42,VARIABLES!$B$43+VARIABLES!$B$44,VARIABLES!$B$44))</f>
        <v/>
      </c>
      <c r="Q8" s="30">
        <f>P8*VARIABLES!$B$45</f>
        <v/>
      </c>
      <c r="R8" s="30">
        <f>IF($A8&lt;VARIABLES!$B$42,0,(IF($A8=VARIABLES!$B$42,0,S7)+P8)*C8*VARIABLES!$B$46)</f>
        <v/>
      </c>
      <c r="S8" s="30">
        <f>IF($A8&lt;VARIABLES!$B$42,0,(IF($A8=VARIABLES!$B$42,0,S7)+P8)*(1+C8)-R8)</f>
        <v/>
      </c>
      <c r="T8" s="31">
        <f>IF($A8&lt;VARIABLES!$B$50,0,MIN(VARIABLES!$B$49,INT(($A8-VARIABLES!$B$50)/VARIABLES!$B$51)+1)*VARIABLES!$B$52)</f>
        <v/>
      </c>
      <c r="U8" s="30">
        <f>T8*VARIABLES!$B$54+IF(AND($A8&gt;=VARIABLES!$B$50,MOD($A8-VARIABLES!$B$50,VARIABLES!$B$51)=0,INT(($A8-VARIABLES!$B$50)/VARIABLES!$B$51)&lt;VARIABLES!$B$49),VARIABLES!$B$52*VARIABLES!$B$53,0)</f>
        <v/>
      </c>
      <c r="V8" s="30">
        <f>U8*VARIABLES!$B$55</f>
        <v/>
      </c>
      <c r="W8" s="30">
        <f>IF($A8&lt;VARIABLES!$B$50,0,(IF($A8&lt;VARIABLES!$B$50+1,0,X7)+U8)*C8*VARIABLES!$B$56)</f>
        <v/>
      </c>
      <c r="X8" s="30">
        <f>IF($A8&lt;VARIABLES!$B$50,0,(IF($A8&lt;VARIABLES!$B$50+1,0,X7)+U8)*(1+C8)-W8)</f>
        <v/>
      </c>
      <c r="Y8" s="30">
        <f>D8+H8+L8+P8+U8</f>
        <v/>
      </c>
      <c r="Z8" s="30">
        <f>E8+I8+M8+Q8+V8</f>
        <v/>
      </c>
      <c r="AA8" s="30">
        <f>F8+J8+N8+R8+W8</f>
        <v/>
      </c>
      <c r="AB8" s="32">
        <f>Z8+AA8</f>
        <v/>
      </c>
      <c r="AC8" s="33">
        <f>G8+K8+O8+S8+X8</f>
        <v/>
      </c>
      <c r="AD8" s="30">
        <f>IF($A8=1,VARIABLES!$B$12,0)</f>
        <v/>
      </c>
      <c r="AE8" s="30">
        <f>IF($A8&lt;=3,VARIABLES!$B$13,IF($A8&lt;=6,VARIABLES!$B$14,VARIABLES!$B$15))</f>
        <v/>
      </c>
      <c r="AF8" s="30">
        <f>IF(MOD($A8,12)=0,AC8*VARIABLES!$B$16,0)</f>
        <v/>
      </c>
      <c r="AG8" s="30">
        <f>VARIABLES!$B$17</f>
        <v/>
      </c>
      <c r="AH8" s="30">
        <f>IF(MOD($A8,12)=0,VARIABLES!$B$18,0)</f>
        <v/>
      </c>
      <c r="AI8" s="34">
        <f>AD8+AE8+AF8+AG8+AH8</f>
        <v/>
      </c>
      <c r="AJ8" s="35">
        <f>IF($A8&lt;VARIABLES!$B$7,VARIABLES!$B$9,0)</f>
        <v/>
      </c>
      <c r="AK8" s="36">
        <f>AB8-AI8-AJ8</f>
        <v/>
      </c>
      <c r="AL8" s="36">
        <f>AL7+AK8</f>
        <v/>
      </c>
      <c r="AM8" s="37">
        <f>AM7+AJ8</f>
        <v/>
      </c>
    </row>
    <row r="9">
      <c r="A9" s="38" t="n">
        <v>6</v>
      </c>
      <c r="B9" s="39">
        <f>TEXT(DATE(VARIABLES!$B$60+INT((VARIABLES!$B$61+A9-2)/12),MOD(VARIABLES!$B$61+A9-2,12)+1,1),"mmm-yy")</f>
        <v/>
      </c>
      <c r="C9" s="40">
        <f>IF($A9&lt;VARIABLES!$B$7,VARIABLES!$B$5/12,VARIABLES!$B$6/12)</f>
        <v/>
      </c>
      <c r="D9" s="41">
        <f>IF($A9&lt;VARIABLES!$B$21,0,IF($A9=VARIABLES!$B$21,VARIABLES!$B$22+VARIABLES!$B$23,VARIABLES!$B$23))</f>
        <v/>
      </c>
      <c r="E9" s="41">
        <f>D9*VARIABLES!$B$24</f>
        <v/>
      </c>
      <c r="F9" s="41">
        <f>IF($A9&lt;VARIABLES!$B$21,0,(IF($A9=VARIABLES!$B$21,0,G8)+D9)*C9*VARIABLES!$B$25)</f>
        <v/>
      </c>
      <c r="G9" s="41">
        <f>IF($A9&lt;VARIABLES!$B$21,0,(IF($A9=VARIABLES!$B$21,0,G8)+D9)*(1+C9)-F9)</f>
        <v/>
      </c>
      <c r="H9" s="41">
        <f>IF($A9&lt;VARIABLES!$B$28,0,IF($A9=VARIABLES!$B$28,VARIABLES!$B$29+VARIABLES!$B$30,VARIABLES!$B$30))</f>
        <v/>
      </c>
      <c r="I9" s="41">
        <f>H9*VARIABLES!$B$31</f>
        <v/>
      </c>
      <c r="J9" s="41">
        <f>IF($A9&lt;VARIABLES!$B$28,0,(IF($A9=VARIABLES!$B$28,0,K8)+H9)*C9*VARIABLES!$B$32)</f>
        <v/>
      </c>
      <c r="K9" s="41">
        <f>IF($A9&lt;VARIABLES!$B$28,0,(IF($A9=VARIABLES!$B$28,0,K8)+H9)*(1+C9)-J9)</f>
        <v/>
      </c>
      <c r="L9" s="41">
        <f>IF($A9&lt;VARIABLES!$B$35,0,IF($A9=VARIABLES!$B$35,VARIABLES!$B$36+VARIABLES!$B$37,VARIABLES!$B$37))</f>
        <v/>
      </c>
      <c r="M9" s="41">
        <f>L9*VARIABLES!$B$38</f>
        <v/>
      </c>
      <c r="N9" s="41">
        <f>IF($A9&lt;VARIABLES!$B$35,0,(IF($A9=VARIABLES!$B$35,0,O8)+L9)*C9*VARIABLES!$B$39)</f>
        <v/>
      </c>
      <c r="O9" s="41">
        <f>IF($A9&lt;VARIABLES!$B$35,0,(IF($A9=VARIABLES!$B$35,0,O8)+L9)*(1+C9)-N9)</f>
        <v/>
      </c>
      <c r="P9" s="41">
        <f>IF($A9&lt;VARIABLES!$B$42,0,IF($A9=VARIABLES!$B$42,VARIABLES!$B$43+VARIABLES!$B$44,VARIABLES!$B$44))</f>
        <v/>
      </c>
      <c r="Q9" s="41">
        <f>P9*VARIABLES!$B$45</f>
        <v/>
      </c>
      <c r="R9" s="41">
        <f>IF($A9&lt;VARIABLES!$B$42,0,(IF($A9=VARIABLES!$B$42,0,S8)+P9)*C9*VARIABLES!$B$46)</f>
        <v/>
      </c>
      <c r="S9" s="41">
        <f>IF($A9&lt;VARIABLES!$B$42,0,(IF($A9=VARIABLES!$B$42,0,S8)+P9)*(1+C9)-R9)</f>
        <v/>
      </c>
      <c r="T9" s="42">
        <f>IF($A9&lt;VARIABLES!$B$50,0,MIN(VARIABLES!$B$49,INT(($A9-VARIABLES!$B$50)/VARIABLES!$B$51)+1)*VARIABLES!$B$52)</f>
        <v/>
      </c>
      <c r="U9" s="41">
        <f>T9*VARIABLES!$B$54+IF(AND($A9&gt;=VARIABLES!$B$50,MOD($A9-VARIABLES!$B$50,VARIABLES!$B$51)=0,INT(($A9-VARIABLES!$B$50)/VARIABLES!$B$51)&lt;VARIABLES!$B$49),VARIABLES!$B$52*VARIABLES!$B$53,0)</f>
        <v/>
      </c>
      <c r="V9" s="41">
        <f>U9*VARIABLES!$B$55</f>
        <v/>
      </c>
      <c r="W9" s="41">
        <f>IF($A9&lt;VARIABLES!$B$50,0,(IF($A9&lt;VARIABLES!$B$50+1,0,X8)+U9)*C9*VARIABLES!$B$56)</f>
        <v/>
      </c>
      <c r="X9" s="41">
        <f>IF($A9&lt;VARIABLES!$B$50,0,(IF($A9&lt;VARIABLES!$B$50+1,0,X8)+U9)*(1+C9)-W9)</f>
        <v/>
      </c>
      <c r="Y9" s="41">
        <f>D9+H9+L9+P9+U9</f>
        <v/>
      </c>
      <c r="Z9" s="41">
        <f>E9+I9+M9+Q9+V9</f>
        <v/>
      </c>
      <c r="AA9" s="41">
        <f>F9+J9+N9+R9+W9</f>
        <v/>
      </c>
      <c r="AB9" s="32">
        <f>Z9+AA9</f>
        <v/>
      </c>
      <c r="AC9" s="33">
        <f>G9+K9+O9+S9+X9</f>
        <v/>
      </c>
      <c r="AD9" s="41">
        <f>IF($A9=1,VARIABLES!$B$12,0)</f>
        <v/>
      </c>
      <c r="AE9" s="41">
        <f>IF($A9&lt;=3,VARIABLES!$B$13,IF($A9&lt;=6,VARIABLES!$B$14,VARIABLES!$B$15))</f>
        <v/>
      </c>
      <c r="AF9" s="41">
        <f>IF(MOD($A9,12)=0,AC9*VARIABLES!$B$16,0)</f>
        <v/>
      </c>
      <c r="AG9" s="41">
        <f>VARIABLES!$B$17</f>
        <v/>
      </c>
      <c r="AH9" s="41">
        <f>IF(MOD($A9,12)=0,VARIABLES!$B$18,0)</f>
        <v/>
      </c>
      <c r="AI9" s="34">
        <f>AD9+AE9+AF9+AG9+AH9</f>
        <v/>
      </c>
      <c r="AJ9" s="35">
        <f>IF($A9&lt;VARIABLES!$B$7,VARIABLES!$B$9,0)</f>
        <v/>
      </c>
      <c r="AK9" s="43">
        <f>AB9-AI9-AJ9</f>
        <v/>
      </c>
      <c r="AL9" s="43">
        <f>AL8+AK9</f>
        <v/>
      </c>
      <c r="AM9" s="37">
        <f>AM8+AJ9</f>
        <v/>
      </c>
    </row>
    <row r="10">
      <c r="A10" s="27" t="n">
        <v>7</v>
      </c>
      <c r="B10" s="28">
        <f>TEXT(DATE(VARIABLES!$B$60+INT((VARIABLES!$B$61+A10-2)/12),MOD(VARIABLES!$B$61+A10-2,12)+1,1),"mmm-yy")</f>
        <v/>
      </c>
      <c r="C10" s="29">
        <f>IF($A10&lt;VARIABLES!$B$7,VARIABLES!$B$5/12,VARIABLES!$B$6/12)</f>
        <v/>
      </c>
      <c r="D10" s="30">
        <f>IF($A10&lt;VARIABLES!$B$21,0,IF($A10=VARIABLES!$B$21,VARIABLES!$B$22+VARIABLES!$B$23,VARIABLES!$B$23))</f>
        <v/>
      </c>
      <c r="E10" s="30">
        <f>D10*VARIABLES!$B$24</f>
        <v/>
      </c>
      <c r="F10" s="30">
        <f>IF($A10&lt;VARIABLES!$B$21,0,(IF($A10=VARIABLES!$B$21,0,G9)+D10)*C10*VARIABLES!$B$25)</f>
        <v/>
      </c>
      <c r="G10" s="30">
        <f>IF($A10&lt;VARIABLES!$B$21,0,(IF($A10=VARIABLES!$B$21,0,G9)+D10)*(1+C10)-F10)</f>
        <v/>
      </c>
      <c r="H10" s="30">
        <f>IF($A10&lt;VARIABLES!$B$28,0,IF($A10=VARIABLES!$B$28,VARIABLES!$B$29+VARIABLES!$B$30,VARIABLES!$B$30))</f>
        <v/>
      </c>
      <c r="I10" s="30">
        <f>H10*VARIABLES!$B$31</f>
        <v/>
      </c>
      <c r="J10" s="30">
        <f>IF($A10&lt;VARIABLES!$B$28,0,(IF($A10=VARIABLES!$B$28,0,K9)+H10)*C10*VARIABLES!$B$32)</f>
        <v/>
      </c>
      <c r="K10" s="30">
        <f>IF($A10&lt;VARIABLES!$B$28,0,(IF($A10=VARIABLES!$B$28,0,K9)+H10)*(1+C10)-J10)</f>
        <v/>
      </c>
      <c r="L10" s="30">
        <f>IF($A10&lt;VARIABLES!$B$35,0,IF($A10=VARIABLES!$B$35,VARIABLES!$B$36+VARIABLES!$B$37,VARIABLES!$B$37))</f>
        <v/>
      </c>
      <c r="M10" s="30">
        <f>L10*VARIABLES!$B$38</f>
        <v/>
      </c>
      <c r="N10" s="30">
        <f>IF($A10&lt;VARIABLES!$B$35,0,(IF($A10=VARIABLES!$B$35,0,O9)+L10)*C10*VARIABLES!$B$39)</f>
        <v/>
      </c>
      <c r="O10" s="30">
        <f>IF($A10&lt;VARIABLES!$B$35,0,(IF($A10=VARIABLES!$B$35,0,O9)+L10)*(1+C10)-N10)</f>
        <v/>
      </c>
      <c r="P10" s="30">
        <f>IF($A10&lt;VARIABLES!$B$42,0,IF($A10=VARIABLES!$B$42,VARIABLES!$B$43+VARIABLES!$B$44,VARIABLES!$B$44))</f>
        <v/>
      </c>
      <c r="Q10" s="30">
        <f>P10*VARIABLES!$B$45</f>
        <v/>
      </c>
      <c r="R10" s="30">
        <f>IF($A10&lt;VARIABLES!$B$42,0,(IF($A10=VARIABLES!$B$42,0,S9)+P10)*C10*VARIABLES!$B$46)</f>
        <v/>
      </c>
      <c r="S10" s="30">
        <f>IF($A10&lt;VARIABLES!$B$42,0,(IF($A10=VARIABLES!$B$42,0,S9)+P10)*(1+C10)-R10)</f>
        <v/>
      </c>
      <c r="T10" s="31">
        <f>IF($A10&lt;VARIABLES!$B$50,0,MIN(VARIABLES!$B$49,INT(($A10-VARIABLES!$B$50)/VARIABLES!$B$51)+1)*VARIABLES!$B$52)</f>
        <v/>
      </c>
      <c r="U10" s="30">
        <f>T10*VARIABLES!$B$54+IF(AND($A10&gt;=VARIABLES!$B$50,MOD($A10-VARIABLES!$B$50,VARIABLES!$B$51)=0,INT(($A10-VARIABLES!$B$50)/VARIABLES!$B$51)&lt;VARIABLES!$B$49),VARIABLES!$B$52*VARIABLES!$B$53,0)</f>
        <v/>
      </c>
      <c r="V10" s="30">
        <f>U10*VARIABLES!$B$55</f>
        <v/>
      </c>
      <c r="W10" s="30">
        <f>IF($A10&lt;VARIABLES!$B$50,0,(IF($A10&lt;VARIABLES!$B$50+1,0,X9)+U10)*C10*VARIABLES!$B$56)</f>
        <v/>
      </c>
      <c r="X10" s="30">
        <f>IF($A10&lt;VARIABLES!$B$50,0,(IF($A10&lt;VARIABLES!$B$50+1,0,X9)+U10)*(1+C10)-W10)</f>
        <v/>
      </c>
      <c r="Y10" s="30">
        <f>D10+H10+L10+P10+U10</f>
        <v/>
      </c>
      <c r="Z10" s="30">
        <f>E10+I10+M10+Q10+V10</f>
        <v/>
      </c>
      <c r="AA10" s="30">
        <f>F10+J10+N10+R10+W10</f>
        <v/>
      </c>
      <c r="AB10" s="32">
        <f>Z10+AA10</f>
        <v/>
      </c>
      <c r="AC10" s="33">
        <f>G10+K10+O10+S10+X10</f>
        <v/>
      </c>
      <c r="AD10" s="30">
        <f>IF($A10=1,VARIABLES!$B$12,0)</f>
        <v/>
      </c>
      <c r="AE10" s="30">
        <f>IF($A10&lt;=3,VARIABLES!$B$13,IF($A10&lt;=6,VARIABLES!$B$14,VARIABLES!$B$15))</f>
        <v/>
      </c>
      <c r="AF10" s="30">
        <f>IF(MOD($A10,12)=0,AC10*VARIABLES!$B$16,0)</f>
        <v/>
      </c>
      <c r="AG10" s="30">
        <f>VARIABLES!$B$17</f>
        <v/>
      </c>
      <c r="AH10" s="30">
        <f>IF(MOD($A10,12)=0,VARIABLES!$B$18,0)</f>
        <v/>
      </c>
      <c r="AI10" s="34">
        <f>AD10+AE10+AF10+AG10+AH10</f>
        <v/>
      </c>
      <c r="AJ10" s="35">
        <f>IF($A10&lt;VARIABLES!$B$7,VARIABLES!$B$9,0)</f>
        <v/>
      </c>
      <c r="AK10" s="36">
        <f>AB10-AI10-AJ10</f>
        <v/>
      </c>
      <c r="AL10" s="36">
        <f>AL9+AK10</f>
        <v/>
      </c>
      <c r="AM10" s="37">
        <f>AM9+AJ10</f>
        <v/>
      </c>
    </row>
    <row r="11">
      <c r="A11" s="38" t="n">
        <v>8</v>
      </c>
      <c r="B11" s="39">
        <f>TEXT(DATE(VARIABLES!$B$60+INT((VARIABLES!$B$61+A11-2)/12),MOD(VARIABLES!$B$61+A11-2,12)+1,1),"mmm-yy")</f>
        <v/>
      </c>
      <c r="C11" s="40">
        <f>IF($A11&lt;VARIABLES!$B$7,VARIABLES!$B$5/12,VARIABLES!$B$6/12)</f>
        <v/>
      </c>
      <c r="D11" s="41">
        <f>IF($A11&lt;VARIABLES!$B$21,0,IF($A11=VARIABLES!$B$21,VARIABLES!$B$22+VARIABLES!$B$23,VARIABLES!$B$23))</f>
        <v/>
      </c>
      <c r="E11" s="41">
        <f>D11*VARIABLES!$B$24</f>
        <v/>
      </c>
      <c r="F11" s="41">
        <f>IF($A11&lt;VARIABLES!$B$21,0,(IF($A11=VARIABLES!$B$21,0,G10)+D11)*C11*VARIABLES!$B$25)</f>
        <v/>
      </c>
      <c r="G11" s="41">
        <f>IF($A11&lt;VARIABLES!$B$21,0,(IF($A11=VARIABLES!$B$21,0,G10)+D11)*(1+C11)-F11)</f>
        <v/>
      </c>
      <c r="H11" s="41">
        <f>IF($A11&lt;VARIABLES!$B$28,0,IF($A11=VARIABLES!$B$28,VARIABLES!$B$29+VARIABLES!$B$30,VARIABLES!$B$30))</f>
        <v/>
      </c>
      <c r="I11" s="41">
        <f>H11*VARIABLES!$B$31</f>
        <v/>
      </c>
      <c r="J11" s="41">
        <f>IF($A11&lt;VARIABLES!$B$28,0,(IF($A11=VARIABLES!$B$28,0,K10)+H11)*C11*VARIABLES!$B$32)</f>
        <v/>
      </c>
      <c r="K11" s="41">
        <f>IF($A11&lt;VARIABLES!$B$28,0,(IF($A11=VARIABLES!$B$28,0,K10)+H11)*(1+C11)-J11)</f>
        <v/>
      </c>
      <c r="L11" s="41">
        <f>IF($A11&lt;VARIABLES!$B$35,0,IF($A11=VARIABLES!$B$35,VARIABLES!$B$36+VARIABLES!$B$37,VARIABLES!$B$37))</f>
        <v/>
      </c>
      <c r="M11" s="41">
        <f>L11*VARIABLES!$B$38</f>
        <v/>
      </c>
      <c r="N11" s="41">
        <f>IF($A11&lt;VARIABLES!$B$35,0,(IF($A11=VARIABLES!$B$35,0,O10)+L11)*C11*VARIABLES!$B$39)</f>
        <v/>
      </c>
      <c r="O11" s="41">
        <f>IF($A11&lt;VARIABLES!$B$35,0,(IF($A11=VARIABLES!$B$35,0,O10)+L11)*(1+C11)-N11)</f>
        <v/>
      </c>
      <c r="P11" s="41">
        <f>IF($A11&lt;VARIABLES!$B$42,0,IF($A11=VARIABLES!$B$42,VARIABLES!$B$43+VARIABLES!$B$44,VARIABLES!$B$44))</f>
        <v/>
      </c>
      <c r="Q11" s="41">
        <f>P11*VARIABLES!$B$45</f>
        <v/>
      </c>
      <c r="R11" s="41">
        <f>IF($A11&lt;VARIABLES!$B$42,0,(IF($A11=VARIABLES!$B$42,0,S10)+P11)*C11*VARIABLES!$B$46)</f>
        <v/>
      </c>
      <c r="S11" s="41">
        <f>IF($A11&lt;VARIABLES!$B$42,0,(IF($A11=VARIABLES!$B$42,0,S10)+P11)*(1+C11)-R11)</f>
        <v/>
      </c>
      <c r="T11" s="42">
        <f>IF($A11&lt;VARIABLES!$B$50,0,MIN(VARIABLES!$B$49,INT(($A11-VARIABLES!$B$50)/VARIABLES!$B$51)+1)*VARIABLES!$B$52)</f>
        <v/>
      </c>
      <c r="U11" s="41">
        <f>T11*VARIABLES!$B$54+IF(AND($A11&gt;=VARIABLES!$B$50,MOD($A11-VARIABLES!$B$50,VARIABLES!$B$51)=0,INT(($A11-VARIABLES!$B$50)/VARIABLES!$B$51)&lt;VARIABLES!$B$49),VARIABLES!$B$52*VARIABLES!$B$53,0)</f>
        <v/>
      </c>
      <c r="V11" s="41">
        <f>U11*VARIABLES!$B$55</f>
        <v/>
      </c>
      <c r="W11" s="41">
        <f>IF($A11&lt;VARIABLES!$B$50,0,(IF($A11&lt;VARIABLES!$B$50+1,0,X10)+U11)*C11*VARIABLES!$B$56)</f>
        <v/>
      </c>
      <c r="X11" s="41">
        <f>IF($A11&lt;VARIABLES!$B$50,0,(IF($A11&lt;VARIABLES!$B$50+1,0,X10)+U11)*(1+C11)-W11)</f>
        <v/>
      </c>
      <c r="Y11" s="41">
        <f>D11+H11+L11+P11+U11</f>
        <v/>
      </c>
      <c r="Z11" s="41">
        <f>E11+I11+M11+Q11+V11</f>
        <v/>
      </c>
      <c r="AA11" s="41">
        <f>F11+J11+N11+R11+W11</f>
        <v/>
      </c>
      <c r="AB11" s="32">
        <f>Z11+AA11</f>
        <v/>
      </c>
      <c r="AC11" s="33">
        <f>G11+K11+O11+S11+X11</f>
        <v/>
      </c>
      <c r="AD11" s="41">
        <f>IF($A11=1,VARIABLES!$B$12,0)</f>
        <v/>
      </c>
      <c r="AE11" s="41">
        <f>IF($A11&lt;=3,VARIABLES!$B$13,IF($A11&lt;=6,VARIABLES!$B$14,VARIABLES!$B$15))</f>
        <v/>
      </c>
      <c r="AF11" s="41">
        <f>IF(MOD($A11,12)=0,AC11*VARIABLES!$B$16,0)</f>
        <v/>
      </c>
      <c r="AG11" s="41">
        <f>VARIABLES!$B$17</f>
        <v/>
      </c>
      <c r="AH11" s="41">
        <f>IF(MOD($A11,12)=0,VARIABLES!$B$18,0)</f>
        <v/>
      </c>
      <c r="AI11" s="34">
        <f>AD11+AE11+AF11+AG11+AH11</f>
        <v/>
      </c>
      <c r="AJ11" s="35">
        <f>IF($A11&lt;VARIABLES!$B$7,VARIABLES!$B$9,0)</f>
        <v/>
      </c>
      <c r="AK11" s="43">
        <f>AB11-AI11-AJ11</f>
        <v/>
      </c>
      <c r="AL11" s="43">
        <f>AL10+AK11</f>
        <v/>
      </c>
      <c r="AM11" s="37">
        <f>AM10+AJ11</f>
        <v/>
      </c>
    </row>
    <row r="12">
      <c r="A12" s="27" t="n">
        <v>9</v>
      </c>
      <c r="B12" s="28">
        <f>TEXT(DATE(VARIABLES!$B$60+INT((VARIABLES!$B$61+A12-2)/12),MOD(VARIABLES!$B$61+A12-2,12)+1,1),"mmm-yy")</f>
        <v/>
      </c>
      <c r="C12" s="29">
        <f>IF($A12&lt;VARIABLES!$B$7,VARIABLES!$B$5/12,VARIABLES!$B$6/12)</f>
        <v/>
      </c>
      <c r="D12" s="30">
        <f>IF($A12&lt;VARIABLES!$B$21,0,IF($A12=VARIABLES!$B$21,VARIABLES!$B$22+VARIABLES!$B$23,VARIABLES!$B$23))</f>
        <v/>
      </c>
      <c r="E12" s="30">
        <f>D12*VARIABLES!$B$24</f>
        <v/>
      </c>
      <c r="F12" s="30">
        <f>IF($A12&lt;VARIABLES!$B$21,0,(IF($A12=VARIABLES!$B$21,0,G11)+D12)*C12*VARIABLES!$B$25)</f>
        <v/>
      </c>
      <c r="G12" s="30">
        <f>IF($A12&lt;VARIABLES!$B$21,0,(IF($A12=VARIABLES!$B$21,0,G11)+D12)*(1+C12)-F12)</f>
        <v/>
      </c>
      <c r="H12" s="30">
        <f>IF($A12&lt;VARIABLES!$B$28,0,IF($A12=VARIABLES!$B$28,VARIABLES!$B$29+VARIABLES!$B$30,VARIABLES!$B$30))</f>
        <v/>
      </c>
      <c r="I12" s="30">
        <f>H12*VARIABLES!$B$31</f>
        <v/>
      </c>
      <c r="J12" s="30">
        <f>IF($A12&lt;VARIABLES!$B$28,0,(IF($A12=VARIABLES!$B$28,0,K11)+H12)*C12*VARIABLES!$B$32)</f>
        <v/>
      </c>
      <c r="K12" s="30">
        <f>IF($A12&lt;VARIABLES!$B$28,0,(IF($A12=VARIABLES!$B$28,0,K11)+H12)*(1+C12)-J12)</f>
        <v/>
      </c>
      <c r="L12" s="30">
        <f>IF($A12&lt;VARIABLES!$B$35,0,IF($A12=VARIABLES!$B$35,VARIABLES!$B$36+VARIABLES!$B$37,VARIABLES!$B$37))</f>
        <v/>
      </c>
      <c r="M12" s="30">
        <f>L12*VARIABLES!$B$38</f>
        <v/>
      </c>
      <c r="N12" s="30">
        <f>IF($A12&lt;VARIABLES!$B$35,0,(IF($A12=VARIABLES!$B$35,0,O11)+L12)*C12*VARIABLES!$B$39)</f>
        <v/>
      </c>
      <c r="O12" s="30">
        <f>IF($A12&lt;VARIABLES!$B$35,0,(IF($A12=VARIABLES!$B$35,0,O11)+L12)*(1+C12)-N12)</f>
        <v/>
      </c>
      <c r="P12" s="30">
        <f>IF($A12&lt;VARIABLES!$B$42,0,IF($A12=VARIABLES!$B$42,VARIABLES!$B$43+VARIABLES!$B$44,VARIABLES!$B$44))</f>
        <v/>
      </c>
      <c r="Q12" s="30">
        <f>P12*VARIABLES!$B$45</f>
        <v/>
      </c>
      <c r="R12" s="30">
        <f>IF($A12&lt;VARIABLES!$B$42,0,(IF($A12=VARIABLES!$B$42,0,S11)+P12)*C12*VARIABLES!$B$46)</f>
        <v/>
      </c>
      <c r="S12" s="30">
        <f>IF($A12&lt;VARIABLES!$B$42,0,(IF($A12=VARIABLES!$B$42,0,S11)+P12)*(1+C12)-R12)</f>
        <v/>
      </c>
      <c r="T12" s="31">
        <f>IF($A12&lt;VARIABLES!$B$50,0,MIN(VARIABLES!$B$49,INT(($A12-VARIABLES!$B$50)/VARIABLES!$B$51)+1)*VARIABLES!$B$52)</f>
        <v/>
      </c>
      <c r="U12" s="30">
        <f>T12*VARIABLES!$B$54+IF(AND($A12&gt;=VARIABLES!$B$50,MOD($A12-VARIABLES!$B$50,VARIABLES!$B$51)=0,INT(($A12-VARIABLES!$B$50)/VARIABLES!$B$51)&lt;VARIABLES!$B$49),VARIABLES!$B$52*VARIABLES!$B$53,0)</f>
        <v/>
      </c>
      <c r="V12" s="30">
        <f>U12*VARIABLES!$B$55</f>
        <v/>
      </c>
      <c r="W12" s="30">
        <f>IF($A12&lt;VARIABLES!$B$50,0,(IF($A12&lt;VARIABLES!$B$50+1,0,X11)+U12)*C12*VARIABLES!$B$56)</f>
        <v/>
      </c>
      <c r="X12" s="30">
        <f>IF($A12&lt;VARIABLES!$B$50,0,(IF($A12&lt;VARIABLES!$B$50+1,0,X11)+U12)*(1+C12)-W12)</f>
        <v/>
      </c>
      <c r="Y12" s="30">
        <f>D12+H12+L12+P12+U12</f>
        <v/>
      </c>
      <c r="Z12" s="30">
        <f>E12+I12+M12+Q12+V12</f>
        <v/>
      </c>
      <c r="AA12" s="30">
        <f>F12+J12+N12+R12+W12</f>
        <v/>
      </c>
      <c r="AB12" s="32">
        <f>Z12+AA12</f>
        <v/>
      </c>
      <c r="AC12" s="33">
        <f>G12+K12+O12+S12+X12</f>
        <v/>
      </c>
      <c r="AD12" s="30">
        <f>IF($A12=1,VARIABLES!$B$12,0)</f>
        <v/>
      </c>
      <c r="AE12" s="30">
        <f>IF($A12&lt;=3,VARIABLES!$B$13,IF($A12&lt;=6,VARIABLES!$B$14,VARIABLES!$B$15))</f>
        <v/>
      </c>
      <c r="AF12" s="30">
        <f>IF(MOD($A12,12)=0,AC12*VARIABLES!$B$16,0)</f>
        <v/>
      </c>
      <c r="AG12" s="30">
        <f>VARIABLES!$B$17</f>
        <v/>
      </c>
      <c r="AH12" s="30">
        <f>IF(MOD($A12,12)=0,VARIABLES!$B$18,0)</f>
        <v/>
      </c>
      <c r="AI12" s="34">
        <f>AD12+AE12+AF12+AG12+AH12</f>
        <v/>
      </c>
      <c r="AJ12" s="35">
        <f>IF($A12&lt;VARIABLES!$B$7,VARIABLES!$B$9,0)</f>
        <v/>
      </c>
      <c r="AK12" s="36">
        <f>AB12-AI12-AJ12</f>
        <v/>
      </c>
      <c r="AL12" s="36">
        <f>AL11+AK12</f>
        <v/>
      </c>
      <c r="AM12" s="37">
        <f>AM11+AJ12</f>
        <v/>
      </c>
    </row>
    <row r="13">
      <c r="A13" s="38" t="n">
        <v>10</v>
      </c>
      <c r="B13" s="39">
        <f>TEXT(DATE(VARIABLES!$B$60+INT((VARIABLES!$B$61+A13-2)/12),MOD(VARIABLES!$B$61+A13-2,12)+1,1),"mmm-yy")</f>
        <v/>
      </c>
      <c r="C13" s="40">
        <f>IF($A13&lt;VARIABLES!$B$7,VARIABLES!$B$5/12,VARIABLES!$B$6/12)</f>
        <v/>
      </c>
      <c r="D13" s="41">
        <f>IF($A13&lt;VARIABLES!$B$21,0,IF($A13=VARIABLES!$B$21,VARIABLES!$B$22+VARIABLES!$B$23,VARIABLES!$B$23))</f>
        <v/>
      </c>
      <c r="E13" s="41">
        <f>D13*VARIABLES!$B$24</f>
        <v/>
      </c>
      <c r="F13" s="41">
        <f>IF($A13&lt;VARIABLES!$B$21,0,(IF($A13=VARIABLES!$B$21,0,G12)+D13)*C13*VARIABLES!$B$25)</f>
        <v/>
      </c>
      <c r="G13" s="41">
        <f>IF($A13&lt;VARIABLES!$B$21,0,(IF($A13=VARIABLES!$B$21,0,G12)+D13)*(1+C13)-F13)</f>
        <v/>
      </c>
      <c r="H13" s="41">
        <f>IF($A13&lt;VARIABLES!$B$28,0,IF($A13=VARIABLES!$B$28,VARIABLES!$B$29+VARIABLES!$B$30,VARIABLES!$B$30))</f>
        <v/>
      </c>
      <c r="I13" s="41">
        <f>H13*VARIABLES!$B$31</f>
        <v/>
      </c>
      <c r="J13" s="41">
        <f>IF($A13&lt;VARIABLES!$B$28,0,(IF($A13=VARIABLES!$B$28,0,K12)+H13)*C13*VARIABLES!$B$32)</f>
        <v/>
      </c>
      <c r="K13" s="41">
        <f>IF($A13&lt;VARIABLES!$B$28,0,(IF($A13=VARIABLES!$B$28,0,K12)+H13)*(1+C13)-J13)</f>
        <v/>
      </c>
      <c r="L13" s="41">
        <f>IF($A13&lt;VARIABLES!$B$35,0,IF($A13=VARIABLES!$B$35,VARIABLES!$B$36+VARIABLES!$B$37,VARIABLES!$B$37))</f>
        <v/>
      </c>
      <c r="M13" s="41">
        <f>L13*VARIABLES!$B$38</f>
        <v/>
      </c>
      <c r="N13" s="41">
        <f>IF($A13&lt;VARIABLES!$B$35,0,(IF($A13=VARIABLES!$B$35,0,O12)+L13)*C13*VARIABLES!$B$39)</f>
        <v/>
      </c>
      <c r="O13" s="41">
        <f>IF($A13&lt;VARIABLES!$B$35,0,(IF($A13=VARIABLES!$B$35,0,O12)+L13)*(1+C13)-N13)</f>
        <v/>
      </c>
      <c r="P13" s="41">
        <f>IF($A13&lt;VARIABLES!$B$42,0,IF($A13=VARIABLES!$B$42,VARIABLES!$B$43+VARIABLES!$B$44,VARIABLES!$B$44))</f>
        <v/>
      </c>
      <c r="Q13" s="41">
        <f>P13*VARIABLES!$B$45</f>
        <v/>
      </c>
      <c r="R13" s="41">
        <f>IF($A13&lt;VARIABLES!$B$42,0,(IF($A13=VARIABLES!$B$42,0,S12)+P13)*C13*VARIABLES!$B$46)</f>
        <v/>
      </c>
      <c r="S13" s="41">
        <f>IF($A13&lt;VARIABLES!$B$42,0,(IF($A13=VARIABLES!$B$42,0,S12)+P13)*(1+C13)-R13)</f>
        <v/>
      </c>
      <c r="T13" s="42">
        <f>IF($A13&lt;VARIABLES!$B$50,0,MIN(VARIABLES!$B$49,INT(($A13-VARIABLES!$B$50)/VARIABLES!$B$51)+1)*VARIABLES!$B$52)</f>
        <v/>
      </c>
      <c r="U13" s="41">
        <f>T13*VARIABLES!$B$54+IF(AND($A13&gt;=VARIABLES!$B$50,MOD($A13-VARIABLES!$B$50,VARIABLES!$B$51)=0,INT(($A13-VARIABLES!$B$50)/VARIABLES!$B$51)&lt;VARIABLES!$B$49),VARIABLES!$B$52*VARIABLES!$B$53,0)</f>
        <v/>
      </c>
      <c r="V13" s="41">
        <f>U13*VARIABLES!$B$55</f>
        <v/>
      </c>
      <c r="W13" s="41">
        <f>IF($A13&lt;VARIABLES!$B$50,0,(IF($A13&lt;VARIABLES!$B$50+1,0,X12)+U13)*C13*VARIABLES!$B$56)</f>
        <v/>
      </c>
      <c r="X13" s="41">
        <f>IF($A13&lt;VARIABLES!$B$50,0,(IF($A13&lt;VARIABLES!$B$50+1,0,X12)+U13)*(1+C13)-W13)</f>
        <v/>
      </c>
      <c r="Y13" s="41">
        <f>D13+H13+L13+P13+U13</f>
        <v/>
      </c>
      <c r="Z13" s="41">
        <f>E13+I13+M13+Q13+V13</f>
        <v/>
      </c>
      <c r="AA13" s="41">
        <f>F13+J13+N13+R13+W13</f>
        <v/>
      </c>
      <c r="AB13" s="32">
        <f>Z13+AA13</f>
        <v/>
      </c>
      <c r="AC13" s="33">
        <f>G13+K13+O13+S13+X13</f>
        <v/>
      </c>
      <c r="AD13" s="41">
        <f>IF($A13=1,VARIABLES!$B$12,0)</f>
        <v/>
      </c>
      <c r="AE13" s="41">
        <f>IF($A13&lt;=3,VARIABLES!$B$13,IF($A13&lt;=6,VARIABLES!$B$14,VARIABLES!$B$15))</f>
        <v/>
      </c>
      <c r="AF13" s="41">
        <f>IF(MOD($A13,12)=0,AC13*VARIABLES!$B$16,0)</f>
        <v/>
      </c>
      <c r="AG13" s="41">
        <f>VARIABLES!$B$17</f>
        <v/>
      </c>
      <c r="AH13" s="41">
        <f>IF(MOD($A13,12)=0,VARIABLES!$B$18,0)</f>
        <v/>
      </c>
      <c r="AI13" s="34">
        <f>AD13+AE13+AF13+AG13+AH13</f>
        <v/>
      </c>
      <c r="AJ13" s="35">
        <f>IF($A13&lt;VARIABLES!$B$7,VARIABLES!$B$9,0)</f>
        <v/>
      </c>
      <c r="AK13" s="43">
        <f>AB13-AI13-AJ13</f>
        <v/>
      </c>
      <c r="AL13" s="43">
        <f>AL12+AK13</f>
        <v/>
      </c>
      <c r="AM13" s="37">
        <f>AM12+AJ13</f>
        <v/>
      </c>
    </row>
    <row r="14">
      <c r="A14" s="27" t="n">
        <v>11</v>
      </c>
      <c r="B14" s="28">
        <f>TEXT(DATE(VARIABLES!$B$60+INT((VARIABLES!$B$61+A14-2)/12),MOD(VARIABLES!$B$61+A14-2,12)+1,1),"mmm-yy")</f>
        <v/>
      </c>
      <c r="C14" s="29">
        <f>IF($A14&lt;VARIABLES!$B$7,VARIABLES!$B$5/12,VARIABLES!$B$6/12)</f>
        <v/>
      </c>
      <c r="D14" s="30">
        <f>IF($A14&lt;VARIABLES!$B$21,0,IF($A14=VARIABLES!$B$21,VARIABLES!$B$22+VARIABLES!$B$23,VARIABLES!$B$23))</f>
        <v/>
      </c>
      <c r="E14" s="30">
        <f>D14*VARIABLES!$B$24</f>
        <v/>
      </c>
      <c r="F14" s="30">
        <f>IF($A14&lt;VARIABLES!$B$21,0,(IF($A14=VARIABLES!$B$21,0,G13)+D14)*C14*VARIABLES!$B$25)</f>
        <v/>
      </c>
      <c r="G14" s="30">
        <f>IF($A14&lt;VARIABLES!$B$21,0,(IF($A14=VARIABLES!$B$21,0,G13)+D14)*(1+C14)-F14)</f>
        <v/>
      </c>
      <c r="H14" s="30">
        <f>IF($A14&lt;VARIABLES!$B$28,0,IF($A14=VARIABLES!$B$28,VARIABLES!$B$29+VARIABLES!$B$30,VARIABLES!$B$30))</f>
        <v/>
      </c>
      <c r="I14" s="30">
        <f>H14*VARIABLES!$B$31</f>
        <v/>
      </c>
      <c r="J14" s="30">
        <f>IF($A14&lt;VARIABLES!$B$28,0,(IF($A14=VARIABLES!$B$28,0,K13)+H14)*C14*VARIABLES!$B$32)</f>
        <v/>
      </c>
      <c r="K14" s="30">
        <f>IF($A14&lt;VARIABLES!$B$28,0,(IF($A14=VARIABLES!$B$28,0,K13)+H14)*(1+C14)-J14)</f>
        <v/>
      </c>
      <c r="L14" s="30">
        <f>IF($A14&lt;VARIABLES!$B$35,0,IF($A14=VARIABLES!$B$35,VARIABLES!$B$36+VARIABLES!$B$37,VARIABLES!$B$37))</f>
        <v/>
      </c>
      <c r="M14" s="30">
        <f>L14*VARIABLES!$B$38</f>
        <v/>
      </c>
      <c r="N14" s="30">
        <f>IF($A14&lt;VARIABLES!$B$35,0,(IF($A14=VARIABLES!$B$35,0,O13)+L14)*C14*VARIABLES!$B$39)</f>
        <v/>
      </c>
      <c r="O14" s="30">
        <f>IF($A14&lt;VARIABLES!$B$35,0,(IF($A14=VARIABLES!$B$35,0,O13)+L14)*(1+C14)-N14)</f>
        <v/>
      </c>
      <c r="P14" s="30">
        <f>IF($A14&lt;VARIABLES!$B$42,0,IF($A14=VARIABLES!$B$42,VARIABLES!$B$43+VARIABLES!$B$44,VARIABLES!$B$44))</f>
        <v/>
      </c>
      <c r="Q14" s="30">
        <f>P14*VARIABLES!$B$45</f>
        <v/>
      </c>
      <c r="R14" s="30">
        <f>IF($A14&lt;VARIABLES!$B$42,0,(IF($A14=VARIABLES!$B$42,0,S13)+P14)*C14*VARIABLES!$B$46)</f>
        <v/>
      </c>
      <c r="S14" s="30">
        <f>IF($A14&lt;VARIABLES!$B$42,0,(IF($A14=VARIABLES!$B$42,0,S13)+P14)*(1+C14)-R14)</f>
        <v/>
      </c>
      <c r="T14" s="31">
        <f>IF($A14&lt;VARIABLES!$B$50,0,MIN(VARIABLES!$B$49,INT(($A14-VARIABLES!$B$50)/VARIABLES!$B$51)+1)*VARIABLES!$B$52)</f>
        <v/>
      </c>
      <c r="U14" s="30">
        <f>T14*VARIABLES!$B$54+IF(AND($A14&gt;=VARIABLES!$B$50,MOD($A14-VARIABLES!$B$50,VARIABLES!$B$51)=0,INT(($A14-VARIABLES!$B$50)/VARIABLES!$B$51)&lt;VARIABLES!$B$49),VARIABLES!$B$52*VARIABLES!$B$53,0)</f>
        <v/>
      </c>
      <c r="V14" s="30">
        <f>U14*VARIABLES!$B$55</f>
        <v/>
      </c>
      <c r="W14" s="30">
        <f>IF($A14&lt;VARIABLES!$B$50,0,(IF($A14&lt;VARIABLES!$B$50+1,0,X13)+U14)*C14*VARIABLES!$B$56)</f>
        <v/>
      </c>
      <c r="X14" s="30">
        <f>IF($A14&lt;VARIABLES!$B$50,0,(IF($A14&lt;VARIABLES!$B$50+1,0,X13)+U14)*(1+C14)-W14)</f>
        <v/>
      </c>
      <c r="Y14" s="30">
        <f>D14+H14+L14+P14+U14</f>
        <v/>
      </c>
      <c r="Z14" s="30">
        <f>E14+I14+M14+Q14+V14</f>
        <v/>
      </c>
      <c r="AA14" s="30">
        <f>F14+J14+N14+R14+W14</f>
        <v/>
      </c>
      <c r="AB14" s="32">
        <f>Z14+AA14</f>
        <v/>
      </c>
      <c r="AC14" s="33">
        <f>G14+K14+O14+S14+X14</f>
        <v/>
      </c>
      <c r="AD14" s="30">
        <f>IF($A14=1,VARIABLES!$B$12,0)</f>
        <v/>
      </c>
      <c r="AE14" s="30">
        <f>IF($A14&lt;=3,VARIABLES!$B$13,IF($A14&lt;=6,VARIABLES!$B$14,VARIABLES!$B$15))</f>
        <v/>
      </c>
      <c r="AF14" s="30">
        <f>IF(MOD($A14,12)=0,AC14*VARIABLES!$B$16,0)</f>
        <v/>
      </c>
      <c r="AG14" s="30">
        <f>VARIABLES!$B$17</f>
        <v/>
      </c>
      <c r="AH14" s="30">
        <f>IF(MOD($A14,12)=0,VARIABLES!$B$18,0)</f>
        <v/>
      </c>
      <c r="AI14" s="34">
        <f>AD14+AE14+AF14+AG14+AH14</f>
        <v/>
      </c>
      <c r="AJ14" s="35">
        <f>IF($A14&lt;VARIABLES!$B$7,VARIABLES!$B$9,0)</f>
        <v/>
      </c>
      <c r="AK14" s="36">
        <f>AB14-AI14-AJ14</f>
        <v/>
      </c>
      <c r="AL14" s="36">
        <f>AL13+AK14</f>
        <v/>
      </c>
      <c r="AM14" s="37">
        <f>AM13+AJ14</f>
        <v/>
      </c>
    </row>
    <row r="15">
      <c r="A15" s="38" t="n">
        <v>12</v>
      </c>
      <c r="B15" s="39">
        <f>TEXT(DATE(VARIABLES!$B$60+INT((VARIABLES!$B$61+A15-2)/12),MOD(VARIABLES!$B$61+A15-2,12)+1,1),"mmm-yy")</f>
        <v/>
      </c>
      <c r="C15" s="40">
        <f>IF($A15&lt;VARIABLES!$B$7,VARIABLES!$B$5/12,VARIABLES!$B$6/12)</f>
        <v/>
      </c>
      <c r="D15" s="41">
        <f>IF($A15&lt;VARIABLES!$B$21,0,IF($A15=VARIABLES!$B$21,VARIABLES!$B$22+VARIABLES!$B$23,VARIABLES!$B$23))</f>
        <v/>
      </c>
      <c r="E15" s="41">
        <f>D15*VARIABLES!$B$24</f>
        <v/>
      </c>
      <c r="F15" s="41">
        <f>IF($A15&lt;VARIABLES!$B$21,0,(IF($A15=VARIABLES!$B$21,0,G14)+D15)*C15*VARIABLES!$B$25)</f>
        <v/>
      </c>
      <c r="G15" s="41">
        <f>IF($A15&lt;VARIABLES!$B$21,0,(IF($A15=VARIABLES!$B$21,0,G14)+D15)*(1+C15)-F15)</f>
        <v/>
      </c>
      <c r="H15" s="41">
        <f>IF($A15&lt;VARIABLES!$B$28,0,IF($A15=VARIABLES!$B$28,VARIABLES!$B$29+VARIABLES!$B$30,VARIABLES!$B$30))</f>
        <v/>
      </c>
      <c r="I15" s="41">
        <f>H15*VARIABLES!$B$31</f>
        <v/>
      </c>
      <c r="J15" s="41">
        <f>IF($A15&lt;VARIABLES!$B$28,0,(IF($A15=VARIABLES!$B$28,0,K14)+H15)*C15*VARIABLES!$B$32)</f>
        <v/>
      </c>
      <c r="K15" s="41">
        <f>IF($A15&lt;VARIABLES!$B$28,0,(IF($A15=VARIABLES!$B$28,0,K14)+H15)*(1+C15)-J15)</f>
        <v/>
      </c>
      <c r="L15" s="41">
        <f>IF($A15&lt;VARIABLES!$B$35,0,IF($A15=VARIABLES!$B$35,VARIABLES!$B$36+VARIABLES!$B$37,VARIABLES!$B$37))</f>
        <v/>
      </c>
      <c r="M15" s="41">
        <f>L15*VARIABLES!$B$38</f>
        <v/>
      </c>
      <c r="N15" s="41">
        <f>IF($A15&lt;VARIABLES!$B$35,0,(IF($A15=VARIABLES!$B$35,0,O14)+L15)*C15*VARIABLES!$B$39)</f>
        <v/>
      </c>
      <c r="O15" s="41">
        <f>IF($A15&lt;VARIABLES!$B$35,0,(IF($A15=VARIABLES!$B$35,0,O14)+L15)*(1+C15)-N15)</f>
        <v/>
      </c>
      <c r="P15" s="41">
        <f>IF($A15&lt;VARIABLES!$B$42,0,IF($A15=VARIABLES!$B$42,VARIABLES!$B$43+VARIABLES!$B$44,VARIABLES!$B$44))</f>
        <v/>
      </c>
      <c r="Q15" s="41">
        <f>P15*VARIABLES!$B$45</f>
        <v/>
      </c>
      <c r="R15" s="41">
        <f>IF($A15&lt;VARIABLES!$B$42,0,(IF($A15=VARIABLES!$B$42,0,S14)+P15)*C15*VARIABLES!$B$46)</f>
        <v/>
      </c>
      <c r="S15" s="41">
        <f>IF($A15&lt;VARIABLES!$B$42,0,(IF($A15=VARIABLES!$B$42,0,S14)+P15)*(1+C15)-R15)</f>
        <v/>
      </c>
      <c r="T15" s="42">
        <f>IF($A15&lt;VARIABLES!$B$50,0,MIN(VARIABLES!$B$49,INT(($A15-VARIABLES!$B$50)/VARIABLES!$B$51)+1)*VARIABLES!$B$52)</f>
        <v/>
      </c>
      <c r="U15" s="41">
        <f>T15*VARIABLES!$B$54+IF(AND($A15&gt;=VARIABLES!$B$50,MOD($A15-VARIABLES!$B$50,VARIABLES!$B$51)=0,INT(($A15-VARIABLES!$B$50)/VARIABLES!$B$51)&lt;VARIABLES!$B$49),VARIABLES!$B$52*VARIABLES!$B$53,0)</f>
        <v/>
      </c>
      <c r="V15" s="41">
        <f>U15*VARIABLES!$B$55</f>
        <v/>
      </c>
      <c r="W15" s="41">
        <f>IF($A15&lt;VARIABLES!$B$50,0,(IF($A15&lt;VARIABLES!$B$50+1,0,X14)+U15)*C15*VARIABLES!$B$56)</f>
        <v/>
      </c>
      <c r="X15" s="41">
        <f>IF($A15&lt;VARIABLES!$B$50,0,(IF($A15&lt;VARIABLES!$B$50+1,0,X14)+U15)*(1+C15)-W15)</f>
        <v/>
      </c>
      <c r="Y15" s="41">
        <f>D15+H15+L15+P15+U15</f>
        <v/>
      </c>
      <c r="Z15" s="41">
        <f>E15+I15+M15+Q15+V15</f>
        <v/>
      </c>
      <c r="AA15" s="41">
        <f>F15+J15+N15+R15+W15</f>
        <v/>
      </c>
      <c r="AB15" s="32">
        <f>Z15+AA15</f>
        <v/>
      </c>
      <c r="AC15" s="33">
        <f>G15+K15+O15+S15+X15</f>
        <v/>
      </c>
      <c r="AD15" s="41">
        <f>IF($A15=1,VARIABLES!$B$12,0)</f>
        <v/>
      </c>
      <c r="AE15" s="41">
        <f>IF($A15&lt;=3,VARIABLES!$B$13,IF($A15&lt;=6,VARIABLES!$B$14,VARIABLES!$B$15))</f>
        <v/>
      </c>
      <c r="AF15" s="41">
        <f>IF(MOD($A15,12)=0,AC15*VARIABLES!$B$16,0)</f>
        <v/>
      </c>
      <c r="AG15" s="41">
        <f>VARIABLES!$B$17</f>
        <v/>
      </c>
      <c r="AH15" s="41">
        <f>IF(MOD($A15,12)=0,VARIABLES!$B$18,0)</f>
        <v/>
      </c>
      <c r="AI15" s="34">
        <f>AD15+AE15+AF15+AG15+AH15</f>
        <v/>
      </c>
      <c r="AJ15" s="35">
        <f>IF($A15&lt;VARIABLES!$B$7,VARIABLES!$B$9,0)</f>
        <v/>
      </c>
      <c r="AK15" s="43">
        <f>AB15-AI15-AJ15</f>
        <v/>
      </c>
      <c r="AL15" s="43">
        <f>AL14+AK15</f>
        <v/>
      </c>
      <c r="AM15" s="37">
        <f>AM14+AJ15</f>
        <v/>
      </c>
    </row>
    <row r="16">
      <c r="A16" s="27" t="n">
        <v>13</v>
      </c>
      <c r="B16" s="28">
        <f>TEXT(DATE(VARIABLES!$B$60+INT((VARIABLES!$B$61+A16-2)/12),MOD(VARIABLES!$B$61+A16-2,12)+1,1),"mmm-yy")</f>
        <v/>
      </c>
      <c r="C16" s="29">
        <f>IF($A16&lt;VARIABLES!$B$7,VARIABLES!$B$5/12,VARIABLES!$B$6/12)</f>
        <v/>
      </c>
      <c r="D16" s="30">
        <f>IF($A16&lt;VARIABLES!$B$21,0,IF($A16=VARIABLES!$B$21,VARIABLES!$B$22+VARIABLES!$B$23,VARIABLES!$B$23))</f>
        <v/>
      </c>
      <c r="E16" s="30">
        <f>D16*VARIABLES!$B$24</f>
        <v/>
      </c>
      <c r="F16" s="30">
        <f>IF($A16&lt;VARIABLES!$B$21,0,(IF($A16=VARIABLES!$B$21,0,G15)+D16)*C16*VARIABLES!$B$25)</f>
        <v/>
      </c>
      <c r="G16" s="30">
        <f>IF($A16&lt;VARIABLES!$B$21,0,(IF($A16=VARIABLES!$B$21,0,G15)+D16)*(1+C16)-F16)</f>
        <v/>
      </c>
      <c r="H16" s="30">
        <f>IF($A16&lt;VARIABLES!$B$28,0,IF($A16=VARIABLES!$B$28,VARIABLES!$B$29+VARIABLES!$B$30,VARIABLES!$B$30))</f>
        <v/>
      </c>
      <c r="I16" s="30">
        <f>H16*VARIABLES!$B$31</f>
        <v/>
      </c>
      <c r="J16" s="30">
        <f>IF($A16&lt;VARIABLES!$B$28,0,(IF($A16=VARIABLES!$B$28,0,K15)+H16)*C16*VARIABLES!$B$32)</f>
        <v/>
      </c>
      <c r="K16" s="30">
        <f>IF($A16&lt;VARIABLES!$B$28,0,(IF($A16=VARIABLES!$B$28,0,K15)+H16)*(1+C16)-J16)</f>
        <v/>
      </c>
      <c r="L16" s="30">
        <f>IF($A16&lt;VARIABLES!$B$35,0,IF($A16=VARIABLES!$B$35,VARIABLES!$B$36+VARIABLES!$B$37,VARIABLES!$B$37))</f>
        <v/>
      </c>
      <c r="M16" s="30">
        <f>L16*VARIABLES!$B$38</f>
        <v/>
      </c>
      <c r="N16" s="30">
        <f>IF($A16&lt;VARIABLES!$B$35,0,(IF($A16=VARIABLES!$B$35,0,O15)+L16)*C16*VARIABLES!$B$39)</f>
        <v/>
      </c>
      <c r="O16" s="30">
        <f>IF($A16&lt;VARIABLES!$B$35,0,(IF($A16=VARIABLES!$B$35,0,O15)+L16)*(1+C16)-N16)</f>
        <v/>
      </c>
      <c r="P16" s="30">
        <f>IF($A16&lt;VARIABLES!$B$42,0,IF($A16=VARIABLES!$B$42,VARIABLES!$B$43+VARIABLES!$B$44,VARIABLES!$B$44))</f>
        <v/>
      </c>
      <c r="Q16" s="30">
        <f>P16*VARIABLES!$B$45</f>
        <v/>
      </c>
      <c r="R16" s="30">
        <f>IF($A16&lt;VARIABLES!$B$42,0,(IF($A16=VARIABLES!$B$42,0,S15)+P16)*C16*VARIABLES!$B$46)</f>
        <v/>
      </c>
      <c r="S16" s="30">
        <f>IF($A16&lt;VARIABLES!$B$42,0,(IF($A16=VARIABLES!$B$42,0,S15)+P16)*(1+C16)-R16)</f>
        <v/>
      </c>
      <c r="T16" s="31">
        <f>IF($A16&lt;VARIABLES!$B$50,0,MIN(VARIABLES!$B$49,INT(($A16-VARIABLES!$B$50)/VARIABLES!$B$51)+1)*VARIABLES!$B$52)</f>
        <v/>
      </c>
      <c r="U16" s="30">
        <f>T16*VARIABLES!$B$54+IF(AND($A16&gt;=VARIABLES!$B$50,MOD($A16-VARIABLES!$B$50,VARIABLES!$B$51)=0,INT(($A16-VARIABLES!$B$50)/VARIABLES!$B$51)&lt;VARIABLES!$B$49),VARIABLES!$B$52*VARIABLES!$B$53,0)</f>
        <v/>
      </c>
      <c r="V16" s="30">
        <f>U16*VARIABLES!$B$55</f>
        <v/>
      </c>
      <c r="W16" s="30">
        <f>IF($A16&lt;VARIABLES!$B$50,0,(IF($A16&lt;VARIABLES!$B$50+1,0,X15)+U16)*C16*VARIABLES!$B$56)</f>
        <v/>
      </c>
      <c r="X16" s="30">
        <f>IF($A16&lt;VARIABLES!$B$50,0,(IF($A16&lt;VARIABLES!$B$50+1,0,X15)+U16)*(1+C16)-W16)</f>
        <v/>
      </c>
      <c r="Y16" s="30">
        <f>D16+H16+L16+P16+U16</f>
        <v/>
      </c>
      <c r="Z16" s="30">
        <f>E16+I16+M16+Q16+V16</f>
        <v/>
      </c>
      <c r="AA16" s="30">
        <f>F16+J16+N16+R16+W16</f>
        <v/>
      </c>
      <c r="AB16" s="32">
        <f>Z16+AA16</f>
        <v/>
      </c>
      <c r="AC16" s="33">
        <f>G16+K16+O16+S16+X16</f>
        <v/>
      </c>
      <c r="AD16" s="30">
        <f>IF($A16=1,VARIABLES!$B$12,0)</f>
        <v/>
      </c>
      <c r="AE16" s="30">
        <f>IF($A16&lt;=3,VARIABLES!$B$13,IF($A16&lt;=6,VARIABLES!$B$14,VARIABLES!$B$15))</f>
        <v/>
      </c>
      <c r="AF16" s="30">
        <f>IF(MOD($A16,12)=0,AC16*VARIABLES!$B$16,0)</f>
        <v/>
      </c>
      <c r="AG16" s="30">
        <f>VARIABLES!$B$17</f>
        <v/>
      </c>
      <c r="AH16" s="30">
        <f>IF(MOD($A16,12)=0,VARIABLES!$B$18,0)</f>
        <v/>
      </c>
      <c r="AI16" s="34">
        <f>AD16+AE16+AF16+AG16+AH16</f>
        <v/>
      </c>
      <c r="AJ16" s="35">
        <f>IF($A16&lt;VARIABLES!$B$7,VARIABLES!$B$9,0)</f>
        <v/>
      </c>
      <c r="AK16" s="36">
        <f>AB16-AI16-AJ16</f>
        <v/>
      </c>
      <c r="AL16" s="36">
        <f>AL15+AK16</f>
        <v/>
      </c>
      <c r="AM16" s="37">
        <f>AM15+AJ16</f>
        <v/>
      </c>
    </row>
    <row r="17">
      <c r="A17" s="38" t="n">
        <v>14</v>
      </c>
      <c r="B17" s="39">
        <f>TEXT(DATE(VARIABLES!$B$60+INT((VARIABLES!$B$61+A17-2)/12),MOD(VARIABLES!$B$61+A17-2,12)+1,1),"mmm-yy")</f>
        <v/>
      </c>
      <c r="C17" s="40">
        <f>IF($A17&lt;VARIABLES!$B$7,VARIABLES!$B$5/12,VARIABLES!$B$6/12)</f>
        <v/>
      </c>
      <c r="D17" s="41">
        <f>IF($A17&lt;VARIABLES!$B$21,0,IF($A17=VARIABLES!$B$21,VARIABLES!$B$22+VARIABLES!$B$23,VARIABLES!$B$23))</f>
        <v/>
      </c>
      <c r="E17" s="41">
        <f>D17*VARIABLES!$B$24</f>
        <v/>
      </c>
      <c r="F17" s="41">
        <f>IF($A17&lt;VARIABLES!$B$21,0,(IF($A17=VARIABLES!$B$21,0,G16)+D17)*C17*VARIABLES!$B$25)</f>
        <v/>
      </c>
      <c r="G17" s="41">
        <f>IF($A17&lt;VARIABLES!$B$21,0,(IF($A17=VARIABLES!$B$21,0,G16)+D17)*(1+C17)-F17)</f>
        <v/>
      </c>
      <c r="H17" s="41">
        <f>IF($A17&lt;VARIABLES!$B$28,0,IF($A17=VARIABLES!$B$28,VARIABLES!$B$29+VARIABLES!$B$30,VARIABLES!$B$30))</f>
        <v/>
      </c>
      <c r="I17" s="41">
        <f>H17*VARIABLES!$B$31</f>
        <v/>
      </c>
      <c r="J17" s="41">
        <f>IF($A17&lt;VARIABLES!$B$28,0,(IF($A17=VARIABLES!$B$28,0,K16)+H17)*C17*VARIABLES!$B$32)</f>
        <v/>
      </c>
      <c r="K17" s="41">
        <f>IF($A17&lt;VARIABLES!$B$28,0,(IF($A17=VARIABLES!$B$28,0,K16)+H17)*(1+C17)-J17)</f>
        <v/>
      </c>
      <c r="L17" s="41">
        <f>IF($A17&lt;VARIABLES!$B$35,0,IF($A17=VARIABLES!$B$35,VARIABLES!$B$36+VARIABLES!$B$37,VARIABLES!$B$37))</f>
        <v/>
      </c>
      <c r="M17" s="41">
        <f>L17*VARIABLES!$B$38</f>
        <v/>
      </c>
      <c r="N17" s="41">
        <f>IF($A17&lt;VARIABLES!$B$35,0,(IF($A17=VARIABLES!$B$35,0,O16)+L17)*C17*VARIABLES!$B$39)</f>
        <v/>
      </c>
      <c r="O17" s="41">
        <f>IF($A17&lt;VARIABLES!$B$35,0,(IF($A17=VARIABLES!$B$35,0,O16)+L17)*(1+C17)-N17)</f>
        <v/>
      </c>
      <c r="P17" s="41">
        <f>IF($A17&lt;VARIABLES!$B$42,0,IF($A17=VARIABLES!$B$42,VARIABLES!$B$43+VARIABLES!$B$44,VARIABLES!$B$44))</f>
        <v/>
      </c>
      <c r="Q17" s="41">
        <f>P17*VARIABLES!$B$45</f>
        <v/>
      </c>
      <c r="R17" s="41">
        <f>IF($A17&lt;VARIABLES!$B$42,0,(IF($A17=VARIABLES!$B$42,0,S16)+P17)*C17*VARIABLES!$B$46)</f>
        <v/>
      </c>
      <c r="S17" s="41">
        <f>IF($A17&lt;VARIABLES!$B$42,0,(IF($A17=VARIABLES!$B$42,0,S16)+P17)*(1+C17)-R17)</f>
        <v/>
      </c>
      <c r="T17" s="42">
        <f>IF($A17&lt;VARIABLES!$B$50,0,MIN(VARIABLES!$B$49,INT(($A17-VARIABLES!$B$50)/VARIABLES!$B$51)+1)*VARIABLES!$B$52)</f>
        <v/>
      </c>
      <c r="U17" s="41">
        <f>T17*VARIABLES!$B$54+IF(AND($A17&gt;=VARIABLES!$B$50,MOD($A17-VARIABLES!$B$50,VARIABLES!$B$51)=0,INT(($A17-VARIABLES!$B$50)/VARIABLES!$B$51)&lt;VARIABLES!$B$49),VARIABLES!$B$52*VARIABLES!$B$53,0)</f>
        <v/>
      </c>
      <c r="V17" s="41">
        <f>U17*VARIABLES!$B$55</f>
        <v/>
      </c>
      <c r="W17" s="41">
        <f>IF($A17&lt;VARIABLES!$B$50,0,(IF($A17&lt;VARIABLES!$B$50+1,0,X16)+U17)*C17*VARIABLES!$B$56)</f>
        <v/>
      </c>
      <c r="X17" s="41">
        <f>IF($A17&lt;VARIABLES!$B$50,0,(IF($A17&lt;VARIABLES!$B$50+1,0,X16)+U17)*(1+C17)-W17)</f>
        <v/>
      </c>
      <c r="Y17" s="41">
        <f>D17+H17+L17+P17+U17</f>
        <v/>
      </c>
      <c r="Z17" s="41">
        <f>E17+I17+M17+Q17+V17</f>
        <v/>
      </c>
      <c r="AA17" s="41">
        <f>F17+J17+N17+R17+W17</f>
        <v/>
      </c>
      <c r="AB17" s="32">
        <f>Z17+AA17</f>
        <v/>
      </c>
      <c r="AC17" s="33">
        <f>G17+K17+O17+S17+X17</f>
        <v/>
      </c>
      <c r="AD17" s="41">
        <f>IF($A17=1,VARIABLES!$B$12,0)</f>
        <v/>
      </c>
      <c r="AE17" s="41">
        <f>IF($A17&lt;=3,VARIABLES!$B$13,IF($A17&lt;=6,VARIABLES!$B$14,VARIABLES!$B$15))</f>
        <v/>
      </c>
      <c r="AF17" s="41">
        <f>IF(MOD($A17,12)=0,AC17*VARIABLES!$B$16,0)</f>
        <v/>
      </c>
      <c r="AG17" s="41">
        <f>VARIABLES!$B$17</f>
        <v/>
      </c>
      <c r="AH17" s="41">
        <f>IF(MOD($A17,12)=0,VARIABLES!$B$18,0)</f>
        <v/>
      </c>
      <c r="AI17" s="34">
        <f>AD17+AE17+AF17+AG17+AH17</f>
        <v/>
      </c>
      <c r="AJ17" s="35">
        <f>IF($A17&lt;VARIABLES!$B$7,VARIABLES!$B$9,0)</f>
        <v/>
      </c>
      <c r="AK17" s="43">
        <f>AB17-AI17-AJ17</f>
        <v/>
      </c>
      <c r="AL17" s="43">
        <f>AL16+AK17</f>
        <v/>
      </c>
      <c r="AM17" s="37">
        <f>AM16+AJ17</f>
        <v/>
      </c>
    </row>
    <row r="18">
      <c r="A18" s="27" t="n">
        <v>15</v>
      </c>
      <c r="B18" s="28">
        <f>TEXT(DATE(VARIABLES!$B$60+INT((VARIABLES!$B$61+A18-2)/12),MOD(VARIABLES!$B$61+A18-2,12)+1,1),"mmm-yy")</f>
        <v/>
      </c>
      <c r="C18" s="29">
        <f>IF($A18&lt;VARIABLES!$B$7,VARIABLES!$B$5/12,VARIABLES!$B$6/12)</f>
        <v/>
      </c>
      <c r="D18" s="30">
        <f>IF($A18&lt;VARIABLES!$B$21,0,IF($A18=VARIABLES!$B$21,VARIABLES!$B$22+VARIABLES!$B$23,VARIABLES!$B$23))</f>
        <v/>
      </c>
      <c r="E18" s="30">
        <f>D18*VARIABLES!$B$24</f>
        <v/>
      </c>
      <c r="F18" s="30">
        <f>IF($A18&lt;VARIABLES!$B$21,0,(IF($A18=VARIABLES!$B$21,0,G17)+D18)*C18*VARIABLES!$B$25)</f>
        <v/>
      </c>
      <c r="G18" s="30">
        <f>IF($A18&lt;VARIABLES!$B$21,0,(IF($A18=VARIABLES!$B$21,0,G17)+D18)*(1+C18)-F18)</f>
        <v/>
      </c>
      <c r="H18" s="30">
        <f>IF($A18&lt;VARIABLES!$B$28,0,IF($A18=VARIABLES!$B$28,VARIABLES!$B$29+VARIABLES!$B$30,VARIABLES!$B$30))</f>
        <v/>
      </c>
      <c r="I18" s="30">
        <f>H18*VARIABLES!$B$31</f>
        <v/>
      </c>
      <c r="J18" s="30">
        <f>IF($A18&lt;VARIABLES!$B$28,0,(IF($A18=VARIABLES!$B$28,0,K17)+H18)*C18*VARIABLES!$B$32)</f>
        <v/>
      </c>
      <c r="K18" s="30">
        <f>IF($A18&lt;VARIABLES!$B$28,0,(IF($A18=VARIABLES!$B$28,0,K17)+H18)*(1+C18)-J18)</f>
        <v/>
      </c>
      <c r="L18" s="30">
        <f>IF($A18&lt;VARIABLES!$B$35,0,IF($A18=VARIABLES!$B$35,VARIABLES!$B$36+VARIABLES!$B$37,VARIABLES!$B$37))</f>
        <v/>
      </c>
      <c r="M18" s="30">
        <f>L18*VARIABLES!$B$38</f>
        <v/>
      </c>
      <c r="N18" s="30">
        <f>IF($A18&lt;VARIABLES!$B$35,0,(IF($A18=VARIABLES!$B$35,0,O17)+L18)*C18*VARIABLES!$B$39)</f>
        <v/>
      </c>
      <c r="O18" s="30">
        <f>IF($A18&lt;VARIABLES!$B$35,0,(IF($A18=VARIABLES!$B$35,0,O17)+L18)*(1+C18)-N18)</f>
        <v/>
      </c>
      <c r="P18" s="30">
        <f>IF($A18&lt;VARIABLES!$B$42,0,IF($A18=VARIABLES!$B$42,VARIABLES!$B$43+VARIABLES!$B$44,VARIABLES!$B$44))</f>
        <v/>
      </c>
      <c r="Q18" s="30">
        <f>P18*VARIABLES!$B$45</f>
        <v/>
      </c>
      <c r="R18" s="30">
        <f>IF($A18&lt;VARIABLES!$B$42,0,(IF($A18=VARIABLES!$B$42,0,S17)+P18)*C18*VARIABLES!$B$46)</f>
        <v/>
      </c>
      <c r="S18" s="30">
        <f>IF($A18&lt;VARIABLES!$B$42,0,(IF($A18=VARIABLES!$B$42,0,S17)+P18)*(1+C18)-R18)</f>
        <v/>
      </c>
      <c r="T18" s="31">
        <f>IF($A18&lt;VARIABLES!$B$50,0,MIN(VARIABLES!$B$49,INT(($A18-VARIABLES!$B$50)/VARIABLES!$B$51)+1)*VARIABLES!$B$52)</f>
        <v/>
      </c>
      <c r="U18" s="30">
        <f>T18*VARIABLES!$B$54+IF(AND($A18&gt;=VARIABLES!$B$50,MOD($A18-VARIABLES!$B$50,VARIABLES!$B$51)=0,INT(($A18-VARIABLES!$B$50)/VARIABLES!$B$51)&lt;VARIABLES!$B$49),VARIABLES!$B$52*VARIABLES!$B$53,0)</f>
        <v/>
      </c>
      <c r="V18" s="30">
        <f>U18*VARIABLES!$B$55</f>
        <v/>
      </c>
      <c r="W18" s="30">
        <f>IF($A18&lt;VARIABLES!$B$50,0,(IF($A18&lt;VARIABLES!$B$50+1,0,X17)+U18)*C18*VARIABLES!$B$56)</f>
        <v/>
      </c>
      <c r="X18" s="30">
        <f>IF($A18&lt;VARIABLES!$B$50,0,(IF($A18&lt;VARIABLES!$B$50+1,0,X17)+U18)*(1+C18)-W18)</f>
        <v/>
      </c>
      <c r="Y18" s="30">
        <f>D18+H18+L18+P18+U18</f>
        <v/>
      </c>
      <c r="Z18" s="30">
        <f>E18+I18+M18+Q18+V18</f>
        <v/>
      </c>
      <c r="AA18" s="30">
        <f>F18+J18+N18+R18+W18</f>
        <v/>
      </c>
      <c r="AB18" s="32">
        <f>Z18+AA18</f>
        <v/>
      </c>
      <c r="AC18" s="33">
        <f>G18+K18+O18+S18+X18</f>
        <v/>
      </c>
      <c r="AD18" s="30">
        <f>IF($A18=1,VARIABLES!$B$12,0)</f>
        <v/>
      </c>
      <c r="AE18" s="30">
        <f>IF($A18&lt;=3,VARIABLES!$B$13,IF($A18&lt;=6,VARIABLES!$B$14,VARIABLES!$B$15))</f>
        <v/>
      </c>
      <c r="AF18" s="30">
        <f>IF(MOD($A18,12)=0,AC18*VARIABLES!$B$16,0)</f>
        <v/>
      </c>
      <c r="AG18" s="30">
        <f>VARIABLES!$B$17</f>
        <v/>
      </c>
      <c r="AH18" s="30">
        <f>IF(MOD($A18,12)=0,VARIABLES!$B$18,0)</f>
        <v/>
      </c>
      <c r="AI18" s="34">
        <f>AD18+AE18+AF18+AG18+AH18</f>
        <v/>
      </c>
      <c r="AJ18" s="35">
        <f>IF($A18&lt;VARIABLES!$B$7,VARIABLES!$B$9,0)</f>
        <v/>
      </c>
      <c r="AK18" s="36">
        <f>AB18-AI18-AJ18</f>
        <v/>
      </c>
      <c r="AL18" s="36">
        <f>AL17+AK18</f>
        <v/>
      </c>
      <c r="AM18" s="37">
        <f>AM17+AJ18</f>
        <v/>
      </c>
    </row>
    <row r="19">
      <c r="A19" s="38" t="n">
        <v>16</v>
      </c>
      <c r="B19" s="39">
        <f>TEXT(DATE(VARIABLES!$B$60+INT((VARIABLES!$B$61+A19-2)/12),MOD(VARIABLES!$B$61+A19-2,12)+1,1),"mmm-yy")</f>
        <v/>
      </c>
      <c r="C19" s="40">
        <f>IF($A19&lt;VARIABLES!$B$7,VARIABLES!$B$5/12,VARIABLES!$B$6/12)</f>
        <v/>
      </c>
      <c r="D19" s="41">
        <f>IF($A19&lt;VARIABLES!$B$21,0,IF($A19=VARIABLES!$B$21,VARIABLES!$B$22+VARIABLES!$B$23,VARIABLES!$B$23))</f>
        <v/>
      </c>
      <c r="E19" s="41">
        <f>D19*VARIABLES!$B$24</f>
        <v/>
      </c>
      <c r="F19" s="41">
        <f>IF($A19&lt;VARIABLES!$B$21,0,(IF($A19=VARIABLES!$B$21,0,G18)+D19)*C19*VARIABLES!$B$25)</f>
        <v/>
      </c>
      <c r="G19" s="41">
        <f>IF($A19&lt;VARIABLES!$B$21,0,(IF($A19=VARIABLES!$B$21,0,G18)+D19)*(1+C19)-F19)</f>
        <v/>
      </c>
      <c r="H19" s="41">
        <f>IF($A19&lt;VARIABLES!$B$28,0,IF($A19=VARIABLES!$B$28,VARIABLES!$B$29+VARIABLES!$B$30,VARIABLES!$B$30))</f>
        <v/>
      </c>
      <c r="I19" s="41">
        <f>H19*VARIABLES!$B$31</f>
        <v/>
      </c>
      <c r="J19" s="41">
        <f>IF($A19&lt;VARIABLES!$B$28,0,(IF($A19=VARIABLES!$B$28,0,K18)+H19)*C19*VARIABLES!$B$32)</f>
        <v/>
      </c>
      <c r="K19" s="41">
        <f>IF($A19&lt;VARIABLES!$B$28,0,(IF($A19=VARIABLES!$B$28,0,K18)+H19)*(1+C19)-J19)</f>
        <v/>
      </c>
      <c r="L19" s="41">
        <f>IF($A19&lt;VARIABLES!$B$35,0,IF($A19=VARIABLES!$B$35,VARIABLES!$B$36+VARIABLES!$B$37,VARIABLES!$B$37))</f>
        <v/>
      </c>
      <c r="M19" s="41">
        <f>L19*VARIABLES!$B$38</f>
        <v/>
      </c>
      <c r="N19" s="41">
        <f>IF($A19&lt;VARIABLES!$B$35,0,(IF($A19=VARIABLES!$B$35,0,O18)+L19)*C19*VARIABLES!$B$39)</f>
        <v/>
      </c>
      <c r="O19" s="41">
        <f>IF($A19&lt;VARIABLES!$B$35,0,(IF($A19=VARIABLES!$B$35,0,O18)+L19)*(1+C19)-N19)</f>
        <v/>
      </c>
      <c r="P19" s="41">
        <f>IF($A19&lt;VARIABLES!$B$42,0,IF($A19=VARIABLES!$B$42,VARIABLES!$B$43+VARIABLES!$B$44,VARIABLES!$B$44))</f>
        <v/>
      </c>
      <c r="Q19" s="41">
        <f>P19*VARIABLES!$B$45</f>
        <v/>
      </c>
      <c r="R19" s="41">
        <f>IF($A19&lt;VARIABLES!$B$42,0,(IF($A19=VARIABLES!$B$42,0,S18)+P19)*C19*VARIABLES!$B$46)</f>
        <v/>
      </c>
      <c r="S19" s="41">
        <f>IF($A19&lt;VARIABLES!$B$42,0,(IF($A19=VARIABLES!$B$42,0,S18)+P19)*(1+C19)-R19)</f>
        <v/>
      </c>
      <c r="T19" s="42">
        <f>IF($A19&lt;VARIABLES!$B$50,0,MIN(VARIABLES!$B$49,INT(($A19-VARIABLES!$B$50)/VARIABLES!$B$51)+1)*VARIABLES!$B$52)</f>
        <v/>
      </c>
      <c r="U19" s="41">
        <f>T19*VARIABLES!$B$54+IF(AND($A19&gt;=VARIABLES!$B$50,MOD($A19-VARIABLES!$B$50,VARIABLES!$B$51)=0,INT(($A19-VARIABLES!$B$50)/VARIABLES!$B$51)&lt;VARIABLES!$B$49),VARIABLES!$B$52*VARIABLES!$B$53,0)</f>
        <v/>
      </c>
      <c r="V19" s="41">
        <f>U19*VARIABLES!$B$55</f>
        <v/>
      </c>
      <c r="W19" s="41">
        <f>IF($A19&lt;VARIABLES!$B$50,0,(IF($A19&lt;VARIABLES!$B$50+1,0,X18)+U19)*C19*VARIABLES!$B$56)</f>
        <v/>
      </c>
      <c r="X19" s="41">
        <f>IF($A19&lt;VARIABLES!$B$50,0,(IF($A19&lt;VARIABLES!$B$50+1,0,X18)+U19)*(1+C19)-W19)</f>
        <v/>
      </c>
      <c r="Y19" s="41">
        <f>D19+H19+L19+P19+U19</f>
        <v/>
      </c>
      <c r="Z19" s="41">
        <f>E19+I19+M19+Q19+V19</f>
        <v/>
      </c>
      <c r="AA19" s="41">
        <f>F19+J19+N19+R19+W19</f>
        <v/>
      </c>
      <c r="AB19" s="32">
        <f>Z19+AA19</f>
        <v/>
      </c>
      <c r="AC19" s="33">
        <f>G19+K19+O19+S19+X19</f>
        <v/>
      </c>
      <c r="AD19" s="41">
        <f>IF($A19=1,VARIABLES!$B$12,0)</f>
        <v/>
      </c>
      <c r="AE19" s="41">
        <f>IF($A19&lt;=3,VARIABLES!$B$13,IF($A19&lt;=6,VARIABLES!$B$14,VARIABLES!$B$15))</f>
        <v/>
      </c>
      <c r="AF19" s="41">
        <f>IF(MOD($A19,12)=0,AC19*VARIABLES!$B$16,0)</f>
        <v/>
      </c>
      <c r="AG19" s="41">
        <f>VARIABLES!$B$17</f>
        <v/>
      </c>
      <c r="AH19" s="41">
        <f>IF(MOD($A19,12)=0,VARIABLES!$B$18,0)</f>
        <v/>
      </c>
      <c r="AI19" s="34">
        <f>AD19+AE19+AF19+AG19+AH19</f>
        <v/>
      </c>
      <c r="AJ19" s="35">
        <f>IF($A19&lt;VARIABLES!$B$7,VARIABLES!$B$9,0)</f>
        <v/>
      </c>
      <c r="AK19" s="43">
        <f>AB19-AI19-AJ19</f>
        <v/>
      </c>
      <c r="AL19" s="43">
        <f>AL18+AK19</f>
        <v/>
      </c>
      <c r="AM19" s="37">
        <f>AM18+AJ19</f>
        <v/>
      </c>
    </row>
    <row r="20">
      <c r="A20" s="27" t="n">
        <v>17</v>
      </c>
      <c r="B20" s="28">
        <f>TEXT(DATE(VARIABLES!$B$60+INT((VARIABLES!$B$61+A20-2)/12),MOD(VARIABLES!$B$61+A20-2,12)+1,1),"mmm-yy")</f>
        <v/>
      </c>
      <c r="C20" s="29">
        <f>IF($A20&lt;VARIABLES!$B$7,VARIABLES!$B$5/12,VARIABLES!$B$6/12)</f>
        <v/>
      </c>
      <c r="D20" s="30">
        <f>IF($A20&lt;VARIABLES!$B$21,0,IF($A20=VARIABLES!$B$21,VARIABLES!$B$22+VARIABLES!$B$23,VARIABLES!$B$23))</f>
        <v/>
      </c>
      <c r="E20" s="30">
        <f>D20*VARIABLES!$B$24</f>
        <v/>
      </c>
      <c r="F20" s="30">
        <f>IF($A20&lt;VARIABLES!$B$21,0,(IF($A20=VARIABLES!$B$21,0,G19)+D20)*C20*VARIABLES!$B$25)</f>
        <v/>
      </c>
      <c r="G20" s="30">
        <f>IF($A20&lt;VARIABLES!$B$21,0,(IF($A20=VARIABLES!$B$21,0,G19)+D20)*(1+C20)-F20)</f>
        <v/>
      </c>
      <c r="H20" s="30">
        <f>IF($A20&lt;VARIABLES!$B$28,0,IF($A20=VARIABLES!$B$28,VARIABLES!$B$29+VARIABLES!$B$30,VARIABLES!$B$30))</f>
        <v/>
      </c>
      <c r="I20" s="30">
        <f>H20*VARIABLES!$B$31</f>
        <v/>
      </c>
      <c r="J20" s="30">
        <f>IF($A20&lt;VARIABLES!$B$28,0,(IF($A20=VARIABLES!$B$28,0,K19)+H20)*C20*VARIABLES!$B$32)</f>
        <v/>
      </c>
      <c r="K20" s="30">
        <f>IF($A20&lt;VARIABLES!$B$28,0,(IF($A20=VARIABLES!$B$28,0,K19)+H20)*(1+C20)-J20)</f>
        <v/>
      </c>
      <c r="L20" s="30">
        <f>IF($A20&lt;VARIABLES!$B$35,0,IF($A20=VARIABLES!$B$35,VARIABLES!$B$36+VARIABLES!$B$37,VARIABLES!$B$37))</f>
        <v/>
      </c>
      <c r="M20" s="30">
        <f>L20*VARIABLES!$B$38</f>
        <v/>
      </c>
      <c r="N20" s="30">
        <f>IF($A20&lt;VARIABLES!$B$35,0,(IF($A20=VARIABLES!$B$35,0,O19)+L20)*C20*VARIABLES!$B$39)</f>
        <v/>
      </c>
      <c r="O20" s="30">
        <f>IF($A20&lt;VARIABLES!$B$35,0,(IF($A20=VARIABLES!$B$35,0,O19)+L20)*(1+C20)-N20)</f>
        <v/>
      </c>
      <c r="P20" s="30">
        <f>IF($A20&lt;VARIABLES!$B$42,0,IF($A20=VARIABLES!$B$42,VARIABLES!$B$43+VARIABLES!$B$44,VARIABLES!$B$44))</f>
        <v/>
      </c>
      <c r="Q20" s="30">
        <f>P20*VARIABLES!$B$45</f>
        <v/>
      </c>
      <c r="R20" s="30">
        <f>IF($A20&lt;VARIABLES!$B$42,0,(IF($A20=VARIABLES!$B$42,0,S19)+P20)*C20*VARIABLES!$B$46)</f>
        <v/>
      </c>
      <c r="S20" s="30">
        <f>IF($A20&lt;VARIABLES!$B$42,0,(IF($A20=VARIABLES!$B$42,0,S19)+P20)*(1+C20)-R20)</f>
        <v/>
      </c>
      <c r="T20" s="31">
        <f>IF($A20&lt;VARIABLES!$B$50,0,MIN(VARIABLES!$B$49,INT(($A20-VARIABLES!$B$50)/VARIABLES!$B$51)+1)*VARIABLES!$B$52)</f>
        <v/>
      </c>
      <c r="U20" s="30">
        <f>T20*VARIABLES!$B$54+IF(AND($A20&gt;=VARIABLES!$B$50,MOD($A20-VARIABLES!$B$50,VARIABLES!$B$51)=0,INT(($A20-VARIABLES!$B$50)/VARIABLES!$B$51)&lt;VARIABLES!$B$49),VARIABLES!$B$52*VARIABLES!$B$53,0)</f>
        <v/>
      </c>
      <c r="V20" s="30">
        <f>U20*VARIABLES!$B$55</f>
        <v/>
      </c>
      <c r="W20" s="30">
        <f>IF($A20&lt;VARIABLES!$B$50,0,(IF($A20&lt;VARIABLES!$B$50+1,0,X19)+U20)*C20*VARIABLES!$B$56)</f>
        <v/>
      </c>
      <c r="X20" s="30">
        <f>IF($A20&lt;VARIABLES!$B$50,0,(IF($A20&lt;VARIABLES!$B$50+1,0,X19)+U20)*(1+C20)-W20)</f>
        <v/>
      </c>
      <c r="Y20" s="30">
        <f>D20+H20+L20+P20+U20</f>
        <v/>
      </c>
      <c r="Z20" s="30">
        <f>E20+I20+M20+Q20+V20</f>
        <v/>
      </c>
      <c r="AA20" s="30">
        <f>F20+J20+N20+R20+W20</f>
        <v/>
      </c>
      <c r="AB20" s="32">
        <f>Z20+AA20</f>
        <v/>
      </c>
      <c r="AC20" s="33">
        <f>G20+K20+O20+S20+X20</f>
        <v/>
      </c>
      <c r="AD20" s="30">
        <f>IF($A20=1,VARIABLES!$B$12,0)</f>
        <v/>
      </c>
      <c r="AE20" s="30">
        <f>IF($A20&lt;=3,VARIABLES!$B$13,IF($A20&lt;=6,VARIABLES!$B$14,VARIABLES!$B$15))</f>
        <v/>
      </c>
      <c r="AF20" s="30">
        <f>IF(MOD($A20,12)=0,AC20*VARIABLES!$B$16,0)</f>
        <v/>
      </c>
      <c r="AG20" s="30">
        <f>VARIABLES!$B$17</f>
        <v/>
      </c>
      <c r="AH20" s="30">
        <f>IF(MOD($A20,12)=0,VARIABLES!$B$18,0)</f>
        <v/>
      </c>
      <c r="AI20" s="34">
        <f>AD20+AE20+AF20+AG20+AH20</f>
        <v/>
      </c>
      <c r="AJ20" s="35">
        <f>IF($A20&lt;VARIABLES!$B$7,VARIABLES!$B$9,0)</f>
        <v/>
      </c>
      <c r="AK20" s="36">
        <f>AB20-AI20-AJ20</f>
        <v/>
      </c>
      <c r="AL20" s="36">
        <f>AL19+AK20</f>
        <v/>
      </c>
      <c r="AM20" s="37">
        <f>AM19+AJ20</f>
        <v/>
      </c>
    </row>
    <row r="21">
      <c r="A21" s="38" t="n">
        <v>18</v>
      </c>
      <c r="B21" s="39">
        <f>TEXT(DATE(VARIABLES!$B$60+INT((VARIABLES!$B$61+A21-2)/12),MOD(VARIABLES!$B$61+A21-2,12)+1,1),"mmm-yy")</f>
        <v/>
      </c>
      <c r="C21" s="40">
        <f>IF($A21&lt;VARIABLES!$B$7,VARIABLES!$B$5/12,VARIABLES!$B$6/12)</f>
        <v/>
      </c>
      <c r="D21" s="41">
        <f>IF($A21&lt;VARIABLES!$B$21,0,IF($A21=VARIABLES!$B$21,VARIABLES!$B$22+VARIABLES!$B$23,VARIABLES!$B$23))</f>
        <v/>
      </c>
      <c r="E21" s="41">
        <f>D21*VARIABLES!$B$24</f>
        <v/>
      </c>
      <c r="F21" s="41">
        <f>IF($A21&lt;VARIABLES!$B$21,0,(IF($A21=VARIABLES!$B$21,0,G20)+D21)*C21*VARIABLES!$B$25)</f>
        <v/>
      </c>
      <c r="G21" s="41">
        <f>IF($A21&lt;VARIABLES!$B$21,0,(IF($A21=VARIABLES!$B$21,0,G20)+D21)*(1+C21)-F21)</f>
        <v/>
      </c>
      <c r="H21" s="41">
        <f>IF($A21&lt;VARIABLES!$B$28,0,IF($A21=VARIABLES!$B$28,VARIABLES!$B$29+VARIABLES!$B$30,VARIABLES!$B$30))</f>
        <v/>
      </c>
      <c r="I21" s="41">
        <f>H21*VARIABLES!$B$31</f>
        <v/>
      </c>
      <c r="J21" s="41">
        <f>IF($A21&lt;VARIABLES!$B$28,0,(IF($A21=VARIABLES!$B$28,0,K20)+H21)*C21*VARIABLES!$B$32)</f>
        <v/>
      </c>
      <c r="K21" s="41">
        <f>IF($A21&lt;VARIABLES!$B$28,0,(IF($A21=VARIABLES!$B$28,0,K20)+H21)*(1+C21)-J21)</f>
        <v/>
      </c>
      <c r="L21" s="41">
        <f>IF($A21&lt;VARIABLES!$B$35,0,IF($A21=VARIABLES!$B$35,VARIABLES!$B$36+VARIABLES!$B$37,VARIABLES!$B$37))</f>
        <v/>
      </c>
      <c r="M21" s="41">
        <f>L21*VARIABLES!$B$38</f>
        <v/>
      </c>
      <c r="N21" s="41">
        <f>IF($A21&lt;VARIABLES!$B$35,0,(IF($A21=VARIABLES!$B$35,0,O20)+L21)*C21*VARIABLES!$B$39)</f>
        <v/>
      </c>
      <c r="O21" s="41">
        <f>IF($A21&lt;VARIABLES!$B$35,0,(IF($A21=VARIABLES!$B$35,0,O20)+L21)*(1+C21)-N21)</f>
        <v/>
      </c>
      <c r="P21" s="41">
        <f>IF($A21&lt;VARIABLES!$B$42,0,IF($A21=VARIABLES!$B$42,VARIABLES!$B$43+VARIABLES!$B$44,VARIABLES!$B$44))</f>
        <v/>
      </c>
      <c r="Q21" s="41">
        <f>P21*VARIABLES!$B$45</f>
        <v/>
      </c>
      <c r="R21" s="41">
        <f>IF($A21&lt;VARIABLES!$B$42,0,(IF($A21=VARIABLES!$B$42,0,S20)+P21)*C21*VARIABLES!$B$46)</f>
        <v/>
      </c>
      <c r="S21" s="41">
        <f>IF($A21&lt;VARIABLES!$B$42,0,(IF($A21=VARIABLES!$B$42,0,S20)+P21)*(1+C21)-R21)</f>
        <v/>
      </c>
      <c r="T21" s="42">
        <f>IF($A21&lt;VARIABLES!$B$50,0,MIN(VARIABLES!$B$49,INT(($A21-VARIABLES!$B$50)/VARIABLES!$B$51)+1)*VARIABLES!$B$52)</f>
        <v/>
      </c>
      <c r="U21" s="41">
        <f>T21*VARIABLES!$B$54+IF(AND($A21&gt;=VARIABLES!$B$50,MOD($A21-VARIABLES!$B$50,VARIABLES!$B$51)=0,INT(($A21-VARIABLES!$B$50)/VARIABLES!$B$51)&lt;VARIABLES!$B$49),VARIABLES!$B$52*VARIABLES!$B$53,0)</f>
        <v/>
      </c>
      <c r="V21" s="41">
        <f>U21*VARIABLES!$B$55</f>
        <v/>
      </c>
      <c r="W21" s="41">
        <f>IF($A21&lt;VARIABLES!$B$50,0,(IF($A21&lt;VARIABLES!$B$50+1,0,X20)+U21)*C21*VARIABLES!$B$56)</f>
        <v/>
      </c>
      <c r="X21" s="41">
        <f>IF($A21&lt;VARIABLES!$B$50,0,(IF($A21&lt;VARIABLES!$B$50+1,0,X20)+U21)*(1+C21)-W21)</f>
        <v/>
      </c>
      <c r="Y21" s="41">
        <f>D21+H21+L21+P21+U21</f>
        <v/>
      </c>
      <c r="Z21" s="41">
        <f>E21+I21+M21+Q21+V21</f>
        <v/>
      </c>
      <c r="AA21" s="41">
        <f>F21+J21+N21+R21+W21</f>
        <v/>
      </c>
      <c r="AB21" s="32">
        <f>Z21+AA21</f>
        <v/>
      </c>
      <c r="AC21" s="33">
        <f>G21+K21+O21+S21+X21</f>
        <v/>
      </c>
      <c r="AD21" s="41">
        <f>IF($A21=1,VARIABLES!$B$12,0)</f>
        <v/>
      </c>
      <c r="AE21" s="41">
        <f>IF($A21&lt;=3,VARIABLES!$B$13,IF($A21&lt;=6,VARIABLES!$B$14,VARIABLES!$B$15))</f>
        <v/>
      </c>
      <c r="AF21" s="41">
        <f>IF(MOD($A21,12)=0,AC21*VARIABLES!$B$16,0)</f>
        <v/>
      </c>
      <c r="AG21" s="41">
        <f>VARIABLES!$B$17</f>
        <v/>
      </c>
      <c r="AH21" s="41">
        <f>IF(MOD($A21,12)=0,VARIABLES!$B$18,0)</f>
        <v/>
      </c>
      <c r="AI21" s="34">
        <f>AD21+AE21+AF21+AG21+AH21</f>
        <v/>
      </c>
      <c r="AJ21" s="35">
        <f>IF($A21&lt;VARIABLES!$B$7,VARIABLES!$B$9,0)</f>
        <v/>
      </c>
      <c r="AK21" s="43">
        <f>AB21-AI21-AJ21</f>
        <v/>
      </c>
      <c r="AL21" s="43">
        <f>AL20+AK21</f>
        <v/>
      </c>
      <c r="AM21" s="37">
        <f>AM20+AJ21</f>
        <v/>
      </c>
    </row>
    <row r="22">
      <c r="A22" s="27" t="n">
        <v>19</v>
      </c>
      <c r="B22" s="28">
        <f>TEXT(DATE(VARIABLES!$B$60+INT((VARIABLES!$B$61+A22-2)/12),MOD(VARIABLES!$B$61+A22-2,12)+1,1),"mmm-yy")</f>
        <v/>
      </c>
      <c r="C22" s="29">
        <f>IF($A22&lt;VARIABLES!$B$7,VARIABLES!$B$5/12,VARIABLES!$B$6/12)</f>
        <v/>
      </c>
      <c r="D22" s="30">
        <f>IF($A22&lt;VARIABLES!$B$21,0,IF($A22=VARIABLES!$B$21,VARIABLES!$B$22+VARIABLES!$B$23,VARIABLES!$B$23))</f>
        <v/>
      </c>
      <c r="E22" s="30">
        <f>D22*VARIABLES!$B$24</f>
        <v/>
      </c>
      <c r="F22" s="30">
        <f>IF($A22&lt;VARIABLES!$B$21,0,(IF($A22=VARIABLES!$B$21,0,G21)+D22)*C22*VARIABLES!$B$25)</f>
        <v/>
      </c>
      <c r="G22" s="30">
        <f>IF($A22&lt;VARIABLES!$B$21,0,(IF($A22=VARIABLES!$B$21,0,G21)+D22)*(1+C22)-F22)</f>
        <v/>
      </c>
      <c r="H22" s="30">
        <f>IF($A22&lt;VARIABLES!$B$28,0,IF($A22=VARIABLES!$B$28,VARIABLES!$B$29+VARIABLES!$B$30,VARIABLES!$B$30))</f>
        <v/>
      </c>
      <c r="I22" s="30">
        <f>H22*VARIABLES!$B$31</f>
        <v/>
      </c>
      <c r="J22" s="30">
        <f>IF($A22&lt;VARIABLES!$B$28,0,(IF($A22=VARIABLES!$B$28,0,K21)+H22)*C22*VARIABLES!$B$32)</f>
        <v/>
      </c>
      <c r="K22" s="30">
        <f>IF($A22&lt;VARIABLES!$B$28,0,(IF($A22=VARIABLES!$B$28,0,K21)+H22)*(1+C22)-J22)</f>
        <v/>
      </c>
      <c r="L22" s="30">
        <f>IF($A22&lt;VARIABLES!$B$35,0,IF($A22=VARIABLES!$B$35,VARIABLES!$B$36+VARIABLES!$B$37,VARIABLES!$B$37))</f>
        <v/>
      </c>
      <c r="M22" s="30">
        <f>L22*VARIABLES!$B$38</f>
        <v/>
      </c>
      <c r="N22" s="30">
        <f>IF($A22&lt;VARIABLES!$B$35,0,(IF($A22=VARIABLES!$B$35,0,O21)+L22)*C22*VARIABLES!$B$39)</f>
        <v/>
      </c>
      <c r="O22" s="30">
        <f>IF($A22&lt;VARIABLES!$B$35,0,(IF($A22=VARIABLES!$B$35,0,O21)+L22)*(1+C22)-N22)</f>
        <v/>
      </c>
      <c r="P22" s="30">
        <f>IF($A22&lt;VARIABLES!$B$42,0,IF($A22=VARIABLES!$B$42,VARIABLES!$B$43+VARIABLES!$B$44,VARIABLES!$B$44))</f>
        <v/>
      </c>
      <c r="Q22" s="30">
        <f>P22*VARIABLES!$B$45</f>
        <v/>
      </c>
      <c r="R22" s="30">
        <f>IF($A22&lt;VARIABLES!$B$42,0,(IF($A22=VARIABLES!$B$42,0,S21)+P22)*C22*VARIABLES!$B$46)</f>
        <v/>
      </c>
      <c r="S22" s="30">
        <f>IF($A22&lt;VARIABLES!$B$42,0,(IF($A22=VARIABLES!$B$42,0,S21)+P22)*(1+C22)-R22)</f>
        <v/>
      </c>
      <c r="T22" s="31">
        <f>IF($A22&lt;VARIABLES!$B$50,0,MIN(VARIABLES!$B$49,INT(($A22-VARIABLES!$B$50)/VARIABLES!$B$51)+1)*VARIABLES!$B$52)</f>
        <v/>
      </c>
      <c r="U22" s="30">
        <f>T22*VARIABLES!$B$54+IF(AND($A22&gt;=VARIABLES!$B$50,MOD($A22-VARIABLES!$B$50,VARIABLES!$B$51)=0,INT(($A22-VARIABLES!$B$50)/VARIABLES!$B$51)&lt;VARIABLES!$B$49),VARIABLES!$B$52*VARIABLES!$B$53,0)</f>
        <v/>
      </c>
      <c r="V22" s="30">
        <f>U22*VARIABLES!$B$55</f>
        <v/>
      </c>
      <c r="W22" s="30">
        <f>IF($A22&lt;VARIABLES!$B$50,0,(IF($A22&lt;VARIABLES!$B$50+1,0,X21)+U22)*C22*VARIABLES!$B$56)</f>
        <v/>
      </c>
      <c r="X22" s="30">
        <f>IF($A22&lt;VARIABLES!$B$50,0,(IF($A22&lt;VARIABLES!$B$50+1,0,X21)+U22)*(1+C22)-W22)</f>
        <v/>
      </c>
      <c r="Y22" s="30">
        <f>D22+H22+L22+P22+U22</f>
        <v/>
      </c>
      <c r="Z22" s="30">
        <f>E22+I22+M22+Q22+V22</f>
        <v/>
      </c>
      <c r="AA22" s="30">
        <f>F22+J22+N22+R22+W22</f>
        <v/>
      </c>
      <c r="AB22" s="32">
        <f>Z22+AA22</f>
        <v/>
      </c>
      <c r="AC22" s="33">
        <f>G22+K22+O22+S22+X22</f>
        <v/>
      </c>
      <c r="AD22" s="30">
        <f>IF($A22=1,VARIABLES!$B$12,0)</f>
        <v/>
      </c>
      <c r="AE22" s="30">
        <f>IF($A22&lt;=3,VARIABLES!$B$13,IF($A22&lt;=6,VARIABLES!$B$14,VARIABLES!$B$15))</f>
        <v/>
      </c>
      <c r="AF22" s="30">
        <f>IF(MOD($A22,12)=0,AC22*VARIABLES!$B$16,0)</f>
        <v/>
      </c>
      <c r="AG22" s="30">
        <f>VARIABLES!$B$17</f>
        <v/>
      </c>
      <c r="AH22" s="30">
        <f>IF(MOD($A22,12)=0,VARIABLES!$B$18,0)</f>
        <v/>
      </c>
      <c r="AI22" s="34">
        <f>AD22+AE22+AF22+AG22+AH22</f>
        <v/>
      </c>
      <c r="AJ22" s="35">
        <f>IF($A22&lt;VARIABLES!$B$7,VARIABLES!$B$9,0)</f>
        <v/>
      </c>
      <c r="AK22" s="36">
        <f>AB22-AI22-AJ22</f>
        <v/>
      </c>
      <c r="AL22" s="36">
        <f>AL21+AK22</f>
        <v/>
      </c>
      <c r="AM22" s="37">
        <f>AM21+AJ22</f>
        <v/>
      </c>
    </row>
    <row r="23">
      <c r="A23" s="38" t="n">
        <v>20</v>
      </c>
      <c r="B23" s="39">
        <f>TEXT(DATE(VARIABLES!$B$60+INT((VARIABLES!$B$61+A23-2)/12),MOD(VARIABLES!$B$61+A23-2,12)+1,1),"mmm-yy")</f>
        <v/>
      </c>
      <c r="C23" s="40">
        <f>IF($A23&lt;VARIABLES!$B$7,VARIABLES!$B$5/12,VARIABLES!$B$6/12)</f>
        <v/>
      </c>
      <c r="D23" s="41">
        <f>IF($A23&lt;VARIABLES!$B$21,0,IF($A23=VARIABLES!$B$21,VARIABLES!$B$22+VARIABLES!$B$23,VARIABLES!$B$23))</f>
        <v/>
      </c>
      <c r="E23" s="41">
        <f>D23*VARIABLES!$B$24</f>
        <v/>
      </c>
      <c r="F23" s="41">
        <f>IF($A23&lt;VARIABLES!$B$21,0,(IF($A23=VARIABLES!$B$21,0,G22)+D23)*C23*VARIABLES!$B$25)</f>
        <v/>
      </c>
      <c r="G23" s="41">
        <f>IF($A23&lt;VARIABLES!$B$21,0,(IF($A23=VARIABLES!$B$21,0,G22)+D23)*(1+C23)-F23)</f>
        <v/>
      </c>
      <c r="H23" s="41">
        <f>IF($A23&lt;VARIABLES!$B$28,0,IF($A23=VARIABLES!$B$28,VARIABLES!$B$29+VARIABLES!$B$30,VARIABLES!$B$30))</f>
        <v/>
      </c>
      <c r="I23" s="41">
        <f>H23*VARIABLES!$B$31</f>
        <v/>
      </c>
      <c r="J23" s="41">
        <f>IF($A23&lt;VARIABLES!$B$28,0,(IF($A23=VARIABLES!$B$28,0,K22)+H23)*C23*VARIABLES!$B$32)</f>
        <v/>
      </c>
      <c r="K23" s="41">
        <f>IF($A23&lt;VARIABLES!$B$28,0,(IF($A23=VARIABLES!$B$28,0,K22)+H23)*(1+C23)-J23)</f>
        <v/>
      </c>
      <c r="L23" s="41">
        <f>IF($A23&lt;VARIABLES!$B$35,0,IF($A23=VARIABLES!$B$35,VARIABLES!$B$36+VARIABLES!$B$37,VARIABLES!$B$37))</f>
        <v/>
      </c>
      <c r="M23" s="41">
        <f>L23*VARIABLES!$B$38</f>
        <v/>
      </c>
      <c r="N23" s="41">
        <f>IF($A23&lt;VARIABLES!$B$35,0,(IF($A23=VARIABLES!$B$35,0,O22)+L23)*C23*VARIABLES!$B$39)</f>
        <v/>
      </c>
      <c r="O23" s="41">
        <f>IF($A23&lt;VARIABLES!$B$35,0,(IF($A23=VARIABLES!$B$35,0,O22)+L23)*(1+C23)-N23)</f>
        <v/>
      </c>
      <c r="P23" s="41">
        <f>IF($A23&lt;VARIABLES!$B$42,0,IF($A23=VARIABLES!$B$42,VARIABLES!$B$43+VARIABLES!$B$44,VARIABLES!$B$44))</f>
        <v/>
      </c>
      <c r="Q23" s="41">
        <f>P23*VARIABLES!$B$45</f>
        <v/>
      </c>
      <c r="R23" s="41">
        <f>IF($A23&lt;VARIABLES!$B$42,0,(IF($A23=VARIABLES!$B$42,0,S22)+P23)*C23*VARIABLES!$B$46)</f>
        <v/>
      </c>
      <c r="S23" s="41">
        <f>IF($A23&lt;VARIABLES!$B$42,0,(IF($A23=VARIABLES!$B$42,0,S22)+P23)*(1+C23)-R23)</f>
        <v/>
      </c>
      <c r="T23" s="42">
        <f>IF($A23&lt;VARIABLES!$B$50,0,MIN(VARIABLES!$B$49,INT(($A23-VARIABLES!$B$50)/VARIABLES!$B$51)+1)*VARIABLES!$B$52)</f>
        <v/>
      </c>
      <c r="U23" s="41">
        <f>T23*VARIABLES!$B$54+IF(AND($A23&gt;=VARIABLES!$B$50,MOD($A23-VARIABLES!$B$50,VARIABLES!$B$51)=0,INT(($A23-VARIABLES!$B$50)/VARIABLES!$B$51)&lt;VARIABLES!$B$49),VARIABLES!$B$52*VARIABLES!$B$53,0)</f>
        <v/>
      </c>
      <c r="V23" s="41">
        <f>U23*VARIABLES!$B$55</f>
        <v/>
      </c>
      <c r="W23" s="41">
        <f>IF($A23&lt;VARIABLES!$B$50,0,(IF($A23&lt;VARIABLES!$B$50+1,0,X22)+U23)*C23*VARIABLES!$B$56)</f>
        <v/>
      </c>
      <c r="X23" s="41">
        <f>IF($A23&lt;VARIABLES!$B$50,0,(IF($A23&lt;VARIABLES!$B$50+1,0,X22)+U23)*(1+C23)-W23)</f>
        <v/>
      </c>
      <c r="Y23" s="41">
        <f>D23+H23+L23+P23+U23</f>
        <v/>
      </c>
      <c r="Z23" s="41">
        <f>E23+I23+M23+Q23+V23</f>
        <v/>
      </c>
      <c r="AA23" s="41">
        <f>F23+J23+N23+R23+W23</f>
        <v/>
      </c>
      <c r="AB23" s="32">
        <f>Z23+AA23</f>
        <v/>
      </c>
      <c r="AC23" s="33">
        <f>G23+K23+O23+S23+X23</f>
        <v/>
      </c>
      <c r="AD23" s="41">
        <f>IF($A23=1,VARIABLES!$B$12,0)</f>
        <v/>
      </c>
      <c r="AE23" s="41">
        <f>IF($A23&lt;=3,VARIABLES!$B$13,IF($A23&lt;=6,VARIABLES!$B$14,VARIABLES!$B$15))</f>
        <v/>
      </c>
      <c r="AF23" s="41">
        <f>IF(MOD($A23,12)=0,AC23*VARIABLES!$B$16,0)</f>
        <v/>
      </c>
      <c r="AG23" s="41">
        <f>VARIABLES!$B$17</f>
        <v/>
      </c>
      <c r="AH23" s="41">
        <f>IF(MOD($A23,12)=0,VARIABLES!$B$18,0)</f>
        <v/>
      </c>
      <c r="AI23" s="34">
        <f>AD23+AE23+AF23+AG23+AH23</f>
        <v/>
      </c>
      <c r="AJ23" s="35">
        <f>IF($A23&lt;VARIABLES!$B$7,VARIABLES!$B$9,0)</f>
        <v/>
      </c>
      <c r="AK23" s="43">
        <f>AB23-AI23-AJ23</f>
        <v/>
      </c>
      <c r="AL23" s="43">
        <f>AL22+AK23</f>
        <v/>
      </c>
      <c r="AM23" s="37">
        <f>AM22+AJ23</f>
        <v/>
      </c>
    </row>
    <row r="24">
      <c r="A24" s="27" t="n">
        <v>21</v>
      </c>
      <c r="B24" s="28">
        <f>TEXT(DATE(VARIABLES!$B$60+INT((VARIABLES!$B$61+A24-2)/12),MOD(VARIABLES!$B$61+A24-2,12)+1,1),"mmm-yy")</f>
        <v/>
      </c>
      <c r="C24" s="29">
        <f>IF($A24&lt;VARIABLES!$B$7,VARIABLES!$B$5/12,VARIABLES!$B$6/12)</f>
        <v/>
      </c>
      <c r="D24" s="30">
        <f>IF($A24&lt;VARIABLES!$B$21,0,IF($A24=VARIABLES!$B$21,VARIABLES!$B$22+VARIABLES!$B$23,VARIABLES!$B$23))</f>
        <v/>
      </c>
      <c r="E24" s="30">
        <f>D24*VARIABLES!$B$24</f>
        <v/>
      </c>
      <c r="F24" s="30">
        <f>IF($A24&lt;VARIABLES!$B$21,0,(IF($A24=VARIABLES!$B$21,0,G23)+D24)*C24*VARIABLES!$B$25)</f>
        <v/>
      </c>
      <c r="G24" s="30">
        <f>IF($A24&lt;VARIABLES!$B$21,0,(IF($A24=VARIABLES!$B$21,0,G23)+D24)*(1+C24)-F24)</f>
        <v/>
      </c>
      <c r="H24" s="30">
        <f>IF($A24&lt;VARIABLES!$B$28,0,IF($A24=VARIABLES!$B$28,VARIABLES!$B$29+VARIABLES!$B$30,VARIABLES!$B$30))</f>
        <v/>
      </c>
      <c r="I24" s="30">
        <f>H24*VARIABLES!$B$31</f>
        <v/>
      </c>
      <c r="J24" s="30">
        <f>IF($A24&lt;VARIABLES!$B$28,0,(IF($A24=VARIABLES!$B$28,0,K23)+H24)*C24*VARIABLES!$B$32)</f>
        <v/>
      </c>
      <c r="K24" s="30">
        <f>IF($A24&lt;VARIABLES!$B$28,0,(IF($A24=VARIABLES!$B$28,0,K23)+H24)*(1+C24)-J24)</f>
        <v/>
      </c>
      <c r="L24" s="30">
        <f>IF($A24&lt;VARIABLES!$B$35,0,IF($A24=VARIABLES!$B$35,VARIABLES!$B$36+VARIABLES!$B$37,VARIABLES!$B$37))</f>
        <v/>
      </c>
      <c r="M24" s="30">
        <f>L24*VARIABLES!$B$38</f>
        <v/>
      </c>
      <c r="N24" s="30">
        <f>IF($A24&lt;VARIABLES!$B$35,0,(IF($A24=VARIABLES!$B$35,0,O23)+L24)*C24*VARIABLES!$B$39)</f>
        <v/>
      </c>
      <c r="O24" s="30">
        <f>IF($A24&lt;VARIABLES!$B$35,0,(IF($A24=VARIABLES!$B$35,0,O23)+L24)*(1+C24)-N24)</f>
        <v/>
      </c>
      <c r="P24" s="30">
        <f>IF($A24&lt;VARIABLES!$B$42,0,IF($A24=VARIABLES!$B$42,VARIABLES!$B$43+VARIABLES!$B$44,VARIABLES!$B$44))</f>
        <v/>
      </c>
      <c r="Q24" s="30">
        <f>P24*VARIABLES!$B$45</f>
        <v/>
      </c>
      <c r="R24" s="30">
        <f>IF($A24&lt;VARIABLES!$B$42,0,(IF($A24=VARIABLES!$B$42,0,S23)+P24)*C24*VARIABLES!$B$46)</f>
        <v/>
      </c>
      <c r="S24" s="30">
        <f>IF($A24&lt;VARIABLES!$B$42,0,(IF($A24=VARIABLES!$B$42,0,S23)+P24)*(1+C24)-R24)</f>
        <v/>
      </c>
      <c r="T24" s="31">
        <f>IF($A24&lt;VARIABLES!$B$50,0,MIN(VARIABLES!$B$49,INT(($A24-VARIABLES!$B$50)/VARIABLES!$B$51)+1)*VARIABLES!$B$52)</f>
        <v/>
      </c>
      <c r="U24" s="30">
        <f>T24*VARIABLES!$B$54+IF(AND($A24&gt;=VARIABLES!$B$50,MOD($A24-VARIABLES!$B$50,VARIABLES!$B$51)=0,INT(($A24-VARIABLES!$B$50)/VARIABLES!$B$51)&lt;VARIABLES!$B$49),VARIABLES!$B$52*VARIABLES!$B$53,0)</f>
        <v/>
      </c>
      <c r="V24" s="30">
        <f>U24*VARIABLES!$B$55</f>
        <v/>
      </c>
      <c r="W24" s="30">
        <f>IF($A24&lt;VARIABLES!$B$50,0,(IF($A24&lt;VARIABLES!$B$50+1,0,X23)+U24)*C24*VARIABLES!$B$56)</f>
        <v/>
      </c>
      <c r="X24" s="30">
        <f>IF($A24&lt;VARIABLES!$B$50,0,(IF($A24&lt;VARIABLES!$B$50+1,0,X23)+U24)*(1+C24)-W24)</f>
        <v/>
      </c>
      <c r="Y24" s="30">
        <f>D24+H24+L24+P24+U24</f>
        <v/>
      </c>
      <c r="Z24" s="30">
        <f>E24+I24+M24+Q24+V24</f>
        <v/>
      </c>
      <c r="AA24" s="30">
        <f>F24+J24+N24+R24+W24</f>
        <v/>
      </c>
      <c r="AB24" s="32">
        <f>Z24+AA24</f>
        <v/>
      </c>
      <c r="AC24" s="33">
        <f>G24+K24+O24+S24+X24</f>
        <v/>
      </c>
      <c r="AD24" s="30">
        <f>IF($A24=1,VARIABLES!$B$12,0)</f>
        <v/>
      </c>
      <c r="AE24" s="30">
        <f>IF($A24&lt;=3,VARIABLES!$B$13,IF($A24&lt;=6,VARIABLES!$B$14,VARIABLES!$B$15))</f>
        <v/>
      </c>
      <c r="AF24" s="30">
        <f>IF(MOD($A24,12)=0,AC24*VARIABLES!$B$16,0)</f>
        <v/>
      </c>
      <c r="AG24" s="30">
        <f>VARIABLES!$B$17</f>
        <v/>
      </c>
      <c r="AH24" s="30">
        <f>IF(MOD($A24,12)=0,VARIABLES!$B$18,0)</f>
        <v/>
      </c>
      <c r="AI24" s="34">
        <f>AD24+AE24+AF24+AG24+AH24</f>
        <v/>
      </c>
      <c r="AJ24" s="35">
        <f>IF($A24&lt;VARIABLES!$B$7,VARIABLES!$B$9,0)</f>
        <v/>
      </c>
      <c r="AK24" s="36">
        <f>AB24-AI24-AJ24</f>
        <v/>
      </c>
      <c r="AL24" s="36">
        <f>AL23+AK24</f>
        <v/>
      </c>
      <c r="AM24" s="37">
        <f>AM23+AJ24</f>
        <v/>
      </c>
    </row>
    <row r="25">
      <c r="A25" s="38" t="n">
        <v>22</v>
      </c>
      <c r="B25" s="39">
        <f>TEXT(DATE(VARIABLES!$B$60+INT((VARIABLES!$B$61+A25-2)/12),MOD(VARIABLES!$B$61+A25-2,12)+1,1),"mmm-yy")</f>
        <v/>
      </c>
      <c r="C25" s="40">
        <f>IF($A25&lt;VARIABLES!$B$7,VARIABLES!$B$5/12,VARIABLES!$B$6/12)</f>
        <v/>
      </c>
      <c r="D25" s="41">
        <f>IF($A25&lt;VARIABLES!$B$21,0,IF($A25=VARIABLES!$B$21,VARIABLES!$B$22+VARIABLES!$B$23,VARIABLES!$B$23))</f>
        <v/>
      </c>
      <c r="E25" s="41">
        <f>D25*VARIABLES!$B$24</f>
        <v/>
      </c>
      <c r="F25" s="41">
        <f>IF($A25&lt;VARIABLES!$B$21,0,(IF($A25=VARIABLES!$B$21,0,G24)+D25)*C25*VARIABLES!$B$25)</f>
        <v/>
      </c>
      <c r="G25" s="41">
        <f>IF($A25&lt;VARIABLES!$B$21,0,(IF($A25=VARIABLES!$B$21,0,G24)+D25)*(1+C25)-F25)</f>
        <v/>
      </c>
      <c r="H25" s="41">
        <f>IF($A25&lt;VARIABLES!$B$28,0,IF($A25=VARIABLES!$B$28,VARIABLES!$B$29+VARIABLES!$B$30,VARIABLES!$B$30))</f>
        <v/>
      </c>
      <c r="I25" s="41">
        <f>H25*VARIABLES!$B$31</f>
        <v/>
      </c>
      <c r="J25" s="41">
        <f>IF($A25&lt;VARIABLES!$B$28,0,(IF($A25=VARIABLES!$B$28,0,K24)+H25)*C25*VARIABLES!$B$32)</f>
        <v/>
      </c>
      <c r="K25" s="41">
        <f>IF($A25&lt;VARIABLES!$B$28,0,(IF($A25=VARIABLES!$B$28,0,K24)+H25)*(1+C25)-J25)</f>
        <v/>
      </c>
      <c r="L25" s="41">
        <f>IF($A25&lt;VARIABLES!$B$35,0,IF($A25=VARIABLES!$B$35,VARIABLES!$B$36+VARIABLES!$B$37,VARIABLES!$B$37))</f>
        <v/>
      </c>
      <c r="M25" s="41">
        <f>L25*VARIABLES!$B$38</f>
        <v/>
      </c>
      <c r="N25" s="41">
        <f>IF($A25&lt;VARIABLES!$B$35,0,(IF($A25=VARIABLES!$B$35,0,O24)+L25)*C25*VARIABLES!$B$39)</f>
        <v/>
      </c>
      <c r="O25" s="41">
        <f>IF($A25&lt;VARIABLES!$B$35,0,(IF($A25=VARIABLES!$B$35,0,O24)+L25)*(1+C25)-N25)</f>
        <v/>
      </c>
      <c r="P25" s="41">
        <f>IF($A25&lt;VARIABLES!$B$42,0,IF($A25=VARIABLES!$B$42,VARIABLES!$B$43+VARIABLES!$B$44,VARIABLES!$B$44))</f>
        <v/>
      </c>
      <c r="Q25" s="41">
        <f>P25*VARIABLES!$B$45</f>
        <v/>
      </c>
      <c r="R25" s="41">
        <f>IF($A25&lt;VARIABLES!$B$42,0,(IF($A25=VARIABLES!$B$42,0,S24)+P25)*C25*VARIABLES!$B$46)</f>
        <v/>
      </c>
      <c r="S25" s="41">
        <f>IF($A25&lt;VARIABLES!$B$42,0,(IF($A25=VARIABLES!$B$42,0,S24)+P25)*(1+C25)-R25)</f>
        <v/>
      </c>
      <c r="T25" s="42">
        <f>IF($A25&lt;VARIABLES!$B$50,0,MIN(VARIABLES!$B$49,INT(($A25-VARIABLES!$B$50)/VARIABLES!$B$51)+1)*VARIABLES!$B$52)</f>
        <v/>
      </c>
      <c r="U25" s="41">
        <f>T25*VARIABLES!$B$54+IF(AND($A25&gt;=VARIABLES!$B$50,MOD($A25-VARIABLES!$B$50,VARIABLES!$B$51)=0,INT(($A25-VARIABLES!$B$50)/VARIABLES!$B$51)&lt;VARIABLES!$B$49),VARIABLES!$B$52*VARIABLES!$B$53,0)</f>
        <v/>
      </c>
      <c r="V25" s="41">
        <f>U25*VARIABLES!$B$55</f>
        <v/>
      </c>
      <c r="W25" s="41">
        <f>IF($A25&lt;VARIABLES!$B$50,0,(IF($A25&lt;VARIABLES!$B$50+1,0,X24)+U25)*C25*VARIABLES!$B$56)</f>
        <v/>
      </c>
      <c r="X25" s="41">
        <f>IF($A25&lt;VARIABLES!$B$50,0,(IF($A25&lt;VARIABLES!$B$50+1,0,X24)+U25)*(1+C25)-W25)</f>
        <v/>
      </c>
      <c r="Y25" s="41">
        <f>D25+H25+L25+P25+U25</f>
        <v/>
      </c>
      <c r="Z25" s="41">
        <f>E25+I25+M25+Q25+V25</f>
        <v/>
      </c>
      <c r="AA25" s="41">
        <f>F25+J25+N25+R25+W25</f>
        <v/>
      </c>
      <c r="AB25" s="32">
        <f>Z25+AA25</f>
        <v/>
      </c>
      <c r="AC25" s="33">
        <f>G25+K25+O25+S25+X25</f>
        <v/>
      </c>
      <c r="AD25" s="41">
        <f>IF($A25=1,VARIABLES!$B$12,0)</f>
        <v/>
      </c>
      <c r="AE25" s="41">
        <f>IF($A25&lt;=3,VARIABLES!$B$13,IF($A25&lt;=6,VARIABLES!$B$14,VARIABLES!$B$15))</f>
        <v/>
      </c>
      <c r="AF25" s="41">
        <f>IF(MOD($A25,12)=0,AC25*VARIABLES!$B$16,0)</f>
        <v/>
      </c>
      <c r="AG25" s="41">
        <f>VARIABLES!$B$17</f>
        <v/>
      </c>
      <c r="AH25" s="41">
        <f>IF(MOD($A25,12)=0,VARIABLES!$B$18,0)</f>
        <v/>
      </c>
      <c r="AI25" s="34">
        <f>AD25+AE25+AF25+AG25+AH25</f>
        <v/>
      </c>
      <c r="AJ25" s="35">
        <f>IF($A25&lt;VARIABLES!$B$7,VARIABLES!$B$9,0)</f>
        <v/>
      </c>
      <c r="AK25" s="43">
        <f>AB25-AI25-AJ25</f>
        <v/>
      </c>
      <c r="AL25" s="43">
        <f>AL24+AK25</f>
        <v/>
      </c>
      <c r="AM25" s="37">
        <f>AM24+AJ25</f>
        <v/>
      </c>
    </row>
    <row r="26">
      <c r="A26" s="27" t="n">
        <v>23</v>
      </c>
      <c r="B26" s="28">
        <f>TEXT(DATE(VARIABLES!$B$60+INT((VARIABLES!$B$61+A26-2)/12),MOD(VARIABLES!$B$61+A26-2,12)+1,1),"mmm-yy")</f>
        <v/>
      </c>
      <c r="C26" s="29">
        <f>IF($A26&lt;VARIABLES!$B$7,VARIABLES!$B$5/12,VARIABLES!$B$6/12)</f>
        <v/>
      </c>
      <c r="D26" s="30">
        <f>IF($A26&lt;VARIABLES!$B$21,0,IF($A26=VARIABLES!$B$21,VARIABLES!$B$22+VARIABLES!$B$23,VARIABLES!$B$23))</f>
        <v/>
      </c>
      <c r="E26" s="30">
        <f>D26*VARIABLES!$B$24</f>
        <v/>
      </c>
      <c r="F26" s="30">
        <f>IF($A26&lt;VARIABLES!$B$21,0,(IF($A26=VARIABLES!$B$21,0,G25)+D26)*C26*VARIABLES!$B$25)</f>
        <v/>
      </c>
      <c r="G26" s="30">
        <f>IF($A26&lt;VARIABLES!$B$21,0,(IF($A26=VARIABLES!$B$21,0,G25)+D26)*(1+C26)-F26)</f>
        <v/>
      </c>
      <c r="H26" s="30">
        <f>IF($A26&lt;VARIABLES!$B$28,0,IF($A26=VARIABLES!$B$28,VARIABLES!$B$29+VARIABLES!$B$30,VARIABLES!$B$30))</f>
        <v/>
      </c>
      <c r="I26" s="30">
        <f>H26*VARIABLES!$B$31</f>
        <v/>
      </c>
      <c r="J26" s="30">
        <f>IF($A26&lt;VARIABLES!$B$28,0,(IF($A26=VARIABLES!$B$28,0,K25)+H26)*C26*VARIABLES!$B$32)</f>
        <v/>
      </c>
      <c r="K26" s="30">
        <f>IF($A26&lt;VARIABLES!$B$28,0,(IF($A26=VARIABLES!$B$28,0,K25)+H26)*(1+C26)-J26)</f>
        <v/>
      </c>
      <c r="L26" s="30">
        <f>IF($A26&lt;VARIABLES!$B$35,0,IF($A26=VARIABLES!$B$35,VARIABLES!$B$36+VARIABLES!$B$37,VARIABLES!$B$37))</f>
        <v/>
      </c>
      <c r="M26" s="30">
        <f>L26*VARIABLES!$B$38</f>
        <v/>
      </c>
      <c r="N26" s="30">
        <f>IF($A26&lt;VARIABLES!$B$35,0,(IF($A26=VARIABLES!$B$35,0,O25)+L26)*C26*VARIABLES!$B$39)</f>
        <v/>
      </c>
      <c r="O26" s="30">
        <f>IF($A26&lt;VARIABLES!$B$35,0,(IF($A26=VARIABLES!$B$35,0,O25)+L26)*(1+C26)-N26)</f>
        <v/>
      </c>
      <c r="P26" s="30">
        <f>IF($A26&lt;VARIABLES!$B$42,0,IF($A26=VARIABLES!$B$42,VARIABLES!$B$43+VARIABLES!$B$44,VARIABLES!$B$44))</f>
        <v/>
      </c>
      <c r="Q26" s="30">
        <f>P26*VARIABLES!$B$45</f>
        <v/>
      </c>
      <c r="R26" s="30">
        <f>IF($A26&lt;VARIABLES!$B$42,0,(IF($A26=VARIABLES!$B$42,0,S25)+P26)*C26*VARIABLES!$B$46)</f>
        <v/>
      </c>
      <c r="S26" s="30">
        <f>IF($A26&lt;VARIABLES!$B$42,0,(IF($A26=VARIABLES!$B$42,0,S25)+P26)*(1+C26)-R26)</f>
        <v/>
      </c>
      <c r="T26" s="31">
        <f>IF($A26&lt;VARIABLES!$B$50,0,MIN(VARIABLES!$B$49,INT(($A26-VARIABLES!$B$50)/VARIABLES!$B$51)+1)*VARIABLES!$B$52)</f>
        <v/>
      </c>
      <c r="U26" s="30">
        <f>T26*VARIABLES!$B$54+IF(AND($A26&gt;=VARIABLES!$B$50,MOD($A26-VARIABLES!$B$50,VARIABLES!$B$51)=0,INT(($A26-VARIABLES!$B$50)/VARIABLES!$B$51)&lt;VARIABLES!$B$49),VARIABLES!$B$52*VARIABLES!$B$53,0)</f>
        <v/>
      </c>
      <c r="V26" s="30">
        <f>U26*VARIABLES!$B$55</f>
        <v/>
      </c>
      <c r="W26" s="30">
        <f>IF($A26&lt;VARIABLES!$B$50,0,(IF($A26&lt;VARIABLES!$B$50+1,0,X25)+U26)*C26*VARIABLES!$B$56)</f>
        <v/>
      </c>
      <c r="X26" s="30">
        <f>IF($A26&lt;VARIABLES!$B$50,0,(IF($A26&lt;VARIABLES!$B$50+1,0,X25)+U26)*(1+C26)-W26)</f>
        <v/>
      </c>
      <c r="Y26" s="30">
        <f>D26+H26+L26+P26+U26</f>
        <v/>
      </c>
      <c r="Z26" s="30">
        <f>E26+I26+M26+Q26+V26</f>
        <v/>
      </c>
      <c r="AA26" s="30">
        <f>F26+J26+N26+R26+W26</f>
        <v/>
      </c>
      <c r="AB26" s="32">
        <f>Z26+AA26</f>
        <v/>
      </c>
      <c r="AC26" s="33">
        <f>G26+K26+O26+S26+X26</f>
        <v/>
      </c>
      <c r="AD26" s="30">
        <f>IF($A26=1,VARIABLES!$B$12,0)</f>
        <v/>
      </c>
      <c r="AE26" s="30">
        <f>IF($A26&lt;=3,VARIABLES!$B$13,IF($A26&lt;=6,VARIABLES!$B$14,VARIABLES!$B$15))</f>
        <v/>
      </c>
      <c r="AF26" s="30">
        <f>IF(MOD($A26,12)=0,AC26*VARIABLES!$B$16,0)</f>
        <v/>
      </c>
      <c r="AG26" s="30">
        <f>VARIABLES!$B$17</f>
        <v/>
      </c>
      <c r="AH26" s="30">
        <f>IF(MOD($A26,12)=0,VARIABLES!$B$18,0)</f>
        <v/>
      </c>
      <c r="AI26" s="34">
        <f>AD26+AE26+AF26+AG26+AH26</f>
        <v/>
      </c>
      <c r="AJ26" s="35">
        <f>IF($A26&lt;VARIABLES!$B$7,VARIABLES!$B$9,0)</f>
        <v/>
      </c>
      <c r="AK26" s="36">
        <f>AB26-AI26-AJ26</f>
        <v/>
      </c>
      <c r="AL26" s="36">
        <f>AL25+AK26</f>
        <v/>
      </c>
      <c r="AM26" s="37">
        <f>AM25+AJ26</f>
        <v/>
      </c>
    </row>
    <row r="27">
      <c r="A27" s="38" t="n">
        <v>24</v>
      </c>
      <c r="B27" s="39">
        <f>TEXT(DATE(VARIABLES!$B$60+INT((VARIABLES!$B$61+A27-2)/12),MOD(VARIABLES!$B$61+A27-2,12)+1,1),"mmm-yy")</f>
        <v/>
      </c>
      <c r="C27" s="40">
        <f>IF($A27&lt;VARIABLES!$B$7,VARIABLES!$B$5/12,VARIABLES!$B$6/12)</f>
        <v/>
      </c>
      <c r="D27" s="41">
        <f>IF($A27&lt;VARIABLES!$B$21,0,IF($A27=VARIABLES!$B$21,VARIABLES!$B$22+VARIABLES!$B$23,VARIABLES!$B$23))</f>
        <v/>
      </c>
      <c r="E27" s="41">
        <f>D27*VARIABLES!$B$24</f>
        <v/>
      </c>
      <c r="F27" s="41">
        <f>IF($A27&lt;VARIABLES!$B$21,0,(IF($A27=VARIABLES!$B$21,0,G26)+D27)*C27*VARIABLES!$B$25)</f>
        <v/>
      </c>
      <c r="G27" s="41">
        <f>IF($A27&lt;VARIABLES!$B$21,0,(IF($A27=VARIABLES!$B$21,0,G26)+D27)*(1+C27)-F27)</f>
        <v/>
      </c>
      <c r="H27" s="41">
        <f>IF($A27&lt;VARIABLES!$B$28,0,IF($A27=VARIABLES!$B$28,VARIABLES!$B$29+VARIABLES!$B$30,VARIABLES!$B$30))</f>
        <v/>
      </c>
      <c r="I27" s="41">
        <f>H27*VARIABLES!$B$31</f>
        <v/>
      </c>
      <c r="J27" s="41">
        <f>IF($A27&lt;VARIABLES!$B$28,0,(IF($A27=VARIABLES!$B$28,0,K26)+H27)*C27*VARIABLES!$B$32)</f>
        <v/>
      </c>
      <c r="K27" s="41">
        <f>IF($A27&lt;VARIABLES!$B$28,0,(IF($A27=VARIABLES!$B$28,0,K26)+H27)*(1+C27)-J27)</f>
        <v/>
      </c>
      <c r="L27" s="41">
        <f>IF($A27&lt;VARIABLES!$B$35,0,IF($A27=VARIABLES!$B$35,VARIABLES!$B$36+VARIABLES!$B$37,VARIABLES!$B$37))</f>
        <v/>
      </c>
      <c r="M27" s="41">
        <f>L27*VARIABLES!$B$38</f>
        <v/>
      </c>
      <c r="N27" s="41">
        <f>IF($A27&lt;VARIABLES!$B$35,0,(IF($A27=VARIABLES!$B$35,0,O26)+L27)*C27*VARIABLES!$B$39)</f>
        <v/>
      </c>
      <c r="O27" s="41">
        <f>IF($A27&lt;VARIABLES!$B$35,0,(IF($A27=VARIABLES!$B$35,0,O26)+L27)*(1+C27)-N27)</f>
        <v/>
      </c>
      <c r="P27" s="41">
        <f>IF($A27&lt;VARIABLES!$B$42,0,IF($A27=VARIABLES!$B$42,VARIABLES!$B$43+VARIABLES!$B$44,VARIABLES!$B$44))</f>
        <v/>
      </c>
      <c r="Q27" s="41">
        <f>P27*VARIABLES!$B$45</f>
        <v/>
      </c>
      <c r="R27" s="41">
        <f>IF($A27&lt;VARIABLES!$B$42,0,(IF($A27=VARIABLES!$B$42,0,S26)+P27)*C27*VARIABLES!$B$46)</f>
        <v/>
      </c>
      <c r="S27" s="41">
        <f>IF($A27&lt;VARIABLES!$B$42,0,(IF($A27=VARIABLES!$B$42,0,S26)+P27)*(1+C27)-R27)</f>
        <v/>
      </c>
      <c r="T27" s="42">
        <f>IF($A27&lt;VARIABLES!$B$50,0,MIN(VARIABLES!$B$49,INT(($A27-VARIABLES!$B$50)/VARIABLES!$B$51)+1)*VARIABLES!$B$52)</f>
        <v/>
      </c>
      <c r="U27" s="41">
        <f>T27*VARIABLES!$B$54+IF(AND($A27&gt;=VARIABLES!$B$50,MOD($A27-VARIABLES!$B$50,VARIABLES!$B$51)=0,INT(($A27-VARIABLES!$B$50)/VARIABLES!$B$51)&lt;VARIABLES!$B$49),VARIABLES!$B$52*VARIABLES!$B$53,0)</f>
        <v/>
      </c>
      <c r="V27" s="41">
        <f>U27*VARIABLES!$B$55</f>
        <v/>
      </c>
      <c r="W27" s="41">
        <f>IF($A27&lt;VARIABLES!$B$50,0,(IF($A27&lt;VARIABLES!$B$50+1,0,X26)+U27)*C27*VARIABLES!$B$56)</f>
        <v/>
      </c>
      <c r="X27" s="41">
        <f>IF($A27&lt;VARIABLES!$B$50,0,(IF($A27&lt;VARIABLES!$B$50+1,0,X26)+U27)*(1+C27)-W27)</f>
        <v/>
      </c>
      <c r="Y27" s="41">
        <f>D27+H27+L27+P27+U27</f>
        <v/>
      </c>
      <c r="Z27" s="41">
        <f>E27+I27+M27+Q27+V27</f>
        <v/>
      </c>
      <c r="AA27" s="41">
        <f>F27+J27+N27+R27+W27</f>
        <v/>
      </c>
      <c r="AB27" s="32">
        <f>Z27+AA27</f>
        <v/>
      </c>
      <c r="AC27" s="33">
        <f>G27+K27+O27+S27+X27</f>
        <v/>
      </c>
      <c r="AD27" s="41">
        <f>IF($A27=1,VARIABLES!$B$12,0)</f>
        <v/>
      </c>
      <c r="AE27" s="41">
        <f>IF($A27&lt;=3,VARIABLES!$B$13,IF($A27&lt;=6,VARIABLES!$B$14,VARIABLES!$B$15))</f>
        <v/>
      </c>
      <c r="AF27" s="41">
        <f>IF(MOD($A27,12)=0,AC27*VARIABLES!$B$16,0)</f>
        <v/>
      </c>
      <c r="AG27" s="41">
        <f>VARIABLES!$B$17</f>
        <v/>
      </c>
      <c r="AH27" s="41">
        <f>IF(MOD($A27,12)=0,VARIABLES!$B$18,0)</f>
        <v/>
      </c>
      <c r="AI27" s="34">
        <f>AD27+AE27+AF27+AG27+AH27</f>
        <v/>
      </c>
      <c r="AJ27" s="35">
        <f>IF($A27&lt;VARIABLES!$B$7,VARIABLES!$B$9,0)</f>
        <v/>
      </c>
      <c r="AK27" s="43">
        <f>AB27-AI27-AJ27</f>
        <v/>
      </c>
      <c r="AL27" s="43">
        <f>AL26+AK27</f>
        <v/>
      </c>
      <c r="AM27" s="37">
        <f>AM26+AJ27</f>
        <v/>
      </c>
    </row>
    <row r="28">
      <c r="A28" s="27" t="n">
        <v>25</v>
      </c>
      <c r="B28" s="28">
        <f>TEXT(DATE(VARIABLES!$B$60+INT((VARIABLES!$B$61+A28-2)/12),MOD(VARIABLES!$B$61+A28-2,12)+1,1),"mmm-yy")</f>
        <v/>
      </c>
      <c r="C28" s="29">
        <f>IF($A28&lt;VARIABLES!$B$7,VARIABLES!$B$5/12,VARIABLES!$B$6/12)</f>
        <v/>
      </c>
      <c r="D28" s="30">
        <f>IF($A28&lt;VARIABLES!$B$21,0,IF($A28=VARIABLES!$B$21,VARIABLES!$B$22+VARIABLES!$B$23,VARIABLES!$B$23))</f>
        <v/>
      </c>
      <c r="E28" s="30">
        <f>D28*VARIABLES!$B$24</f>
        <v/>
      </c>
      <c r="F28" s="30">
        <f>IF($A28&lt;VARIABLES!$B$21,0,(IF($A28=VARIABLES!$B$21,0,G27)+D28)*C28*VARIABLES!$B$25)</f>
        <v/>
      </c>
      <c r="G28" s="30">
        <f>IF($A28&lt;VARIABLES!$B$21,0,(IF($A28=VARIABLES!$B$21,0,G27)+D28)*(1+C28)-F28)</f>
        <v/>
      </c>
      <c r="H28" s="30">
        <f>IF($A28&lt;VARIABLES!$B$28,0,IF($A28=VARIABLES!$B$28,VARIABLES!$B$29+VARIABLES!$B$30,VARIABLES!$B$30))</f>
        <v/>
      </c>
      <c r="I28" s="30">
        <f>H28*VARIABLES!$B$31</f>
        <v/>
      </c>
      <c r="J28" s="30">
        <f>IF($A28&lt;VARIABLES!$B$28,0,(IF($A28=VARIABLES!$B$28,0,K27)+H28)*C28*VARIABLES!$B$32)</f>
        <v/>
      </c>
      <c r="K28" s="30">
        <f>IF($A28&lt;VARIABLES!$B$28,0,(IF($A28=VARIABLES!$B$28,0,K27)+H28)*(1+C28)-J28)</f>
        <v/>
      </c>
      <c r="L28" s="30">
        <f>IF($A28&lt;VARIABLES!$B$35,0,IF($A28=VARIABLES!$B$35,VARIABLES!$B$36+VARIABLES!$B$37,VARIABLES!$B$37))</f>
        <v/>
      </c>
      <c r="M28" s="30">
        <f>L28*VARIABLES!$B$38</f>
        <v/>
      </c>
      <c r="N28" s="30">
        <f>IF($A28&lt;VARIABLES!$B$35,0,(IF($A28=VARIABLES!$B$35,0,O27)+L28)*C28*VARIABLES!$B$39)</f>
        <v/>
      </c>
      <c r="O28" s="30">
        <f>IF($A28&lt;VARIABLES!$B$35,0,(IF($A28=VARIABLES!$B$35,0,O27)+L28)*(1+C28)-N28)</f>
        <v/>
      </c>
      <c r="P28" s="30">
        <f>IF($A28&lt;VARIABLES!$B$42,0,IF($A28=VARIABLES!$B$42,VARIABLES!$B$43+VARIABLES!$B$44,VARIABLES!$B$44))</f>
        <v/>
      </c>
      <c r="Q28" s="30">
        <f>P28*VARIABLES!$B$45</f>
        <v/>
      </c>
      <c r="R28" s="30">
        <f>IF($A28&lt;VARIABLES!$B$42,0,(IF($A28=VARIABLES!$B$42,0,S27)+P28)*C28*VARIABLES!$B$46)</f>
        <v/>
      </c>
      <c r="S28" s="30">
        <f>IF($A28&lt;VARIABLES!$B$42,0,(IF($A28=VARIABLES!$B$42,0,S27)+P28)*(1+C28)-R28)</f>
        <v/>
      </c>
      <c r="T28" s="31">
        <f>IF($A28&lt;VARIABLES!$B$50,0,MIN(VARIABLES!$B$49,INT(($A28-VARIABLES!$B$50)/VARIABLES!$B$51)+1)*VARIABLES!$B$52)</f>
        <v/>
      </c>
      <c r="U28" s="30">
        <f>T28*VARIABLES!$B$54+IF(AND($A28&gt;=VARIABLES!$B$50,MOD($A28-VARIABLES!$B$50,VARIABLES!$B$51)=0,INT(($A28-VARIABLES!$B$50)/VARIABLES!$B$51)&lt;VARIABLES!$B$49),VARIABLES!$B$52*VARIABLES!$B$53,0)</f>
        <v/>
      </c>
      <c r="V28" s="30">
        <f>U28*VARIABLES!$B$55</f>
        <v/>
      </c>
      <c r="W28" s="30">
        <f>IF($A28&lt;VARIABLES!$B$50,0,(IF($A28&lt;VARIABLES!$B$50+1,0,X27)+U28)*C28*VARIABLES!$B$56)</f>
        <v/>
      </c>
      <c r="X28" s="30">
        <f>IF($A28&lt;VARIABLES!$B$50,0,(IF($A28&lt;VARIABLES!$B$50+1,0,X27)+U28)*(1+C28)-W28)</f>
        <v/>
      </c>
      <c r="Y28" s="30">
        <f>D28+H28+L28+P28+U28</f>
        <v/>
      </c>
      <c r="Z28" s="30">
        <f>E28+I28+M28+Q28+V28</f>
        <v/>
      </c>
      <c r="AA28" s="30">
        <f>F28+J28+N28+R28+W28</f>
        <v/>
      </c>
      <c r="AB28" s="32">
        <f>Z28+AA28</f>
        <v/>
      </c>
      <c r="AC28" s="33">
        <f>G28+K28+O28+S28+X28</f>
        <v/>
      </c>
      <c r="AD28" s="30">
        <f>IF($A28=1,VARIABLES!$B$12,0)</f>
        <v/>
      </c>
      <c r="AE28" s="30">
        <f>IF($A28&lt;=3,VARIABLES!$B$13,IF($A28&lt;=6,VARIABLES!$B$14,VARIABLES!$B$15))</f>
        <v/>
      </c>
      <c r="AF28" s="30">
        <f>IF(MOD($A28,12)=0,AC28*VARIABLES!$B$16,0)</f>
        <v/>
      </c>
      <c r="AG28" s="30">
        <f>VARIABLES!$B$17</f>
        <v/>
      </c>
      <c r="AH28" s="30">
        <f>IF(MOD($A28,12)=0,VARIABLES!$B$18,0)</f>
        <v/>
      </c>
      <c r="AI28" s="34">
        <f>AD28+AE28+AF28+AG28+AH28</f>
        <v/>
      </c>
      <c r="AJ28" s="35">
        <f>IF($A28&lt;VARIABLES!$B$7,VARIABLES!$B$9,0)</f>
        <v/>
      </c>
      <c r="AK28" s="36">
        <f>AB28-AI28-AJ28</f>
        <v/>
      </c>
      <c r="AL28" s="36">
        <f>AL27+AK28</f>
        <v/>
      </c>
      <c r="AM28" s="37">
        <f>AM27+AJ28</f>
        <v/>
      </c>
    </row>
    <row r="29">
      <c r="A29" s="38" t="n">
        <v>26</v>
      </c>
      <c r="B29" s="39">
        <f>TEXT(DATE(VARIABLES!$B$60+INT((VARIABLES!$B$61+A29-2)/12),MOD(VARIABLES!$B$61+A29-2,12)+1,1),"mmm-yy")</f>
        <v/>
      </c>
      <c r="C29" s="40">
        <f>IF($A29&lt;VARIABLES!$B$7,VARIABLES!$B$5/12,VARIABLES!$B$6/12)</f>
        <v/>
      </c>
      <c r="D29" s="41">
        <f>IF($A29&lt;VARIABLES!$B$21,0,IF($A29=VARIABLES!$B$21,VARIABLES!$B$22+VARIABLES!$B$23,VARIABLES!$B$23))</f>
        <v/>
      </c>
      <c r="E29" s="41">
        <f>D29*VARIABLES!$B$24</f>
        <v/>
      </c>
      <c r="F29" s="41">
        <f>IF($A29&lt;VARIABLES!$B$21,0,(IF($A29=VARIABLES!$B$21,0,G28)+D29)*C29*VARIABLES!$B$25)</f>
        <v/>
      </c>
      <c r="G29" s="41">
        <f>IF($A29&lt;VARIABLES!$B$21,0,(IF($A29=VARIABLES!$B$21,0,G28)+D29)*(1+C29)-F29)</f>
        <v/>
      </c>
      <c r="H29" s="41">
        <f>IF($A29&lt;VARIABLES!$B$28,0,IF($A29=VARIABLES!$B$28,VARIABLES!$B$29+VARIABLES!$B$30,VARIABLES!$B$30))</f>
        <v/>
      </c>
      <c r="I29" s="41">
        <f>H29*VARIABLES!$B$31</f>
        <v/>
      </c>
      <c r="J29" s="41">
        <f>IF($A29&lt;VARIABLES!$B$28,0,(IF($A29=VARIABLES!$B$28,0,K28)+H29)*C29*VARIABLES!$B$32)</f>
        <v/>
      </c>
      <c r="K29" s="41">
        <f>IF($A29&lt;VARIABLES!$B$28,0,(IF($A29=VARIABLES!$B$28,0,K28)+H29)*(1+C29)-J29)</f>
        <v/>
      </c>
      <c r="L29" s="41">
        <f>IF($A29&lt;VARIABLES!$B$35,0,IF($A29=VARIABLES!$B$35,VARIABLES!$B$36+VARIABLES!$B$37,VARIABLES!$B$37))</f>
        <v/>
      </c>
      <c r="M29" s="41">
        <f>L29*VARIABLES!$B$38</f>
        <v/>
      </c>
      <c r="N29" s="41">
        <f>IF($A29&lt;VARIABLES!$B$35,0,(IF($A29=VARIABLES!$B$35,0,O28)+L29)*C29*VARIABLES!$B$39)</f>
        <v/>
      </c>
      <c r="O29" s="41">
        <f>IF($A29&lt;VARIABLES!$B$35,0,(IF($A29=VARIABLES!$B$35,0,O28)+L29)*(1+C29)-N29)</f>
        <v/>
      </c>
      <c r="P29" s="41">
        <f>IF($A29&lt;VARIABLES!$B$42,0,IF($A29=VARIABLES!$B$42,VARIABLES!$B$43+VARIABLES!$B$44,VARIABLES!$B$44))</f>
        <v/>
      </c>
      <c r="Q29" s="41">
        <f>P29*VARIABLES!$B$45</f>
        <v/>
      </c>
      <c r="R29" s="41">
        <f>IF($A29&lt;VARIABLES!$B$42,0,(IF($A29=VARIABLES!$B$42,0,S28)+P29)*C29*VARIABLES!$B$46)</f>
        <v/>
      </c>
      <c r="S29" s="41">
        <f>IF($A29&lt;VARIABLES!$B$42,0,(IF($A29=VARIABLES!$B$42,0,S28)+P29)*(1+C29)-R29)</f>
        <v/>
      </c>
      <c r="T29" s="42">
        <f>IF($A29&lt;VARIABLES!$B$50,0,MIN(VARIABLES!$B$49,INT(($A29-VARIABLES!$B$50)/VARIABLES!$B$51)+1)*VARIABLES!$B$52)</f>
        <v/>
      </c>
      <c r="U29" s="41">
        <f>T29*VARIABLES!$B$54+IF(AND($A29&gt;=VARIABLES!$B$50,MOD($A29-VARIABLES!$B$50,VARIABLES!$B$51)=0,INT(($A29-VARIABLES!$B$50)/VARIABLES!$B$51)&lt;VARIABLES!$B$49),VARIABLES!$B$52*VARIABLES!$B$53,0)</f>
        <v/>
      </c>
      <c r="V29" s="41">
        <f>U29*VARIABLES!$B$55</f>
        <v/>
      </c>
      <c r="W29" s="41">
        <f>IF($A29&lt;VARIABLES!$B$50,0,(IF($A29&lt;VARIABLES!$B$50+1,0,X28)+U29)*C29*VARIABLES!$B$56)</f>
        <v/>
      </c>
      <c r="X29" s="41">
        <f>IF($A29&lt;VARIABLES!$B$50,0,(IF($A29&lt;VARIABLES!$B$50+1,0,X28)+U29)*(1+C29)-W29)</f>
        <v/>
      </c>
      <c r="Y29" s="41">
        <f>D29+H29+L29+P29+U29</f>
        <v/>
      </c>
      <c r="Z29" s="41">
        <f>E29+I29+M29+Q29+V29</f>
        <v/>
      </c>
      <c r="AA29" s="41">
        <f>F29+J29+N29+R29+W29</f>
        <v/>
      </c>
      <c r="AB29" s="32">
        <f>Z29+AA29</f>
        <v/>
      </c>
      <c r="AC29" s="33">
        <f>G29+K29+O29+S29+X29</f>
        <v/>
      </c>
      <c r="AD29" s="41">
        <f>IF($A29=1,VARIABLES!$B$12,0)</f>
        <v/>
      </c>
      <c r="AE29" s="41">
        <f>IF($A29&lt;=3,VARIABLES!$B$13,IF($A29&lt;=6,VARIABLES!$B$14,VARIABLES!$B$15))</f>
        <v/>
      </c>
      <c r="AF29" s="41">
        <f>IF(MOD($A29,12)=0,AC29*VARIABLES!$B$16,0)</f>
        <v/>
      </c>
      <c r="AG29" s="41">
        <f>VARIABLES!$B$17</f>
        <v/>
      </c>
      <c r="AH29" s="41">
        <f>IF(MOD($A29,12)=0,VARIABLES!$B$18,0)</f>
        <v/>
      </c>
      <c r="AI29" s="34">
        <f>AD29+AE29+AF29+AG29+AH29</f>
        <v/>
      </c>
      <c r="AJ29" s="35">
        <f>IF($A29&lt;VARIABLES!$B$7,VARIABLES!$B$9,0)</f>
        <v/>
      </c>
      <c r="AK29" s="43">
        <f>AB29-AI29-AJ29</f>
        <v/>
      </c>
      <c r="AL29" s="43">
        <f>AL28+AK29</f>
        <v/>
      </c>
      <c r="AM29" s="37">
        <f>AM28+AJ29</f>
        <v/>
      </c>
    </row>
    <row r="30">
      <c r="A30" s="27" t="n">
        <v>27</v>
      </c>
      <c r="B30" s="28">
        <f>TEXT(DATE(VARIABLES!$B$60+INT((VARIABLES!$B$61+A30-2)/12),MOD(VARIABLES!$B$61+A30-2,12)+1,1),"mmm-yy")</f>
        <v/>
      </c>
      <c r="C30" s="29">
        <f>IF($A30&lt;VARIABLES!$B$7,VARIABLES!$B$5/12,VARIABLES!$B$6/12)</f>
        <v/>
      </c>
      <c r="D30" s="30">
        <f>IF($A30&lt;VARIABLES!$B$21,0,IF($A30=VARIABLES!$B$21,VARIABLES!$B$22+VARIABLES!$B$23,VARIABLES!$B$23))</f>
        <v/>
      </c>
      <c r="E30" s="30">
        <f>D30*VARIABLES!$B$24</f>
        <v/>
      </c>
      <c r="F30" s="30">
        <f>IF($A30&lt;VARIABLES!$B$21,0,(IF($A30=VARIABLES!$B$21,0,G29)+D30)*C30*VARIABLES!$B$25)</f>
        <v/>
      </c>
      <c r="G30" s="30">
        <f>IF($A30&lt;VARIABLES!$B$21,0,(IF($A30=VARIABLES!$B$21,0,G29)+D30)*(1+C30)-F30)</f>
        <v/>
      </c>
      <c r="H30" s="30">
        <f>IF($A30&lt;VARIABLES!$B$28,0,IF($A30=VARIABLES!$B$28,VARIABLES!$B$29+VARIABLES!$B$30,VARIABLES!$B$30))</f>
        <v/>
      </c>
      <c r="I30" s="30">
        <f>H30*VARIABLES!$B$31</f>
        <v/>
      </c>
      <c r="J30" s="30">
        <f>IF($A30&lt;VARIABLES!$B$28,0,(IF($A30=VARIABLES!$B$28,0,K29)+H30)*C30*VARIABLES!$B$32)</f>
        <v/>
      </c>
      <c r="K30" s="30">
        <f>IF($A30&lt;VARIABLES!$B$28,0,(IF($A30=VARIABLES!$B$28,0,K29)+H30)*(1+C30)-J30)</f>
        <v/>
      </c>
      <c r="L30" s="30">
        <f>IF($A30&lt;VARIABLES!$B$35,0,IF($A30=VARIABLES!$B$35,VARIABLES!$B$36+VARIABLES!$B$37,VARIABLES!$B$37))</f>
        <v/>
      </c>
      <c r="M30" s="30">
        <f>L30*VARIABLES!$B$38</f>
        <v/>
      </c>
      <c r="N30" s="30">
        <f>IF($A30&lt;VARIABLES!$B$35,0,(IF($A30=VARIABLES!$B$35,0,O29)+L30)*C30*VARIABLES!$B$39)</f>
        <v/>
      </c>
      <c r="O30" s="30">
        <f>IF($A30&lt;VARIABLES!$B$35,0,(IF($A30=VARIABLES!$B$35,0,O29)+L30)*(1+C30)-N30)</f>
        <v/>
      </c>
      <c r="P30" s="30">
        <f>IF($A30&lt;VARIABLES!$B$42,0,IF($A30=VARIABLES!$B$42,VARIABLES!$B$43+VARIABLES!$B$44,VARIABLES!$B$44))</f>
        <v/>
      </c>
      <c r="Q30" s="30">
        <f>P30*VARIABLES!$B$45</f>
        <v/>
      </c>
      <c r="R30" s="30">
        <f>IF($A30&lt;VARIABLES!$B$42,0,(IF($A30=VARIABLES!$B$42,0,S29)+P30)*C30*VARIABLES!$B$46)</f>
        <v/>
      </c>
      <c r="S30" s="30">
        <f>IF($A30&lt;VARIABLES!$B$42,0,(IF($A30=VARIABLES!$B$42,0,S29)+P30)*(1+C30)-R30)</f>
        <v/>
      </c>
      <c r="T30" s="31">
        <f>IF($A30&lt;VARIABLES!$B$50,0,MIN(VARIABLES!$B$49,INT(($A30-VARIABLES!$B$50)/VARIABLES!$B$51)+1)*VARIABLES!$B$52)</f>
        <v/>
      </c>
      <c r="U30" s="30">
        <f>T30*VARIABLES!$B$54+IF(AND($A30&gt;=VARIABLES!$B$50,MOD($A30-VARIABLES!$B$50,VARIABLES!$B$51)=0,INT(($A30-VARIABLES!$B$50)/VARIABLES!$B$51)&lt;VARIABLES!$B$49),VARIABLES!$B$52*VARIABLES!$B$53,0)</f>
        <v/>
      </c>
      <c r="V30" s="30">
        <f>U30*VARIABLES!$B$55</f>
        <v/>
      </c>
      <c r="W30" s="30">
        <f>IF($A30&lt;VARIABLES!$B$50,0,(IF($A30&lt;VARIABLES!$B$50+1,0,X29)+U30)*C30*VARIABLES!$B$56)</f>
        <v/>
      </c>
      <c r="X30" s="30">
        <f>IF($A30&lt;VARIABLES!$B$50,0,(IF($A30&lt;VARIABLES!$B$50+1,0,X29)+U30)*(1+C30)-W30)</f>
        <v/>
      </c>
      <c r="Y30" s="30">
        <f>D30+H30+L30+P30+U30</f>
        <v/>
      </c>
      <c r="Z30" s="30">
        <f>E30+I30+M30+Q30+V30</f>
        <v/>
      </c>
      <c r="AA30" s="30">
        <f>F30+J30+N30+R30+W30</f>
        <v/>
      </c>
      <c r="AB30" s="32">
        <f>Z30+AA30</f>
        <v/>
      </c>
      <c r="AC30" s="33">
        <f>G30+K30+O30+S30+X30</f>
        <v/>
      </c>
      <c r="AD30" s="30">
        <f>IF($A30=1,VARIABLES!$B$12,0)</f>
        <v/>
      </c>
      <c r="AE30" s="30">
        <f>IF($A30&lt;=3,VARIABLES!$B$13,IF($A30&lt;=6,VARIABLES!$B$14,VARIABLES!$B$15))</f>
        <v/>
      </c>
      <c r="AF30" s="30">
        <f>IF(MOD($A30,12)=0,AC30*VARIABLES!$B$16,0)</f>
        <v/>
      </c>
      <c r="AG30" s="30">
        <f>VARIABLES!$B$17</f>
        <v/>
      </c>
      <c r="AH30" s="30">
        <f>IF(MOD($A30,12)=0,VARIABLES!$B$18,0)</f>
        <v/>
      </c>
      <c r="AI30" s="34">
        <f>AD30+AE30+AF30+AG30+AH30</f>
        <v/>
      </c>
      <c r="AJ30" s="35">
        <f>IF($A30&lt;VARIABLES!$B$7,VARIABLES!$B$9,0)</f>
        <v/>
      </c>
      <c r="AK30" s="36">
        <f>AB30-AI30-AJ30</f>
        <v/>
      </c>
      <c r="AL30" s="36">
        <f>AL29+AK30</f>
        <v/>
      </c>
      <c r="AM30" s="37">
        <f>AM29+AJ30</f>
        <v/>
      </c>
    </row>
    <row r="31">
      <c r="A31" s="38" t="n">
        <v>28</v>
      </c>
      <c r="B31" s="39">
        <f>TEXT(DATE(VARIABLES!$B$60+INT((VARIABLES!$B$61+A31-2)/12),MOD(VARIABLES!$B$61+A31-2,12)+1,1),"mmm-yy")</f>
        <v/>
      </c>
      <c r="C31" s="40">
        <f>IF($A31&lt;VARIABLES!$B$7,VARIABLES!$B$5/12,VARIABLES!$B$6/12)</f>
        <v/>
      </c>
      <c r="D31" s="41">
        <f>IF($A31&lt;VARIABLES!$B$21,0,IF($A31=VARIABLES!$B$21,VARIABLES!$B$22+VARIABLES!$B$23,VARIABLES!$B$23))</f>
        <v/>
      </c>
      <c r="E31" s="41">
        <f>D31*VARIABLES!$B$24</f>
        <v/>
      </c>
      <c r="F31" s="41">
        <f>IF($A31&lt;VARIABLES!$B$21,0,(IF($A31=VARIABLES!$B$21,0,G30)+D31)*C31*VARIABLES!$B$25)</f>
        <v/>
      </c>
      <c r="G31" s="41">
        <f>IF($A31&lt;VARIABLES!$B$21,0,(IF($A31=VARIABLES!$B$21,0,G30)+D31)*(1+C31)-F31)</f>
        <v/>
      </c>
      <c r="H31" s="41">
        <f>IF($A31&lt;VARIABLES!$B$28,0,IF($A31=VARIABLES!$B$28,VARIABLES!$B$29+VARIABLES!$B$30,VARIABLES!$B$30))</f>
        <v/>
      </c>
      <c r="I31" s="41">
        <f>H31*VARIABLES!$B$31</f>
        <v/>
      </c>
      <c r="J31" s="41">
        <f>IF($A31&lt;VARIABLES!$B$28,0,(IF($A31=VARIABLES!$B$28,0,K30)+H31)*C31*VARIABLES!$B$32)</f>
        <v/>
      </c>
      <c r="K31" s="41">
        <f>IF($A31&lt;VARIABLES!$B$28,0,(IF($A31=VARIABLES!$B$28,0,K30)+H31)*(1+C31)-J31)</f>
        <v/>
      </c>
      <c r="L31" s="41">
        <f>IF($A31&lt;VARIABLES!$B$35,0,IF($A31=VARIABLES!$B$35,VARIABLES!$B$36+VARIABLES!$B$37,VARIABLES!$B$37))</f>
        <v/>
      </c>
      <c r="M31" s="41">
        <f>L31*VARIABLES!$B$38</f>
        <v/>
      </c>
      <c r="N31" s="41">
        <f>IF($A31&lt;VARIABLES!$B$35,0,(IF($A31=VARIABLES!$B$35,0,O30)+L31)*C31*VARIABLES!$B$39)</f>
        <v/>
      </c>
      <c r="O31" s="41">
        <f>IF($A31&lt;VARIABLES!$B$35,0,(IF($A31=VARIABLES!$B$35,0,O30)+L31)*(1+C31)-N31)</f>
        <v/>
      </c>
      <c r="P31" s="41">
        <f>IF($A31&lt;VARIABLES!$B$42,0,IF($A31=VARIABLES!$B$42,VARIABLES!$B$43+VARIABLES!$B$44,VARIABLES!$B$44))</f>
        <v/>
      </c>
      <c r="Q31" s="41">
        <f>P31*VARIABLES!$B$45</f>
        <v/>
      </c>
      <c r="R31" s="41">
        <f>IF($A31&lt;VARIABLES!$B$42,0,(IF($A31=VARIABLES!$B$42,0,S30)+P31)*C31*VARIABLES!$B$46)</f>
        <v/>
      </c>
      <c r="S31" s="41">
        <f>IF($A31&lt;VARIABLES!$B$42,0,(IF($A31=VARIABLES!$B$42,0,S30)+P31)*(1+C31)-R31)</f>
        <v/>
      </c>
      <c r="T31" s="42">
        <f>IF($A31&lt;VARIABLES!$B$50,0,MIN(VARIABLES!$B$49,INT(($A31-VARIABLES!$B$50)/VARIABLES!$B$51)+1)*VARIABLES!$B$52)</f>
        <v/>
      </c>
      <c r="U31" s="41">
        <f>T31*VARIABLES!$B$54+IF(AND($A31&gt;=VARIABLES!$B$50,MOD($A31-VARIABLES!$B$50,VARIABLES!$B$51)=0,INT(($A31-VARIABLES!$B$50)/VARIABLES!$B$51)&lt;VARIABLES!$B$49),VARIABLES!$B$52*VARIABLES!$B$53,0)</f>
        <v/>
      </c>
      <c r="V31" s="41">
        <f>U31*VARIABLES!$B$55</f>
        <v/>
      </c>
      <c r="W31" s="41">
        <f>IF($A31&lt;VARIABLES!$B$50,0,(IF($A31&lt;VARIABLES!$B$50+1,0,X30)+U31)*C31*VARIABLES!$B$56)</f>
        <v/>
      </c>
      <c r="X31" s="41">
        <f>IF($A31&lt;VARIABLES!$B$50,0,(IF($A31&lt;VARIABLES!$B$50+1,0,X30)+U31)*(1+C31)-W31)</f>
        <v/>
      </c>
      <c r="Y31" s="41">
        <f>D31+H31+L31+P31+U31</f>
        <v/>
      </c>
      <c r="Z31" s="41">
        <f>E31+I31+M31+Q31+V31</f>
        <v/>
      </c>
      <c r="AA31" s="41">
        <f>F31+J31+N31+R31+W31</f>
        <v/>
      </c>
      <c r="AB31" s="32">
        <f>Z31+AA31</f>
        <v/>
      </c>
      <c r="AC31" s="33">
        <f>G31+K31+O31+S31+X31</f>
        <v/>
      </c>
      <c r="AD31" s="41">
        <f>IF($A31=1,VARIABLES!$B$12,0)</f>
        <v/>
      </c>
      <c r="AE31" s="41">
        <f>IF($A31&lt;=3,VARIABLES!$B$13,IF($A31&lt;=6,VARIABLES!$B$14,VARIABLES!$B$15))</f>
        <v/>
      </c>
      <c r="AF31" s="41">
        <f>IF(MOD($A31,12)=0,AC31*VARIABLES!$B$16,0)</f>
        <v/>
      </c>
      <c r="AG31" s="41">
        <f>VARIABLES!$B$17</f>
        <v/>
      </c>
      <c r="AH31" s="41">
        <f>IF(MOD($A31,12)=0,VARIABLES!$B$18,0)</f>
        <v/>
      </c>
      <c r="AI31" s="34">
        <f>AD31+AE31+AF31+AG31+AH31</f>
        <v/>
      </c>
      <c r="AJ31" s="35">
        <f>IF($A31&lt;VARIABLES!$B$7,VARIABLES!$B$9,0)</f>
        <v/>
      </c>
      <c r="AK31" s="43">
        <f>AB31-AI31-AJ31</f>
        <v/>
      </c>
      <c r="AL31" s="43">
        <f>AL30+AK31</f>
        <v/>
      </c>
      <c r="AM31" s="37">
        <f>AM30+AJ31</f>
        <v/>
      </c>
    </row>
    <row r="32">
      <c r="A32" s="27" t="n">
        <v>29</v>
      </c>
      <c r="B32" s="28">
        <f>TEXT(DATE(VARIABLES!$B$60+INT((VARIABLES!$B$61+A32-2)/12),MOD(VARIABLES!$B$61+A32-2,12)+1,1),"mmm-yy")</f>
        <v/>
      </c>
      <c r="C32" s="29">
        <f>IF($A32&lt;VARIABLES!$B$7,VARIABLES!$B$5/12,VARIABLES!$B$6/12)</f>
        <v/>
      </c>
      <c r="D32" s="30">
        <f>IF($A32&lt;VARIABLES!$B$21,0,IF($A32=VARIABLES!$B$21,VARIABLES!$B$22+VARIABLES!$B$23,VARIABLES!$B$23))</f>
        <v/>
      </c>
      <c r="E32" s="30">
        <f>D32*VARIABLES!$B$24</f>
        <v/>
      </c>
      <c r="F32" s="30">
        <f>IF($A32&lt;VARIABLES!$B$21,0,(IF($A32=VARIABLES!$B$21,0,G31)+D32)*C32*VARIABLES!$B$25)</f>
        <v/>
      </c>
      <c r="G32" s="30">
        <f>IF($A32&lt;VARIABLES!$B$21,0,(IF($A32=VARIABLES!$B$21,0,G31)+D32)*(1+C32)-F32)</f>
        <v/>
      </c>
      <c r="H32" s="30">
        <f>IF($A32&lt;VARIABLES!$B$28,0,IF($A32=VARIABLES!$B$28,VARIABLES!$B$29+VARIABLES!$B$30,VARIABLES!$B$30))</f>
        <v/>
      </c>
      <c r="I32" s="30">
        <f>H32*VARIABLES!$B$31</f>
        <v/>
      </c>
      <c r="J32" s="30">
        <f>IF($A32&lt;VARIABLES!$B$28,0,(IF($A32=VARIABLES!$B$28,0,K31)+H32)*C32*VARIABLES!$B$32)</f>
        <v/>
      </c>
      <c r="K32" s="30">
        <f>IF($A32&lt;VARIABLES!$B$28,0,(IF($A32=VARIABLES!$B$28,0,K31)+H32)*(1+C32)-J32)</f>
        <v/>
      </c>
      <c r="L32" s="30">
        <f>IF($A32&lt;VARIABLES!$B$35,0,IF($A32=VARIABLES!$B$35,VARIABLES!$B$36+VARIABLES!$B$37,VARIABLES!$B$37))</f>
        <v/>
      </c>
      <c r="M32" s="30">
        <f>L32*VARIABLES!$B$38</f>
        <v/>
      </c>
      <c r="N32" s="30">
        <f>IF($A32&lt;VARIABLES!$B$35,0,(IF($A32=VARIABLES!$B$35,0,O31)+L32)*C32*VARIABLES!$B$39)</f>
        <v/>
      </c>
      <c r="O32" s="30">
        <f>IF($A32&lt;VARIABLES!$B$35,0,(IF($A32=VARIABLES!$B$35,0,O31)+L32)*(1+C32)-N32)</f>
        <v/>
      </c>
      <c r="P32" s="30">
        <f>IF($A32&lt;VARIABLES!$B$42,0,IF($A32=VARIABLES!$B$42,VARIABLES!$B$43+VARIABLES!$B$44,VARIABLES!$B$44))</f>
        <v/>
      </c>
      <c r="Q32" s="30">
        <f>P32*VARIABLES!$B$45</f>
        <v/>
      </c>
      <c r="R32" s="30">
        <f>IF($A32&lt;VARIABLES!$B$42,0,(IF($A32=VARIABLES!$B$42,0,S31)+P32)*C32*VARIABLES!$B$46)</f>
        <v/>
      </c>
      <c r="S32" s="30">
        <f>IF($A32&lt;VARIABLES!$B$42,0,(IF($A32=VARIABLES!$B$42,0,S31)+P32)*(1+C32)-R32)</f>
        <v/>
      </c>
      <c r="T32" s="31">
        <f>IF($A32&lt;VARIABLES!$B$50,0,MIN(VARIABLES!$B$49,INT(($A32-VARIABLES!$B$50)/VARIABLES!$B$51)+1)*VARIABLES!$B$52)</f>
        <v/>
      </c>
      <c r="U32" s="30">
        <f>T32*VARIABLES!$B$54+IF(AND($A32&gt;=VARIABLES!$B$50,MOD($A32-VARIABLES!$B$50,VARIABLES!$B$51)=0,INT(($A32-VARIABLES!$B$50)/VARIABLES!$B$51)&lt;VARIABLES!$B$49),VARIABLES!$B$52*VARIABLES!$B$53,0)</f>
        <v/>
      </c>
      <c r="V32" s="30">
        <f>U32*VARIABLES!$B$55</f>
        <v/>
      </c>
      <c r="W32" s="30">
        <f>IF($A32&lt;VARIABLES!$B$50,0,(IF($A32&lt;VARIABLES!$B$50+1,0,X31)+U32)*C32*VARIABLES!$B$56)</f>
        <v/>
      </c>
      <c r="X32" s="30">
        <f>IF($A32&lt;VARIABLES!$B$50,0,(IF($A32&lt;VARIABLES!$B$50+1,0,X31)+U32)*(1+C32)-W32)</f>
        <v/>
      </c>
      <c r="Y32" s="30">
        <f>D32+H32+L32+P32+U32</f>
        <v/>
      </c>
      <c r="Z32" s="30">
        <f>E32+I32+M32+Q32+V32</f>
        <v/>
      </c>
      <c r="AA32" s="30">
        <f>F32+J32+N32+R32+W32</f>
        <v/>
      </c>
      <c r="AB32" s="32">
        <f>Z32+AA32</f>
        <v/>
      </c>
      <c r="AC32" s="33">
        <f>G32+K32+O32+S32+X32</f>
        <v/>
      </c>
      <c r="AD32" s="30">
        <f>IF($A32=1,VARIABLES!$B$12,0)</f>
        <v/>
      </c>
      <c r="AE32" s="30">
        <f>IF($A32&lt;=3,VARIABLES!$B$13,IF($A32&lt;=6,VARIABLES!$B$14,VARIABLES!$B$15))</f>
        <v/>
      </c>
      <c r="AF32" s="30">
        <f>IF(MOD($A32,12)=0,AC32*VARIABLES!$B$16,0)</f>
        <v/>
      </c>
      <c r="AG32" s="30">
        <f>VARIABLES!$B$17</f>
        <v/>
      </c>
      <c r="AH32" s="30">
        <f>IF(MOD($A32,12)=0,VARIABLES!$B$18,0)</f>
        <v/>
      </c>
      <c r="AI32" s="34">
        <f>AD32+AE32+AF32+AG32+AH32</f>
        <v/>
      </c>
      <c r="AJ32" s="35">
        <f>IF($A32&lt;VARIABLES!$B$7,VARIABLES!$B$9,0)</f>
        <v/>
      </c>
      <c r="AK32" s="36">
        <f>AB32-AI32-AJ32</f>
        <v/>
      </c>
      <c r="AL32" s="36">
        <f>AL31+AK32</f>
        <v/>
      </c>
      <c r="AM32" s="37">
        <f>AM31+AJ32</f>
        <v/>
      </c>
    </row>
    <row r="33">
      <c r="A33" s="38" t="n">
        <v>30</v>
      </c>
      <c r="B33" s="39">
        <f>TEXT(DATE(VARIABLES!$B$60+INT((VARIABLES!$B$61+A33-2)/12),MOD(VARIABLES!$B$61+A33-2,12)+1,1),"mmm-yy")</f>
        <v/>
      </c>
      <c r="C33" s="40">
        <f>IF($A33&lt;VARIABLES!$B$7,VARIABLES!$B$5/12,VARIABLES!$B$6/12)</f>
        <v/>
      </c>
      <c r="D33" s="41">
        <f>IF($A33&lt;VARIABLES!$B$21,0,IF($A33=VARIABLES!$B$21,VARIABLES!$B$22+VARIABLES!$B$23,VARIABLES!$B$23))</f>
        <v/>
      </c>
      <c r="E33" s="41">
        <f>D33*VARIABLES!$B$24</f>
        <v/>
      </c>
      <c r="F33" s="41">
        <f>IF($A33&lt;VARIABLES!$B$21,0,(IF($A33=VARIABLES!$B$21,0,G32)+D33)*C33*VARIABLES!$B$25)</f>
        <v/>
      </c>
      <c r="G33" s="41">
        <f>IF($A33&lt;VARIABLES!$B$21,0,(IF($A33=VARIABLES!$B$21,0,G32)+D33)*(1+C33)-F33)</f>
        <v/>
      </c>
      <c r="H33" s="41">
        <f>IF($A33&lt;VARIABLES!$B$28,0,IF($A33=VARIABLES!$B$28,VARIABLES!$B$29+VARIABLES!$B$30,VARIABLES!$B$30))</f>
        <v/>
      </c>
      <c r="I33" s="41">
        <f>H33*VARIABLES!$B$31</f>
        <v/>
      </c>
      <c r="J33" s="41">
        <f>IF($A33&lt;VARIABLES!$B$28,0,(IF($A33=VARIABLES!$B$28,0,K32)+H33)*C33*VARIABLES!$B$32)</f>
        <v/>
      </c>
      <c r="K33" s="41">
        <f>IF($A33&lt;VARIABLES!$B$28,0,(IF($A33=VARIABLES!$B$28,0,K32)+H33)*(1+C33)-J33)</f>
        <v/>
      </c>
      <c r="L33" s="41">
        <f>IF($A33&lt;VARIABLES!$B$35,0,IF($A33=VARIABLES!$B$35,VARIABLES!$B$36+VARIABLES!$B$37,VARIABLES!$B$37))</f>
        <v/>
      </c>
      <c r="M33" s="41">
        <f>L33*VARIABLES!$B$38</f>
        <v/>
      </c>
      <c r="N33" s="41">
        <f>IF($A33&lt;VARIABLES!$B$35,0,(IF($A33=VARIABLES!$B$35,0,O32)+L33)*C33*VARIABLES!$B$39)</f>
        <v/>
      </c>
      <c r="O33" s="41">
        <f>IF($A33&lt;VARIABLES!$B$35,0,(IF($A33=VARIABLES!$B$35,0,O32)+L33)*(1+C33)-N33)</f>
        <v/>
      </c>
      <c r="P33" s="41">
        <f>IF($A33&lt;VARIABLES!$B$42,0,IF($A33=VARIABLES!$B$42,VARIABLES!$B$43+VARIABLES!$B$44,VARIABLES!$B$44))</f>
        <v/>
      </c>
      <c r="Q33" s="41">
        <f>P33*VARIABLES!$B$45</f>
        <v/>
      </c>
      <c r="R33" s="41">
        <f>IF($A33&lt;VARIABLES!$B$42,0,(IF($A33=VARIABLES!$B$42,0,S32)+P33)*C33*VARIABLES!$B$46)</f>
        <v/>
      </c>
      <c r="S33" s="41">
        <f>IF($A33&lt;VARIABLES!$B$42,0,(IF($A33=VARIABLES!$B$42,0,S32)+P33)*(1+C33)-R33)</f>
        <v/>
      </c>
      <c r="T33" s="42">
        <f>IF($A33&lt;VARIABLES!$B$50,0,MIN(VARIABLES!$B$49,INT(($A33-VARIABLES!$B$50)/VARIABLES!$B$51)+1)*VARIABLES!$B$52)</f>
        <v/>
      </c>
      <c r="U33" s="41">
        <f>T33*VARIABLES!$B$54+IF(AND($A33&gt;=VARIABLES!$B$50,MOD($A33-VARIABLES!$B$50,VARIABLES!$B$51)=0,INT(($A33-VARIABLES!$B$50)/VARIABLES!$B$51)&lt;VARIABLES!$B$49),VARIABLES!$B$52*VARIABLES!$B$53,0)</f>
        <v/>
      </c>
      <c r="V33" s="41">
        <f>U33*VARIABLES!$B$55</f>
        <v/>
      </c>
      <c r="W33" s="41">
        <f>IF($A33&lt;VARIABLES!$B$50,0,(IF($A33&lt;VARIABLES!$B$50+1,0,X32)+U33)*C33*VARIABLES!$B$56)</f>
        <v/>
      </c>
      <c r="X33" s="41">
        <f>IF($A33&lt;VARIABLES!$B$50,0,(IF($A33&lt;VARIABLES!$B$50+1,0,X32)+U33)*(1+C33)-W33)</f>
        <v/>
      </c>
      <c r="Y33" s="41">
        <f>D33+H33+L33+P33+U33</f>
        <v/>
      </c>
      <c r="Z33" s="41">
        <f>E33+I33+M33+Q33+V33</f>
        <v/>
      </c>
      <c r="AA33" s="41">
        <f>F33+J33+N33+R33+W33</f>
        <v/>
      </c>
      <c r="AB33" s="32">
        <f>Z33+AA33</f>
        <v/>
      </c>
      <c r="AC33" s="33">
        <f>G33+K33+O33+S33+X33</f>
        <v/>
      </c>
      <c r="AD33" s="41">
        <f>IF($A33=1,VARIABLES!$B$12,0)</f>
        <v/>
      </c>
      <c r="AE33" s="41">
        <f>IF($A33&lt;=3,VARIABLES!$B$13,IF($A33&lt;=6,VARIABLES!$B$14,VARIABLES!$B$15))</f>
        <v/>
      </c>
      <c r="AF33" s="41">
        <f>IF(MOD($A33,12)=0,AC33*VARIABLES!$B$16,0)</f>
        <v/>
      </c>
      <c r="AG33" s="41">
        <f>VARIABLES!$B$17</f>
        <v/>
      </c>
      <c r="AH33" s="41">
        <f>IF(MOD($A33,12)=0,VARIABLES!$B$18,0)</f>
        <v/>
      </c>
      <c r="AI33" s="34">
        <f>AD33+AE33+AF33+AG33+AH33</f>
        <v/>
      </c>
      <c r="AJ33" s="35">
        <f>IF($A33&lt;VARIABLES!$B$7,VARIABLES!$B$9,0)</f>
        <v/>
      </c>
      <c r="AK33" s="43">
        <f>AB33-AI33-AJ33</f>
        <v/>
      </c>
      <c r="AL33" s="43">
        <f>AL32+AK33</f>
        <v/>
      </c>
      <c r="AM33" s="37">
        <f>AM32+AJ33</f>
        <v/>
      </c>
    </row>
    <row r="34">
      <c r="A34" s="27" t="n">
        <v>31</v>
      </c>
      <c r="B34" s="28">
        <f>TEXT(DATE(VARIABLES!$B$60+INT((VARIABLES!$B$61+A34-2)/12),MOD(VARIABLES!$B$61+A34-2,12)+1,1),"mmm-yy")</f>
        <v/>
      </c>
      <c r="C34" s="29">
        <f>IF($A34&lt;VARIABLES!$B$7,VARIABLES!$B$5/12,VARIABLES!$B$6/12)</f>
        <v/>
      </c>
      <c r="D34" s="30">
        <f>IF($A34&lt;VARIABLES!$B$21,0,IF($A34=VARIABLES!$B$21,VARIABLES!$B$22+VARIABLES!$B$23,VARIABLES!$B$23))</f>
        <v/>
      </c>
      <c r="E34" s="30">
        <f>D34*VARIABLES!$B$24</f>
        <v/>
      </c>
      <c r="F34" s="30">
        <f>IF($A34&lt;VARIABLES!$B$21,0,(IF($A34=VARIABLES!$B$21,0,G33)+D34)*C34*VARIABLES!$B$25)</f>
        <v/>
      </c>
      <c r="G34" s="30">
        <f>IF($A34&lt;VARIABLES!$B$21,0,(IF($A34=VARIABLES!$B$21,0,G33)+D34)*(1+C34)-F34)</f>
        <v/>
      </c>
      <c r="H34" s="30">
        <f>IF($A34&lt;VARIABLES!$B$28,0,IF($A34=VARIABLES!$B$28,VARIABLES!$B$29+VARIABLES!$B$30,VARIABLES!$B$30))</f>
        <v/>
      </c>
      <c r="I34" s="30">
        <f>H34*VARIABLES!$B$31</f>
        <v/>
      </c>
      <c r="J34" s="30">
        <f>IF($A34&lt;VARIABLES!$B$28,0,(IF($A34=VARIABLES!$B$28,0,K33)+H34)*C34*VARIABLES!$B$32)</f>
        <v/>
      </c>
      <c r="K34" s="30">
        <f>IF($A34&lt;VARIABLES!$B$28,0,(IF($A34=VARIABLES!$B$28,0,K33)+H34)*(1+C34)-J34)</f>
        <v/>
      </c>
      <c r="L34" s="30">
        <f>IF($A34&lt;VARIABLES!$B$35,0,IF($A34=VARIABLES!$B$35,VARIABLES!$B$36+VARIABLES!$B$37,VARIABLES!$B$37))</f>
        <v/>
      </c>
      <c r="M34" s="30">
        <f>L34*VARIABLES!$B$38</f>
        <v/>
      </c>
      <c r="N34" s="30">
        <f>IF($A34&lt;VARIABLES!$B$35,0,(IF($A34=VARIABLES!$B$35,0,O33)+L34)*C34*VARIABLES!$B$39)</f>
        <v/>
      </c>
      <c r="O34" s="30">
        <f>IF($A34&lt;VARIABLES!$B$35,0,(IF($A34=VARIABLES!$B$35,0,O33)+L34)*(1+C34)-N34)</f>
        <v/>
      </c>
      <c r="P34" s="30">
        <f>IF($A34&lt;VARIABLES!$B$42,0,IF($A34=VARIABLES!$B$42,VARIABLES!$B$43+VARIABLES!$B$44,VARIABLES!$B$44))</f>
        <v/>
      </c>
      <c r="Q34" s="30">
        <f>P34*VARIABLES!$B$45</f>
        <v/>
      </c>
      <c r="R34" s="30">
        <f>IF($A34&lt;VARIABLES!$B$42,0,(IF($A34=VARIABLES!$B$42,0,S33)+P34)*C34*VARIABLES!$B$46)</f>
        <v/>
      </c>
      <c r="S34" s="30">
        <f>IF($A34&lt;VARIABLES!$B$42,0,(IF($A34=VARIABLES!$B$42,0,S33)+P34)*(1+C34)-R34)</f>
        <v/>
      </c>
      <c r="T34" s="31">
        <f>IF($A34&lt;VARIABLES!$B$50,0,MIN(VARIABLES!$B$49,INT(($A34-VARIABLES!$B$50)/VARIABLES!$B$51)+1)*VARIABLES!$B$52)</f>
        <v/>
      </c>
      <c r="U34" s="30">
        <f>T34*VARIABLES!$B$54+IF(AND($A34&gt;=VARIABLES!$B$50,MOD($A34-VARIABLES!$B$50,VARIABLES!$B$51)=0,INT(($A34-VARIABLES!$B$50)/VARIABLES!$B$51)&lt;VARIABLES!$B$49),VARIABLES!$B$52*VARIABLES!$B$53,0)</f>
        <v/>
      </c>
      <c r="V34" s="30">
        <f>U34*VARIABLES!$B$55</f>
        <v/>
      </c>
      <c r="W34" s="30">
        <f>IF($A34&lt;VARIABLES!$B$50,0,(IF($A34&lt;VARIABLES!$B$50+1,0,X33)+U34)*C34*VARIABLES!$B$56)</f>
        <v/>
      </c>
      <c r="X34" s="30">
        <f>IF($A34&lt;VARIABLES!$B$50,0,(IF($A34&lt;VARIABLES!$B$50+1,0,X33)+U34)*(1+C34)-W34)</f>
        <v/>
      </c>
      <c r="Y34" s="30">
        <f>D34+H34+L34+P34+U34</f>
        <v/>
      </c>
      <c r="Z34" s="30">
        <f>E34+I34+M34+Q34+V34</f>
        <v/>
      </c>
      <c r="AA34" s="30">
        <f>F34+J34+N34+R34+W34</f>
        <v/>
      </c>
      <c r="AB34" s="32">
        <f>Z34+AA34</f>
        <v/>
      </c>
      <c r="AC34" s="33">
        <f>G34+K34+O34+S34+X34</f>
        <v/>
      </c>
      <c r="AD34" s="30">
        <f>IF($A34=1,VARIABLES!$B$12,0)</f>
        <v/>
      </c>
      <c r="AE34" s="30">
        <f>IF($A34&lt;=3,VARIABLES!$B$13,IF($A34&lt;=6,VARIABLES!$B$14,VARIABLES!$B$15))</f>
        <v/>
      </c>
      <c r="AF34" s="30">
        <f>IF(MOD($A34,12)=0,AC34*VARIABLES!$B$16,0)</f>
        <v/>
      </c>
      <c r="AG34" s="30">
        <f>VARIABLES!$B$17</f>
        <v/>
      </c>
      <c r="AH34" s="30">
        <f>IF(MOD($A34,12)=0,VARIABLES!$B$18,0)</f>
        <v/>
      </c>
      <c r="AI34" s="34">
        <f>AD34+AE34+AF34+AG34+AH34</f>
        <v/>
      </c>
      <c r="AJ34" s="35">
        <f>IF($A34&lt;VARIABLES!$B$7,VARIABLES!$B$9,0)</f>
        <v/>
      </c>
      <c r="AK34" s="36">
        <f>AB34-AI34-AJ34</f>
        <v/>
      </c>
      <c r="AL34" s="36">
        <f>AL33+AK34</f>
        <v/>
      </c>
      <c r="AM34" s="37">
        <f>AM33+AJ34</f>
        <v/>
      </c>
    </row>
    <row r="35">
      <c r="A35" s="38" t="n">
        <v>32</v>
      </c>
      <c r="B35" s="39">
        <f>TEXT(DATE(VARIABLES!$B$60+INT((VARIABLES!$B$61+A35-2)/12),MOD(VARIABLES!$B$61+A35-2,12)+1,1),"mmm-yy")</f>
        <v/>
      </c>
      <c r="C35" s="40">
        <f>IF($A35&lt;VARIABLES!$B$7,VARIABLES!$B$5/12,VARIABLES!$B$6/12)</f>
        <v/>
      </c>
      <c r="D35" s="41">
        <f>IF($A35&lt;VARIABLES!$B$21,0,IF($A35=VARIABLES!$B$21,VARIABLES!$B$22+VARIABLES!$B$23,VARIABLES!$B$23))</f>
        <v/>
      </c>
      <c r="E35" s="41">
        <f>D35*VARIABLES!$B$24</f>
        <v/>
      </c>
      <c r="F35" s="41">
        <f>IF($A35&lt;VARIABLES!$B$21,0,(IF($A35=VARIABLES!$B$21,0,G34)+D35)*C35*VARIABLES!$B$25)</f>
        <v/>
      </c>
      <c r="G35" s="41">
        <f>IF($A35&lt;VARIABLES!$B$21,0,(IF($A35=VARIABLES!$B$21,0,G34)+D35)*(1+C35)-F35)</f>
        <v/>
      </c>
      <c r="H35" s="41">
        <f>IF($A35&lt;VARIABLES!$B$28,0,IF($A35=VARIABLES!$B$28,VARIABLES!$B$29+VARIABLES!$B$30,VARIABLES!$B$30))</f>
        <v/>
      </c>
      <c r="I35" s="41">
        <f>H35*VARIABLES!$B$31</f>
        <v/>
      </c>
      <c r="J35" s="41">
        <f>IF($A35&lt;VARIABLES!$B$28,0,(IF($A35=VARIABLES!$B$28,0,K34)+H35)*C35*VARIABLES!$B$32)</f>
        <v/>
      </c>
      <c r="K35" s="41">
        <f>IF($A35&lt;VARIABLES!$B$28,0,(IF($A35=VARIABLES!$B$28,0,K34)+H35)*(1+C35)-J35)</f>
        <v/>
      </c>
      <c r="L35" s="41">
        <f>IF($A35&lt;VARIABLES!$B$35,0,IF($A35=VARIABLES!$B$35,VARIABLES!$B$36+VARIABLES!$B$37,VARIABLES!$B$37))</f>
        <v/>
      </c>
      <c r="M35" s="41">
        <f>L35*VARIABLES!$B$38</f>
        <v/>
      </c>
      <c r="N35" s="41">
        <f>IF($A35&lt;VARIABLES!$B$35,0,(IF($A35=VARIABLES!$B$35,0,O34)+L35)*C35*VARIABLES!$B$39)</f>
        <v/>
      </c>
      <c r="O35" s="41">
        <f>IF($A35&lt;VARIABLES!$B$35,0,(IF($A35=VARIABLES!$B$35,0,O34)+L35)*(1+C35)-N35)</f>
        <v/>
      </c>
      <c r="P35" s="41">
        <f>IF($A35&lt;VARIABLES!$B$42,0,IF($A35=VARIABLES!$B$42,VARIABLES!$B$43+VARIABLES!$B$44,VARIABLES!$B$44))</f>
        <v/>
      </c>
      <c r="Q35" s="41">
        <f>P35*VARIABLES!$B$45</f>
        <v/>
      </c>
      <c r="R35" s="41">
        <f>IF($A35&lt;VARIABLES!$B$42,0,(IF($A35=VARIABLES!$B$42,0,S34)+P35)*C35*VARIABLES!$B$46)</f>
        <v/>
      </c>
      <c r="S35" s="41">
        <f>IF($A35&lt;VARIABLES!$B$42,0,(IF($A35=VARIABLES!$B$42,0,S34)+P35)*(1+C35)-R35)</f>
        <v/>
      </c>
      <c r="T35" s="42">
        <f>IF($A35&lt;VARIABLES!$B$50,0,MIN(VARIABLES!$B$49,INT(($A35-VARIABLES!$B$50)/VARIABLES!$B$51)+1)*VARIABLES!$B$52)</f>
        <v/>
      </c>
      <c r="U35" s="41">
        <f>T35*VARIABLES!$B$54+IF(AND($A35&gt;=VARIABLES!$B$50,MOD($A35-VARIABLES!$B$50,VARIABLES!$B$51)=0,INT(($A35-VARIABLES!$B$50)/VARIABLES!$B$51)&lt;VARIABLES!$B$49),VARIABLES!$B$52*VARIABLES!$B$53,0)</f>
        <v/>
      </c>
      <c r="V35" s="41">
        <f>U35*VARIABLES!$B$55</f>
        <v/>
      </c>
      <c r="W35" s="41">
        <f>IF($A35&lt;VARIABLES!$B$50,0,(IF($A35&lt;VARIABLES!$B$50+1,0,X34)+U35)*C35*VARIABLES!$B$56)</f>
        <v/>
      </c>
      <c r="X35" s="41">
        <f>IF($A35&lt;VARIABLES!$B$50,0,(IF($A35&lt;VARIABLES!$B$50+1,0,X34)+U35)*(1+C35)-W35)</f>
        <v/>
      </c>
      <c r="Y35" s="41">
        <f>D35+H35+L35+P35+U35</f>
        <v/>
      </c>
      <c r="Z35" s="41">
        <f>E35+I35+M35+Q35+V35</f>
        <v/>
      </c>
      <c r="AA35" s="41">
        <f>F35+J35+N35+R35+W35</f>
        <v/>
      </c>
      <c r="AB35" s="32">
        <f>Z35+AA35</f>
        <v/>
      </c>
      <c r="AC35" s="33">
        <f>G35+K35+O35+S35+X35</f>
        <v/>
      </c>
      <c r="AD35" s="41">
        <f>IF($A35=1,VARIABLES!$B$12,0)</f>
        <v/>
      </c>
      <c r="AE35" s="41">
        <f>IF($A35&lt;=3,VARIABLES!$B$13,IF($A35&lt;=6,VARIABLES!$B$14,VARIABLES!$B$15))</f>
        <v/>
      </c>
      <c r="AF35" s="41">
        <f>IF(MOD($A35,12)=0,AC35*VARIABLES!$B$16,0)</f>
        <v/>
      </c>
      <c r="AG35" s="41">
        <f>VARIABLES!$B$17</f>
        <v/>
      </c>
      <c r="AH35" s="41">
        <f>IF(MOD($A35,12)=0,VARIABLES!$B$18,0)</f>
        <v/>
      </c>
      <c r="AI35" s="34">
        <f>AD35+AE35+AF35+AG35+AH35</f>
        <v/>
      </c>
      <c r="AJ35" s="35">
        <f>IF($A35&lt;VARIABLES!$B$7,VARIABLES!$B$9,0)</f>
        <v/>
      </c>
      <c r="AK35" s="43">
        <f>AB35-AI35-AJ35</f>
        <v/>
      </c>
      <c r="AL35" s="43">
        <f>AL34+AK35</f>
        <v/>
      </c>
      <c r="AM35" s="37">
        <f>AM34+AJ35</f>
        <v/>
      </c>
    </row>
    <row r="36">
      <c r="A36" s="27" t="n">
        <v>33</v>
      </c>
      <c r="B36" s="28">
        <f>TEXT(DATE(VARIABLES!$B$60+INT((VARIABLES!$B$61+A36-2)/12),MOD(VARIABLES!$B$61+A36-2,12)+1,1),"mmm-yy")</f>
        <v/>
      </c>
      <c r="C36" s="29">
        <f>IF($A36&lt;VARIABLES!$B$7,VARIABLES!$B$5/12,VARIABLES!$B$6/12)</f>
        <v/>
      </c>
      <c r="D36" s="30">
        <f>IF($A36&lt;VARIABLES!$B$21,0,IF($A36=VARIABLES!$B$21,VARIABLES!$B$22+VARIABLES!$B$23,VARIABLES!$B$23))</f>
        <v/>
      </c>
      <c r="E36" s="30">
        <f>D36*VARIABLES!$B$24</f>
        <v/>
      </c>
      <c r="F36" s="30">
        <f>IF($A36&lt;VARIABLES!$B$21,0,(IF($A36=VARIABLES!$B$21,0,G35)+D36)*C36*VARIABLES!$B$25)</f>
        <v/>
      </c>
      <c r="G36" s="30">
        <f>IF($A36&lt;VARIABLES!$B$21,0,(IF($A36=VARIABLES!$B$21,0,G35)+D36)*(1+C36)-F36)</f>
        <v/>
      </c>
      <c r="H36" s="30">
        <f>IF($A36&lt;VARIABLES!$B$28,0,IF($A36=VARIABLES!$B$28,VARIABLES!$B$29+VARIABLES!$B$30,VARIABLES!$B$30))</f>
        <v/>
      </c>
      <c r="I36" s="30">
        <f>H36*VARIABLES!$B$31</f>
        <v/>
      </c>
      <c r="J36" s="30">
        <f>IF($A36&lt;VARIABLES!$B$28,0,(IF($A36=VARIABLES!$B$28,0,K35)+H36)*C36*VARIABLES!$B$32)</f>
        <v/>
      </c>
      <c r="K36" s="30">
        <f>IF($A36&lt;VARIABLES!$B$28,0,(IF($A36=VARIABLES!$B$28,0,K35)+H36)*(1+C36)-J36)</f>
        <v/>
      </c>
      <c r="L36" s="30">
        <f>IF($A36&lt;VARIABLES!$B$35,0,IF($A36=VARIABLES!$B$35,VARIABLES!$B$36+VARIABLES!$B$37,VARIABLES!$B$37))</f>
        <v/>
      </c>
      <c r="M36" s="30">
        <f>L36*VARIABLES!$B$38</f>
        <v/>
      </c>
      <c r="N36" s="30">
        <f>IF($A36&lt;VARIABLES!$B$35,0,(IF($A36=VARIABLES!$B$35,0,O35)+L36)*C36*VARIABLES!$B$39)</f>
        <v/>
      </c>
      <c r="O36" s="30">
        <f>IF($A36&lt;VARIABLES!$B$35,0,(IF($A36=VARIABLES!$B$35,0,O35)+L36)*(1+C36)-N36)</f>
        <v/>
      </c>
      <c r="P36" s="30">
        <f>IF($A36&lt;VARIABLES!$B$42,0,IF($A36=VARIABLES!$B$42,VARIABLES!$B$43+VARIABLES!$B$44,VARIABLES!$B$44))</f>
        <v/>
      </c>
      <c r="Q36" s="30">
        <f>P36*VARIABLES!$B$45</f>
        <v/>
      </c>
      <c r="R36" s="30">
        <f>IF($A36&lt;VARIABLES!$B$42,0,(IF($A36=VARIABLES!$B$42,0,S35)+P36)*C36*VARIABLES!$B$46)</f>
        <v/>
      </c>
      <c r="S36" s="30">
        <f>IF($A36&lt;VARIABLES!$B$42,0,(IF($A36=VARIABLES!$B$42,0,S35)+P36)*(1+C36)-R36)</f>
        <v/>
      </c>
      <c r="T36" s="31">
        <f>IF($A36&lt;VARIABLES!$B$50,0,MIN(VARIABLES!$B$49,INT(($A36-VARIABLES!$B$50)/VARIABLES!$B$51)+1)*VARIABLES!$B$52)</f>
        <v/>
      </c>
      <c r="U36" s="30">
        <f>T36*VARIABLES!$B$54+IF(AND($A36&gt;=VARIABLES!$B$50,MOD($A36-VARIABLES!$B$50,VARIABLES!$B$51)=0,INT(($A36-VARIABLES!$B$50)/VARIABLES!$B$51)&lt;VARIABLES!$B$49),VARIABLES!$B$52*VARIABLES!$B$53,0)</f>
        <v/>
      </c>
      <c r="V36" s="30">
        <f>U36*VARIABLES!$B$55</f>
        <v/>
      </c>
      <c r="W36" s="30">
        <f>IF($A36&lt;VARIABLES!$B$50,0,(IF($A36&lt;VARIABLES!$B$50+1,0,X35)+U36)*C36*VARIABLES!$B$56)</f>
        <v/>
      </c>
      <c r="X36" s="30">
        <f>IF($A36&lt;VARIABLES!$B$50,0,(IF($A36&lt;VARIABLES!$B$50+1,0,X35)+U36)*(1+C36)-W36)</f>
        <v/>
      </c>
      <c r="Y36" s="30">
        <f>D36+H36+L36+P36+U36</f>
        <v/>
      </c>
      <c r="Z36" s="30">
        <f>E36+I36+M36+Q36+V36</f>
        <v/>
      </c>
      <c r="AA36" s="30">
        <f>F36+J36+N36+R36+W36</f>
        <v/>
      </c>
      <c r="AB36" s="32">
        <f>Z36+AA36</f>
        <v/>
      </c>
      <c r="AC36" s="33">
        <f>G36+K36+O36+S36+X36</f>
        <v/>
      </c>
      <c r="AD36" s="30">
        <f>IF($A36=1,VARIABLES!$B$12,0)</f>
        <v/>
      </c>
      <c r="AE36" s="30">
        <f>IF($A36&lt;=3,VARIABLES!$B$13,IF($A36&lt;=6,VARIABLES!$B$14,VARIABLES!$B$15))</f>
        <v/>
      </c>
      <c r="AF36" s="30">
        <f>IF(MOD($A36,12)=0,AC36*VARIABLES!$B$16,0)</f>
        <v/>
      </c>
      <c r="AG36" s="30">
        <f>VARIABLES!$B$17</f>
        <v/>
      </c>
      <c r="AH36" s="30">
        <f>IF(MOD($A36,12)=0,VARIABLES!$B$18,0)</f>
        <v/>
      </c>
      <c r="AI36" s="34">
        <f>AD36+AE36+AF36+AG36+AH36</f>
        <v/>
      </c>
      <c r="AJ36" s="35">
        <f>IF($A36&lt;VARIABLES!$B$7,VARIABLES!$B$9,0)</f>
        <v/>
      </c>
      <c r="AK36" s="36">
        <f>AB36-AI36-AJ36</f>
        <v/>
      </c>
      <c r="AL36" s="36">
        <f>AL35+AK36</f>
        <v/>
      </c>
      <c r="AM36" s="37">
        <f>AM35+AJ36</f>
        <v/>
      </c>
    </row>
    <row r="37">
      <c r="A37" s="38" t="n">
        <v>34</v>
      </c>
      <c r="B37" s="39">
        <f>TEXT(DATE(VARIABLES!$B$60+INT((VARIABLES!$B$61+A37-2)/12),MOD(VARIABLES!$B$61+A37-2,12)+1,1),"mmm-yy")</f>
        <v/>
      </c>
      <c r="C37" s="40">
        <f>IF($A37&lt;VARIABLES!$B$7,VARIABLES!$B$5/12,VARIABLES!$B$6/12)</f>
        <v/>
      </c>
      <c r="D37" s="41">
        <f>IF($A37&lt;VARIABLES!$B$21,0,IF($A37=VARIABLES!$B$21,VARIABLES!$B$22+VARIABLES!$B$23,VARIABLES!$B$23))</f>
        <v/>
      </c>
      <c r="E37" s="41">
        <f>D37*VARIABLES!$B$24</f>
        <v/>
      </c>
      <c r="F37" s="41">
        <f>IF($A37&lt;VARIABLES!$B$21,0,(IF($A37=VARIABLES!$B$21,0,G36)+D37)*C37*VARIABLES!$B$25)</f>
        <v/>
      </c>
      <c r="G37" s="41">
        <f>IF($A37&lt;VARIABLES!$B$21,0,(IF($A37=VARIABLES!$B$21,0,G36)+D37)*(1+C37)-F37)</f>
        <v/>
      </c>
      <c r="H37" s="41">
        <f>IF($A37&lt;VARIABLES!$B$28,0,IF($A37=VARIABLES!$B$28,VARIABLES!$B$29+VARIABLES!$B$30,VARIABLES!$B$30))</f>
        <v/>
      </c>
      <c r="I37" s="41">
        <f>H37*VARIABLES!$B$31</f>
        <v/>
      </c>
      <c r="J37" s="41">
        <f>IF($A37&lt;VARIABLES!$B$28,0,(IF($A37=VARIABLES!$B$28,0,K36)+H37)*C37*VARIABLES!$B$32)</f>
        <v/>
      </c>
      <c r="K37" s="41">
        <f>IF($A37&lt;VARIABLES!$B$28,0,(IF($A37=VARIABLES!$B$28,0,K36)+H37)*(1+C37)-J37)</f>
        <v/>
      </c>
      <c r="L37" s="41">
        <f>IF($A37&lt;VARIABLES!$B$35,0,IF($A37=VARIABLES!$B$35,VARIABLES!$B$36+VARIABLES!$B$37,VARIABLES!$B$37))</f>
        <v/>
      </c>
      <c r="M37" s="41">
        <f>L37*VARIABLES!$B$38</f>
        <v/>
      </c>
      <c r="N37" s="41">
        <f>IF($A37&lt;VARIABLES!$B$35,0,(IF($A37=VARIABLES!$B$35,0,O36)+L37)*C37*VARIABLES!$B$39)</f>
        <v/>
      </c>
      <c r="O37" s="41">
        <f>IF($A37&lt;VARIABLES!$B$35,0,(IF($A37=VARIABLES!$B$35,0,O36)+L37)*(1+C37)-N37)</f>
        <v/>
      </c>
      <c r="P37" s="41">
        <f>IF($A37&lt;VARIABLES!$B$42,0,IF($A37=VARIABLES!$B$42,VARIABLES!$B$43+VARIABLES!$B$44,VARIABLES!$B$44))</f>
        <v/>
      </c>
      <c r="Q37" s="41">
        <f>P37*VARIABLES!$B$45</f>
        <v/>
      </c>
      <c r="R37" s="41">
        <f>IF($A37&lt;VARIABLES!$B$42,0,(IF($A37=VARIABLES!$B$42,0,S36)+P37)*C37*VARIABLES!$B$46)</f>
        <v/>
      </c>
      <c r="S37" s="41">
        <f>IF($A37&lt;VARIABLES!$B$42,0,(IF($A37=VARIABLES!$B$42,0,S36)+P37)*(1+C37)-R37)</f>
        <v/>
      </c>
      <c r="T37" s="42">
        <f>IF($A37&lt;VARIABLES!$B$50,0,MIN(VARIABLES!$B$49,INT(($A37-VARIABLES!$B$50)/VARIABLES!$B$51)+1)*VARIABLES!$B$52)</f>
        <v/>
      </c>
      <c r="U37" s="41">
        <f>T37*VARIABLES!$B$54+IF(AND($A37&gt;=VARIABLES!$B$50,MOD($A37-VARIABLES!$B$50,VARIABLES!$B$51)=0,INT(($A37-VARIABLES!$B$50)/VARIABLES!$B$51)&lt;VARIABLES!$B$49),VARIABLES!$B$52*VARIABLES!$B$53,0)</f>
        <v/>
      </c>
      <c r="V37" s="41">
        <f>U37*VARIABLES!$B$55</f>
        <v/>
      </c>
      <c r="W37" s="41">
        <f>IF($A37&lt;VARIABLES!$B$50,0,(IF($A37&lt;VARIABLES!$B$50+1,0,X36)+U37)*C37*VARIABLES!$B$56)</f>
        <v/>
      </c>
      <c r="X37" s="41">
        <f>IF($A37&lt;VARIABLES!$B$50,0,(IF($A37&lt;VARIABLES!$B$50+1,0,X36)+U37)*(1+C37)-W37)</f>
        <v/>
      </c>
      <c r="Y37" s="41">
        <f>D37+H37+L37+P37+U37</f>
        <v/>
      </c>
      <c r="Z37" s="41">
        <f>E37+I37+M37+Q37+V37</f>
        <v/>
      </c>
      <c r="AA37" s="41">
        <f>F37+J37+N37+R37+W37</f>
        <v/>
      </c>
      <c r="AB37" s="32">
        <f>Z37+AA37</f>
        <v/>
      </c>
      <c r="AC37" s="33">
        <f>G37+K37+O37+S37+X37</f>
        <v/>
      </c>
      <c r="AD37" s="41">
        <f>IF($A37=1,VARIABLES!$B$12,0)</f>
        <v/>
      </c>
      <c r="AE37" s="41">
        <f>IF($A37&lt;=3,VARIABLES!$B$13,IF($A37&lt;=6,VARIABLES!$B$14,VARIABLES!$B$15))</f>
        <v/>
      </c>
      <c r="AF37" s="41">
        <f>IF(MOD($A37,12)=0,AC37*VARIABLES!$B$16,0)</f>
        <v/>
      </c>
      <c r="AG37" s="41">
        <f>VARIABLES!$B$17</f>
        <v/>
      </c>
      <c r="AH37" s="41">
        <f>IF(MOD($A37,12)=0,VARIABLES!$B$18,0)</f>
        <v/>
      </c>
      <c r="AI37" s="34">
        <f>AD37+AE37+AF37+AG37+AH37</f>
        <v/>
      </c>
      <c r="AJ37" s="35">
        <f>IF($A37&lt;VARIABLES!$B$7,VARIABLES!$B$9,0)</f>
        <v/>
      </c>
      <c r="AK37" s="43">
        <f>AB37-AI37-AJ37</f>
        <v/>
      </c>
      <c r="AL37" s="43">
        <f>AL36+AK37</f>
        <v/>
      </c>
      <c r="AM37" s="37">
        <f>AM36+AJ37</f>
        <v/>
      </c>
    </row>
    <row r="38">
      <c r="A38" s="27" t="n">
        <v>35</v>
      </c>
      <c r="B38" s="28">
        <f>TEXT(DATE(VARIABLES!$B$60+INT((VARIABLES!$B$61+A38-2)/12),MOD(VARIABLES!$B$61+A38-2,12)+1,1),"mmm-yy")</f>
        <v/>
      </c>
      <c r="C38" s="29">
        <f>IF($A38&lt;VARIABLES!$B$7,VARIABLES!$B$5/12,VARIABLES!$B$6/12)</f>
        <v/>
      </c>
      <c r="D38" s="30">
        <f>IF($A38&lt;VARIABLES!$B$21,0,IF($A38=VARIABLES!$B$21,VARIABLES!$B$22+VARIABLES!$B$23,VARIABLES!$B$23))</f>
        <v/>
      </c>
      <c r="E38" s="30">
        <f>D38*VARIABLES!$B$24</f>
        <v/>
      </c>
      <c r="F38" s="30">
        <f>IF($A38&lt;VARIABLES!$B$21,0,(IF($A38=VARIABLES!$B$21,0,G37)+D38)*C38*VARIABLES!$B$25)</f>
        <v/>
      </c>
      <c r="G38" s="30">
        <f>IF($A38&lt;VARIABLES!$B$21,0,(IF($A38=VARIABLES!$B$21,0,G37)+D38)*(1+C38)-F38)</f>
        <v/>
      </c>
      <c r="H38" s="30">
        <f>IF($A38&lt;VARIABLES!$B$28,0,IF($A38=VARIABLES!$B$28,VARIABLES!$B$29+VARIABLES!$B$30,VARIABLES!$B$30))</f>
        <v/>
      </c>
      <c r="I38" s="30">
        <f>H38*VARIABLES!$B$31</f>
        <v/>
      </c>
      <c r="J38" s="30">
        <f>IF($A38&lt;VARIABLES!$B$28,0,(IF($A38=VARIABLES!$B$28,0,K37)+H38)*C38*VARIABLES!$B$32)</f>
        <v/>
      </c>
      <c r="K38" s="30">
        <f>IF($A38&lt;VARIABLES!$B$28,0,(IF($A38=VARIABLES!$B$28,0,K37)+H38)*(1+C38)-J38)</f>
        <v/>
      </c>
      <c r="L38" s="30">
        <f>IF($A38&lt;VARIABLES!$B$35,0,IF($A38=VARIABLES!$B$35,VARIABLES!$B$36+VARIABLES!$B$37,VARIABLES!$B$37))</f>
        <v/>
      </c>
      <c r="M38" s="30">
        <f>L38*VARIABLES!$B$38</f>
        <v/>
      </c>
      <c r="N38" s="30">
        <f>IF($A38&lt;VARIABLES!$B$35,0,(IF($A38=VARIABLES!$B$35,0,O37)+L38)*C38*VARIABLES!$B$39)</f>
        <v/>
      </c>
      <c r="O38" s="30">
        <f>IF($A38&lt;VARIABLES!$B$35,0,(IF($A38=VARIABLES!$B$35,0,O37)+L38)*(1+C38)-N38)</f>
        <v/>
      </c>
      <c r="P38" s="30">
        <f>IF($A38&lt;VARIABLES!$B$42,0,IF($A38=VARIABLES!$B$42,VARIABLES!$B$43+VARIABLES!$B$44,VARIABLES!$B$44))</f>
        <v/>
      </c>
      <c r="Q38" s="30">
        <f>P38*VARIABLES!$B$45</f>
        <v/>
      </c>
      <c r="R38" s="30">
        <f>IF($A38&lt;VARIABLES!$B$42,0,(IF($A38=VARIABLES!$B$42,0,S37)+P38)*C38*VARIABLES!$B$46)</f>
        <v/>
      </c>
      <c r="S38" s="30">
        <f>IF($A38&lt;VARIABLES!$B$42,0,(IF($A38=VARIABLES!$B$42,0,S37)+P38)*(1+C38)-R38)</f>
        <v/>
      </c>
      <c r="T38" s="31">
        <f>IF($A38&lt;VARIABLES!$B$50,0,MIN(VARIABLES!$B$49,INT(($A38-VARIABLES!$B$50)/VARIABLES!$B$51)+1)*VARIABLES!$B$52)</f>
        <v/>
      </c>
      <c r="U38" s="30">
        <f>T38*VARIABLES!$B$54+IF(AND($A38&gt;=VARIABLES!$B$50,MOD($A38-VARIABLES!$B$50,VARIABLES!$B$51)=0,INT(($A38-VARIABLES!$B$50)/VARIABLES!$B$51)&lt;VARIABLES!$B$49),VARIABLES!$B$52*VARIABLES!$B$53,0)</f>
        <v/>
      </c>
      <c r="V38" s="30">
        <f>U38*VARIABLES!$B$55</f>
        <v/>
      </c>
      <c r="W38" s="30">
        <f>IF($A38&lt;VARIABLES!$B$50,0,(IF($A38&lt;VARIABLES!$B$50+1,0,X37)+U38)*C38*VARIABLES!$B$56)</f>
        <v/>
      </c>
      <c r="X38" s="30">
        <f>IF($A38&lt;VARIABLES!$B$50,0,(IF($A38&lt;VARIABLES!$B$50+1,0,X37)+U38)*(1+C38)-W38)</f>
        <v/>
      </c>
      <c r="Y38" s="30">
        <f>D38+H38+L38+P38+U38</f>
        <v/>
      </c>
      <c r="Z38" s="30">
        <f>E38+I38+M38+Q38+V38</f>
        <v/>
      </c>
      <c r="AA38" s="30">
        <f>F38+J38+N38+R38+W38</f>
        <v/>
      </c>
      <c r="AB38" s="32">
        <f>Z38+AA38</f>
        <v/>
      </c>
      <c r="AC38" s="33">
        <f>G38+K38+O38+S38+X38</f>
        <v/>
      </c>
      <c r="AD38" s="30">
        <f>IF($A38=1,VARIABLES!$B$12,0)</f>
        <v/>
      </c>
      <c r="AE38" s="30">
        <f>IF($A38&lt;=3,VARIABLES!$B$13,IF($A38&lt;=6,VARIABLES!$B$14,VARIABLES!$B$15))</f>
        <v/>
      </c>
      <c r="AF38" s="30">
        <f>IF(MOD($A38,12)=0,AC38*VARIABLES!$B$16,0)</f>
        <v/>
      </c>
      <c r="AG38" s="30">
        <f>VARIABLES!$B$17</f>
        <v/>
      </c>
      <c r="AH38" s="30">
        <f>IF(MOD($A38,12)=0,VARIABLES!$B$18,0)</f>
        <v/>
      </c>
      <c r="AI38" s="34">
        <f>AD38+AE38+AF38+AG38+AH38</f>
        <v/>
      </c>
      <c r="AJ38" s="35">
        <f>IF($A38&lt;VARIABLES!$B$7,VARIABLES!$B$9,0)</f>
        <v/>
      </c>
      <c r="AK38" s="36">
        <f>AB38-AI38-AJ38</f>
        <v/>
      </c>
      <c r="AL38" s="36">
        <f>AL37+AK38</f>
        <v/>
      </c>
      <c r="AM38" s="37">
        <f>AM37+AJ38</f>
        <v/>
      </c>
    </row>
    <row r="39">
      <c r="A39" s="38" t="n">
        <v>36</v>
      </c>
      <c r="B39" s="39">
        <f>TEXT(DATE(VARIABLES!$B$60+INT((VARIABLES!$B$61+A39-2)/12),MOD(VARIABLES!$B$61+A39-2,12)+1,1),"mmm-yy")</f>
        <v/>
      </c>
      <c r="C39" s="40">
        <f>IF($A39&lt;VARIABLES!$B$7,VARIABLES!$B$5/12,VARIABLES!$B$6/12)</f>
        <v/>
      </c>
      <c r="D39" s="41">
        <f>IF($A39&lt;VARIABLES!$B$21,0,IF($A39=VARIABLES!$B$21,VARIABLES!$B$22+VARIABLES!$B$23,VARIABLES!$B$23))</f>
        <v/>
      </c>
      <c r="E39" s="41">
        <f>D39*VARIABLES!$B$24</f>
        <v/>
      </c>
      <c r="F39" s="41">
        <f>IF($A39&lt;VARIABLES!$B$21,0,(IF($A39=VARIABLES!$B$21,0,G38)+D39)*C39*VARIABLES!$B$25)</f>
        <v/>
      </c>
      <c r="G39" s="41">
        <f>IF($A39&lt;VARIABLES!$B$21,0,(IF($A39=VARIABLES!$B$21,0,G38)+D39)*(1+C39)-F39)</f>
        <v/>
      </c>
      <c r="H39" s="41">
        <f>IF($A39&lt;VARIABLES!$B$28,0,IF($A39=VARIABLES!$B$28,VARIABLES!$B$29+VARIABLES!$B$30,VARIABLES!$B$30))</f>
        <v/>
      </c>
      <c r="I39" s="41">
        <f>H39*VARIABLES!$B$31</f>
        <v/>
      </c>
      <c r="J39" s="41">
        <f>IF($A39&lt;VARIABLES!$B$28,0,(IF($A39=VARIABLES!$B$28,0,K38)+H39)*C39*VARIABLES!$B$32)</f>
        <v/>
      </c>
      <c r="K39" s="41">
        <f>IF($A39&lt;VARIABLES!$B$28,0,(IF($A39=VARIABLES!$B$28,0,K38)+H39)*(1+C39)-J39)</f>
        <v/>
      </c>
      <c r="L39" s="41">
        <f>IF($A39&lt;VARIABLES!$B$35,0,IF($A39=VARIABLES!$B$35,VARIABLES!$B$36+VARIABLES!$B$37,VARIABLES!$B$37))</f>
        <v/>
      </c>
      <c r="M39" s="41">
        <f>L39*VARIABLES!$B$38</f>
        <v/>
      </c>
      <c r="N39" s="41">
        <f>IF($A39&lt;VARIABLES!$B$35,0,(IF($A39=VARIABLES!$B$35,0,O38)+L39)*C39*VARIABLES!$B$39)</f>
        <v/>
      </c>
      <c r="O39" s="41">
        <f>IF($A39&lt;VARIABLES!$B$35,0,(IF($A39=VARIABLES!$B$35,0,O38)+L39)*(1+C39)-N39)</f>
        <v/>
      </c>
      <c r="P39" s="41">
        <f>IF($A39&lt;VARIABLES!$B$42,0,IF($A39=VARIABLES!$B$42,VARIABLES!$B$43+VARIABLES!$B$44,VARIABLES!$B$44))</f>
        <v/>
      </c>
      <c r="Q39" s="41">
        <f>P39*VARIABLES!$B$45</f>
        <v/>
      </c>
      <c r="R39" s="41">
        <f>IF($A39&lt;VARIABLES!$B$42,0,(IF($A39=VARIABLES!$B$42,0,S38)+P39)*C39*VARIABLES!$B$46)</f>
        <v/>
      </c>
      <c r="S39" s="41">
        <f>IF($A39&lt;VARIABLES!$B$42,0,(IF($A39=VARIABLES!$B$42,0,S38)+P39)*(1+C39)-R39)</f>
        <v/>
      </c>
      <c r="T39" s="42">
        <f>IF($A39&lt;VARIABLES!$B$50,0,MIN(VARIABLES!$B$49,INT(($A39-VARIABLES!$B$50)/VARIABLES!$B$51)+1)*VARIABLES!$B$52)</f>
        <v/>
      </c>
      <c r="U39" s="41">
        <f>T39*VARIABLES!$B$54+IF(AND($A39&gt;=VARIABLES!$B$50,MOD($A39-VARIABLES!$B$50,VARIABLES!$B$51)=0,INT(($A39-VARIABLES!$B$50)/VARIABLES!$B$51)&lt;VARIABLES!$B$49),VARIABLES!$B$52*VARIABLES!$B$53,0)</f>
        <v/>
      </c>
      <c r="V39" s="41">
        <f>U39*VARIABLES!$B$55</f>
        <v/>
      </c>
      <c r="W39" s="41">
        <f>IF($A39&lt;VARIABLES!$B$50,0,(IF($A39&lt;VARIABLES!$B$50+1,0,X38)+U39)*C39*VARIABLES!$B$56)</f>
        <v/>
      </c>
      <c r="X39" s="41">
        <f>IF($A39&lt;VARIABLES!$B$50,0,(IF($A39&lt;VARIABLES!$B$50+1,0,X38)+U39)*(1+C39)-W39)</f>
        <v/>
      </c>
      <c r="Y39" s="41">
        <f>D39+H39+L39+P39+U39</f>
        <v/>
      </c>
      <c r="Z39" s="41">
        <f>E39+I39+M39+Q39+V39</f>
        <v/>
      </c>
      <c r="AA39" s="41">
        <f>F39+J39+N39+R39+W39</f>
        <v/>
      </c>
      <c r="AB39" s="32">
        <f>Z39+AA39</f>
        <v/>
      </c>
      <c r="AC39" s="33">
        <f>G39+K39+O39+S39+X39</f>
        <v/>
      </c>
      <c r="AD39" s="41">
        <f>IF($A39=1,VARIABLES!$B$12,0)</f>
        <v/>
      </c>
      <c r="AE39" s="41">
        <f>IF($A39&lt;=3,VARIABLES!$B$13,IF($A39&lt;=6,VARIABLES!$B$14,VARIABLES!$B$15))</f>
        <v/>
      </c>
      <c r="AF39" s="41">
        <f>IF(MOD($A39,12)=0,AC39*VARIABLES!$B$16,0)</f>
        <v/>
      </c>
      <c r="AG39" s="41">
        <f>VARIABLES!$B$17</f>
        <v/>
      </c>
      <c r="AH39" s="41">
        <f>IF(MOD($A39,12)=0,VARIABLES!$B$18,0)</f>
        <v/>
      </c>
      <c r="AI39" s="34">
        <f>AD39+AE39+AF39+AG39+AH39</f>
        <v/>
      </c>
      <c r="AJ39" s="35">
        <f>IF($A39&lt;VARIABLES!$B$7,VARIABLES!$B$9,0)</f>
        <v/>
      </c>
      <c r="AK39" s="43">
        <f>AB39-AI39-AJ39</f>
        <v/>
      </c>
      <c r="AL39" s="43">
        <f>AL38+AK39</f>
        <v/>
      </c>
      <c r="AM39" s="37">
        <f>AM38+AJ39</f>
        <v/>
      </c>
    </row>
    <row r="40">
      <c r="A40" s="27" t="n">
        <v>37</v>
      </c>
      <c r="B40" s="28">
        <f>TEXT(DATE(VARIABLES!$B$60+INT((VARIABLES!$B$61+A40-2)/12),MOD(VARIABLES!$B$61+A40-2,12)+1,1),"mmm-yy")</f>
        <v/>
      </c>
      <c r="C40" s="29">
        <f>IF($A40&lt;VARIABLES!$B$7,VARIABLES!$B$5/12,VARIABLES!$B$6/12)</f>
        <v/>
      </c>
      <c r="D40" s="30">
        <f>IF($A40&lt;VARIABLES!$B$21,0,IF($A40=VARIABLES!$B$21,VARIABLES!$B$22+VARIABLES!$B$23,VARIABLES!$B$23))</f>
        <v/>
      </c>
      <c r="E40" s="30">
        <f>D40*VARIABLES!$B$24</f>
        <v/>
      </c>
      <c r="F40" s="30">
        <f>IF($A40&lt;VARIABLES!$B$21,0,(IF($A40=VARIABLES!$B$21,0,G39)+D40)*C40*VARIABLES!$B$25)</f>
        <v/>
      </c>
      <c r="G40" s="30">
        <f>IF($A40&lt;VARIABLES!$B$21,0,(IF($A40=VARIABLES!$B$21,0,G39)+D40)*(1+C40)-F40)</f>
        <v/>
      </c>
      <c r="H40" s="30">
        <f>IF($A40&lt;VARIABLES!$B$28,0,IF($A40=VARIABLES!$B$28,VARIABLES!$B$29+VARIABLES!$B$30,VARIABLES!$B$30))</f>
        <v/>
      </c>
      <c r="I40" s="30">
        <f>H40*VARIABLES!$B$31</f>
        <v/>
      </c>
      <c r="J40" s="30">
        <f>IF($A40&lt;VARIABLES!$B$28,0,(IF($A40=VARIABLES!$B$28,0,K39)+H40)*C40*VARIABLES!$B$32)</f>
        <v/>
      </c>
      <c r="K40" s="30">
        <f>IF($A40&lt;VARIABLES!$B$28,0,(IF($A40=VARIABLES!$B$28,0,K39)+H40)*(1+C40)-J40)</f>
        <v/>
      </c>
      <c r="L40" s="30">
        <f>IF($A40&lt;VARIABLES!$B$35,0,IF($A40=VARIABLES!$B$35,VARIABLES!$B$36+VARIABLES!$B$37,VARIABLES!$B$37))</f>
        <v/>
      </c>
      <c r="M40" s="30">
        <f>L40*VARIABLES!$B$38</f>
        <v/>
      </c>
      <c r="N40" s="30">
        <f>IF($A40&lt;VARIABLES!$B$35,0,(IF($A40=VARIABLES!$B$35,0,O39)+L40)*C40*VARIABLES!$B$39)</f>
        <v/>
      </c>
      <c r="O40" s="30">
        <f>IF($A40&lt;VARIABLES!$B$35,0,(IF($A40=VARIABLES!$B$35,0,O39)+L40)*(1+C40)-N40)</f>
        <v/>
      </c>
      <c r="P40" s="30">
        <f>IF($A40&lt;VARIABLES!$B$42,0,IF($A40=VARIABLES!$B$42,VARIABLES!$B$43+VARIABLES!$B$44,VARIABLES!$B$44))</f>
        <v/>
      </c>
      <c r="Q40" s="30">
        <f>P40*VARIABLES!$B$45</f>
        <v/>
      </c>
      <c r="R40" s="30">
        <f>IF($A40&lt;VARIABLES!$B$42,0,(IF($A40=VARIABLES!$B$42,0,S39)+P40)*C40*VARIABLES!$B$46)</f>
        <v/>
      </c>
      <c r="S40" s="30">
        <f>IF($A40&lt;VARIABLES!$B$42,0,(IF($A40=VARIABLES!$B$42,0,S39)+P40)*(1+C40)-R40)</f>
        <v/>
      </c>
      <c r="T40" s="31">
        <f>IF($A40&lt;VARIABLES!$B$50,0,MIN(VARIABLES!$B$49,INT(($A40-VARIABLES!$B$50)/VARIABLES!$B$51)+1)*VARIABLES!$B$52)</f>
        <v/>
      </c>
      <c r="U40" s="30">
        <f>T40*VARIABLES!$B$54+IF(AND($A40&gt;=VARIABLES!$B$50,MOD($A40-VARIABLES!$B$50,VARIABLES!$B$51)=0,INT(($A40-VARIABLES!$B$50)/VARIABLES!$B$51)&lt;VARIABLES!$B$49),VARIABLES!$B$52*VARIABLES!$B$53,0)</f>
        <v/>
      </c>
      <c r="V40" s="30">
        <f>U40*VARIABLES!$B$55</f>
        <v/>
      </c>
      <c r="W40" s="30">
        <f>IF($A40&lt;VARIABLES!$B$50,0,(IF($A40&lt;VARIABLES!$B$50+1,0,X39)+U40)*C40*VARIABLES!$B$56)</f>
        <v/>
      </c>
      <c r="X40" s="30">
        <f>IF($A40&lt;VARIABLES!$B$50,0,(IF($A40&lt;VARIABLES!$B$50+1,0,X39)+U40)*(1+C40)-W40)</f>
        <v/>
      </c>
      <c r="Y40" s="30">
        <f>D40+H40+L40+P40+U40</f>
        <v/>
      </c>
      <c r="Z40" s="30">
        <f>E40+I40+M40+Q40+V40</f>
        <v/>
      </c>
      <c r="AA40" s="30">
        <f>F40+J40+N40+R40+W40</f>
        <v/>
      </c>
      <c r="AB40" s="32">
        <f>Z40+AA40</f>
        <v/>
      </c>
      <c r="AC40" s="33">
        <f>G40+K40+O40+S40+X40</f>
        <v/>
      </c>
      <c r="AD40" s="30">
        <f>IF($A40=1,VARIABLES!$B$12,0)</f>
        <v/>
      </c>
      <c r="AE40" s="30">
        <f>IF($A40&lt;=3,VARIABLES!$B$13,IF($A40&lt;=6,VARIABLES!$B$14,VARIABLES!$B$15))</f>
        <v/>
      </c>
      <c r="AF40" s="30">
        <f>IF(MOD($A40,12)=0,AC40*VARIABLES!$B$16,0)</f>
        <v/>
      </c>
      <c r="AG40" s="30">
        <f>VARIABLES!$B$17</f>
        <v/>
      </c>
      <c r="AH40" s="30">
        <f>IF(MOD($A40,12)=0,VARIABLES!$B$18,0)</f>
        <v/>
      </c>
      <c r="AI40" s="34">
        <f>AD40+AE40+AF40+AG40+AH40</f>
        <v/>
      </c>
      <c r="AJ40" s="35">
        <f>IF($A40&lt;VARIABLES!$B$7,VARIABLES!$B$9,0)</f>
        <v/>
      </c>
      <c r="AK40" s="36">
        <f>AB40-AI40-AJ40</f>
        <v/>
      </c>
      <c r="AL40" s="36">
        <f>AL39+AK40</f>
        <v/>
      </c>
      <c r="AM40" s="37">
        <f>AM39+AJ40</f>
        <v/>
      </c>
    </row>
    <row r="41">
      <c r="A41" s="38" t="n">
        <v>38</v>
      </c>
      <c r="B41" s="39">
        <f>TEXT(DATE(VARIABLES!$B$60+INT((VARIABLES!$B$61+A41-2)/12),MOD(VARIABLES!$B$61+A41-2,12)+1,1),"mmm-yy")</f>
        <v/>
      </c>
      <c r="C41" s="40">
        <f>IF($A41&lt;VARIABLES!$B$7,VARIABLES!$B$5/12,VARIABLES!$B$6/12)</f>
        <v/>
      </c>
      <c r="D41" s="41">
        <f>IF($A41&lt;VARIABLES!$B$21,0,IF($A41=VARIABLES!$B$21,VARIABLES!$B$22+VARIABLES!$B$23,VARIABLES!$B$23))</f>
        <v/>
      </c>
      <c r="E41" s="41">
        <f>D41*VARIABLES!$B$24</f>
        <v/>
      </c>
      <c r="F41" s="41">
        <f>IF($A41&lt;VARIABLES!$B$21,0,(IF($A41=VARIABLES!$B$21,0,G40)+D41)*C41*VARIABLES!$B$25)</f>
        <v/>
      </c>
      <c r="G41" s="41">
        <f>IF($A41&lt;VARIABLES!$B$21,0,(IF($A41=VARIABLES!$B$21,0,G40)+D41)*(1+C41)-F41)</f>
        <v/>
      </c>
      <c r="H41" s="41">
        <f>IF($A41&lt;VARIABLES!$B$28,0,IF($A41=VARIABLES!$B$28,VARIABLES!$B$29+VARIABLES!$B$30,VARIABLES!$B$30))</f>
        <v/>
      </c>
      <c r="I41" s="41">
        <f>H41*VARIABLES!$B$31</f>
        <v/>
      </c>
      <c r="J41" s="41">
        <f>IF($A41&lt;VARIABLES!$B$28,0,(IF($A41=VARIABLES!$B$28,0,K40)+H41)*C41*VARIABLES!$B$32)</f>
        <v/>
      </c>
      <c r="K41" s="41">
        <f>IF($A41&lt;VARIABLES!$B$28,0,(IF($A41=VARIABLES!$B$28,0,K40)+H41)*(1+C41)-J41)</f>
        <v/>
      </c>
      <c r="L41" s="41">
        <f>IF($A41&lt;VARIABLES!$B$35,0,IF($A41=VARIABLES!$B$35,VARIABLES!$B$36+VARIABLES!$B$37,VARIABLES!$B$37))</f>
        <v/>
      </c>
      <c r="M41" s="41">
        <f>L41*VARIABLES!$B$38</f>
        <v/>
      </c>
      <c r="N41" s="41">
        <f>IF($A41&lt;VARIABLES!$B$35,0,(IF($A41=VARIABLES!$B$35,0,O40)+L41)*C41*VARIABLES!$B$39)</f>
        <v/>
      </c>
      <c r="O41" s="41">
        <f>IF($A41&lt;VARIABLES!$B$35,0,(IF($A41=VARIABLES!$B$35,0,O40)+L41)*(1+C41)-N41)</f>
        <v/>
      </c>
      <c r="P41" s="41">
        <f>IF($A41&lt;VARIABLES!$B$42,0,IF($A41=VARIABLES!$B$42,VARIABLES!$B$43+VARIABLES!$B$44,VARIABLES!$B$44))</f>
        <v/>
      </c>
      <c r="Q41" s="41">
        <f>P41*VARIABLES!$B$45</f>
        <v/>
      </c>
      <c r="R41" s="41">
        <f>IF($A41&lt;VARIABLES!$B$42,0,(IF($A41=VARIABLES!$B$42,0,S40)+P41)*C41*VARIABLES!$B$46)</f>
        <v/>
      </c>
      <c r="S41" s="41">
        <f>IF($A41&lt;VARIABLES!$B$42,0,(IF($A41=VARIABLES!$B$42,0,S40)+P41)*(1+C41)-R41)</f>
        <v/>
      </c>
      <c r="T41" s="42">
        <f>IF($A41&lt;VARIABLES!$B$50,0,MIN(VARIABLES!$B$49,INT(($A41-VARIABLES!$B$50)/VARIABLES!$B$51)+1)*VARIABLES!$B$52)</f>
        <v/>
      </c>
      <c r="U41" s="41">
        <f>T41*VARIABLES!$B$54+IF(AND($A41&gt;=VARIABLES!$B$50,MOD($A41-VARIABLES!$B$50,VARIABLES!$B$51)=0,INT(($A41-VARIABLES!$B$50)/VARIABLES!$B$51)&lt;VARIABLES!$B$49),VARIABLES!$B$52*VARIABLES!$B$53,0)</f>
        <v/>
      </c>
      <c r="V41" s="41">
        <f>U41*VARIABLES!$B$55</f>
        <v/>
      </c>
      <c r="W41" s="41">
        <f>IF($A41&lt;VARIABLES!$B$50,0,(IF($A41&lt;VARIABLES!$B$50+1,0,X40)+U41)*C41*VARIABLES!$B$56)</f>
        <v/>
      </c>
      <c r="X41" s="41">
        <f>IF($A41&lt;VARIABLES!$B$50,0,(IF($A41&lt;VARIABLES!$B$50+1,0,X40)+U41)*(1+C41)-W41)</f>
        <v/>
      </c>
      <c r="Y41" s="41">
        <f>D41+H41+L41+P41+U41</f>
        <v/>
      </c>
      <c r="Z41" s="41">
        <f>E41+I41+M41+Q41+V41</f>
        <v/>
      </c>
      <c r="AA41" s="41">
        <f>F41+J41+N41+R41+W41</f>
        <v/>
      </c>
      <c r="AB41" s="32">
        <f>Z41+AA41</f>
        <v/>
      </c>
      <c r="AC41" s="33">
        <f>G41+K41+O41+S41+X41</f>
        <v/>
      </c>
      <c r="AD41" s="41">
        <f>IF($A41=1,VARIABLES!$B$12,0)</f>
        <v/>
      </c>
      <c r="AE41" s="41">
        <f>IF($A41&lt;=3,VARIABLES!$B$13,IF($A41&lt;=6,VARIABLES!$B$14,VARIABLES!$B$15))</f>
        <v/>
      </c>
      <c r="AF41" s="41">
        <f>IF(MOD($A41,12)=0,AC41*VARIABLES!$B$16,0)</f>
        <v/>
      </c>
      <c r="AG41" s="41">
        <f>VARIABLES!$B$17</f>
        <v/>
      </c>
      <c r="AH41" s="41">
        <f>IF(MOD($A41,12)=0,VARIABLES!$B$18,0)</f>
        <v/>
      </c>
      <c r="AI41" s="34">
        <f>AD41+AE41+AF41+AG41+AH41</f>
        <v/>
      </c>
      <c r="AJ41" s="35">
        <f>IF($A41&lt;VARIABLES!$B$7,VARIABLES!$B$9,0)</f>
        <v/>
      </c>
      <c r="AK41" s="43">
        <f>AB41-AI41-AJ41</f>
        <v/>
      </c>
      <c r="AL41" s="43">
        <f>AL40+AK41</f>
        <v/>
      </c>
      <c r="AM41" s="37">
        <f>AM40+AJ41</f>
        <v/>
      </c>
    </row>
    <row r="42">
      <c r="A42" s="27" t="n">
        <v>39</v>
      </c>
      <c r="B42" s="28">
        <f>TEXT(DATE(VARIABLES!$B$60+INT((VARIABLES!$B$61+A42-2)/12),MOD(VARIABLES!$B$61+A42-2,12)+1,1),"mmm-yy")</f>
        <v/>
      </c>
      <c r="C42" s="29">
        <f>IF($A42&lt;VARIABLES!$B$7,VARIABLES!$B$5/12,VARIABLES!$B$6/12)</f>
        <v/>
      </c>
      <c r="D42" s="30">
        <f>IF($A42&lt;VARIABLES!$B$21,0,IF($A42=VARIABLES!$B$21,VARIABLES!$B$22+VARIABLES!$B$23,VARIABLES!$B$23))</f>
        <v/>
      </c>
      <c r="E42" s="30">
        <f>D42*VARIABLES!$B$24</f>
        <v/>
      </c>
      <c r="F42" s="30">
        <f>IF($A42&lt;VARIABLES!$B$21,0,(IF($A42=VARIABLES!$B$21,0,G41)+D42)*C42*VARIABLES!$B$25)</f>
        <v/>
      </c>
      <c r="G42" s="30">
        <f>IF($A42&lt;VARIABLES!$B$21,0,(IF($A42=VARIABLES!$B$21,0,G41)+D42)*(1+C42)-F42)</f>
        <v/>
      </c>
      <c r="H42" s="30">
        <f>IF($A42&lt;VARIABLES!$B$28,0,IF($A42=VARIABLES!$B$28,VARIABLES!$B$29+VARIABLES!$B$30,VARIABLES!$B$30))</f>
        <v/>
      </c>
      <c r="I42" s="30">
        <f>H42*VARIABLES!$B$31</f>
        <v/>
      </c>
      <c r="J42" s="30">
        <f>IF($A42&lt;VARIABLES!$B$28,0,(IF($A42=VARIABLES!$B$28,0,K41)+H42)*C42*VARIABLES!$B$32)</f>
        <v/>
      </c>
      <c r="K42" s="30">
        <f>IF($A42&lt;VARIABLES!$B$28,0,(IF($A42=VARIABLES!$B$28,0,K41)+H42)*(1+C42)-J42)</f>
        <v/>
      </c>
      <c r="L42" s="30">
        <f>IF($A42&lt;VARIABLES!$B$35,0,IF($A42=VARIABLES!$B$35,VARIABLES!$B$36+VARIABLES!$B$37,VARIABLES!$B$37))</f>
        <v/>
      </c>
      <c r="M42" s="30">
        <f>L42*VARIABLES!$B$38</f>
        <v/>
      </c>
      <c r="N42" s="30">
        <f>IF($A42&lt;VARIABLES!$B$35,0,(IF($A42=VARIABLES!$B$35,0,O41)+L42)*C42*VARIABLES!$B$39)</f>
        <v/>
      </c>
      <c r="O42" s="30">
        <f>IF($A42&lt;VARIABLES!$B$35,0,(IF($A42=VARIABLES!$B$35,0,O41)+L42)*(1+C42)-N42)</f>
        <v/>
      </c>
      <c r="P42" s="30">
        <f>IF($A42&lt;VARIABLES!$B$42,0,IF($A42=VARIABLES!$B$42,VARIABLES!$B$43+VARIABLES!$B$44,VARIABLES!$B$44))</f>
        <v/>
      </c>
      <c r="Q42" s="30">
        <f>P42*VARIABLES!$B$45</f>
        <v/>
      </c>
      <c r="R42" s="30">
        <f>IF($A42&lt;VARIABLES!$B$42,0,(IF($A42=VARIABLES!$B$42,0,S41)+P42)*C42*VARIABLES!$B$46)</f>
        <v/>
      </c>
      <c r="S42" s="30">
        <f>IF($A42&lt;VARIABLES!$B$42,0,(IF($A42=VARIABLES!$B$42,0,S41)+P42)*(1+C42)-R42)</f>
        <v/>
      </c>
      <c r="T42" s="31">
        <f>IF($A42&lt;VARIABLES!$B$50,0,MIN(VARIABLES!$B$49,INT(($A42-VARIABLES!$B$50)/VARIABLES!$B$51)+1)*VARIABLES!$B$52)</f>
        <v/>
      </c>
      <c r="U42" s="30">
        <f>T42*VARIABLES!$B$54+IF(AND($A42&gt;=VARIABLES!$B$50,MOD($A42-VARIABLES!$B$50,VARIABLES!$B$51)=0,INT(($A42-VARIABLES!$B$50)/VARIABLES!$B$51)&lt;VARIABLES!$B$49),VARIABLES!$B$52*VARIABLES!$B$53,0)</f>
        <v/>
      </c>
      <c r="V42" s="30">
        <f>U42*VARIABLES!$B$55</f>
        <v/>
      </c>
      <c r="W42" s="30">
        <f>IF($A42&lt;VARIABLES!$B$50,0,(IF($A42&lt;VARIABLES!$B$50+1,0,X41)+U42)*C42*VARIABLES!$B$56)</f>
        <v/>
      </c>
      <c r="X42" s="30">
        <f>IF($A42&lt;VARIABLES!$B$50,0,(IF($A42&lt;VARIABLES!$B$50+1,0,X41)+U42)*(1+C42)-W42)</f>
        <v/>
      </c>
      <c r="Y42" s="30">
        <f>D42+H42+L42+P42+U42</f>
        <v/>
      </c>
      <c r="Z42" s="30">
        <f>E42+I42+M42+Q42+V42</f>
        <v/>
      </c>
      <c r="AA42" s="30">
        <f>F42+J42+N42+R42+W42</f>
        <v/>
      </c>
      <c r="AB42" s="32">
        <f>Z42+AA42</f>
        <v/>
      </c>
      <c r="AC42" s="33">
        <f>G42+K42+O42+S42+X42</f>
        <v/>
      </c>
      <c r="AD42" s="30">
        <f>IF($A42=1,VARIABLES!$B$12,0)</f>
        <v/>
      </c>
      <c r="AE42" s="30">
        <f>IF($A42&lt;=3,VARIABLES!$B$13,IF($A42&lt;=6,VARIABLES!$B$14,VARIABLES!$B$15))</f>
        <v/>
      </c>
      <c r="AF42" s="30">
        <f>IF(MOD($A42,12)=0,AC42*VARIABLES!$B$16,0)</f>
        <v/>
      </c>
      <c r="AG42" s="30">
        <f>VARIABLES!$B$17</f>
        <v/>
      </c>
      <c r="AH42" s="30">
        <f>IF(MOD($A42,12)=0,VARIABLES!$B$18,0)</f>
        <v/>
      </c>
      <c r="AI42" s="34">
        <f>AD42+AE42+AF42+AG42+AH42</f>
        <v/>
      </c>
      <c r="AJ42" s="35">
        <f>IF($A42&lt;VARIABLES!$B$7,VARIABLES!$B$9,0)</f>
        <v/>
      </c>
      <c r="AK42" s="36">
        <f>AB42-AI42-AJ42</f>
        <v/>
      </c>
      <c r="AL42" s="36">
        <f>AL41+AK42</f>
        <v/>
      </c>
      <c r="AM42" s="37">
        <f>AM41+AJ42</f>
        <v/>
      </c>
    </row>
    <row r="43">
      <c r="A43" s="38" t="n">
        <v>40</v>
      </c>
      <c r="B43" s="39">
        <f>TEXT(DATE(VARIABLES!$B$60+INT((VARIABLES!$B$61+A43-2)/12),MOD(VARIABLES!$B$61+A43-2,12)+1,1),"mmm-yy")</f>
        <v/>
      </c>
      <c r="C43" s="40">
        <f>IF($A43&lt;VARIABLES!$B$7,VARIABLES!$B$5/12,VARIABLES!$B$6/12)</f>
        <v/>
      </c>
      <c r="D43" s="41">
        <f>IF($A43&lt;VARIABLES!$B$21,0,IF($A43=VARIABLES!$B$21,VARIABLES!$B$22+VARIABLES!$B$23,VARIABLES!$B$23))</f>
        <v/>
      </c>
      <c r="E43" s="41">
        <f>D43*VARIABLES!$B$24</f>
        <v/>
      </c>
      <c r="F43" s="41">
        <f>IF($A43&lt;VARIABLES!$B$21,0,(IF($A43=VARIABLES!$B$21,0,G42)+D43)*C43*VARIABLES!$B$25)</f>
        <v/>
      </c>
      <c r="G43" s="41">
        <f>IF($A43&lt;VARIABLES!$B$21,0,(IF($A43=VARIABLES!$B$21,0,G42)+D43)*(1+C43)-F43)</f>
        <v/>
      </c>
      <c r="H43" s="41">
        <f>IF($A43&lt;VARIABLES!$B$28,0,IF($A43=VARIABLES!$B$28,VARIABLES!$B$29+VARIABLES!$B$30,VARIABLES!$B$30))</f>
        <v/>
      </c>
      <c r="I43" s="41">
        <f>H43*VARIABLES!$B$31</f>
        <v/>
      </c>
      <c r="J43" s="41">
        <f>IF($A43&lt;VARIABLES!$B$28,0,(IF($A43=VARIABLES!$B$28,0,K42)+H43)*C43*VARIABLES!$B$32)</f>
        <v/>
      </c>
      <c r="K43" s="41">
        <f>IF($A43&lt;VARIABLES!$B$28,0,(IF($A43=VARIABLES!$B$28,0,K42)+H43)*(1+C43)-J43)</f>
        <v/>
      </c>
      <c r="L43" s="41">
        <f>IF($A43&lt;VARIABLES!$B$35,0,IF($A43=VARIABLES!$B$35,VARIABLES!$B$36+VARIABLES!$B$37,VARIABLES!$B$37))</f>
        <v/>
      </c>
      <c r="M43" s="41">
        <f>L43*VARIABLES!$B$38</f>
        <v/>
      </c>
      <c r="N43" s="41">
        <f>IF($A43&lt;VARIABLES!$B$35,0,(IF($A43=VARIABLES!$B$35,0,O42)+L43)*C43*VARIABLES!$B$39)</f>
        <v/>
      </c>
      <c r="O43" s="41">
        <f>IF($A43&lt;VARIABLES!$B$35,0,(IF($A43=VARIABLES!$B$35,0,O42)+L43)*(1+C43)-N43)</f>
        <v/>
      </c>
      <c r="P43" s="41">
        <f>IF($A43&lt;VARIABLES!$B$42,0,IF($A43=VARIABLES!$B$42,VARIABLES!$B$43+VARIABLES!$B$44,VARIABLES!$B$44))</f>
        <v/>
      </c>
      <c r="Q43" s="41">
        <f>P43*VARIABLES!$B$45</f>
        <v/>
      </c>
      <c r="R43" s="41">
        <f>IF($A43&lt;VARIABLES!$B$42,0,(IF($A43=VARIABLES!$B$42,0,S42)+P43)*C43*VARIABLES!$B$46)</f>
        <v/>
      </c>
      <c r="S43" s="41">
        <f>IF($A43&lt;VARIABLES!$B$42,0,(IF($A43=VARIABLES!$B$42,0,S42)+P43)*(1+C43)-R43)</f>
        <v/>
      </c>
      <c r="T43" s="42">
        <f>IF($A43&lt;VARIABLES!$B$50,0,MIN(VARIABLES!$B$49,INT(($A43-VARIABLES!$B$50)/VARIABLES!$B$51)+1)*VARIABLES!$B$52)</f>
        <v/>
      </c>
      <c r="U43" s="41">
        <f>T43*VARIABLES!$B$54+IF(AND($A43&gt;=VARIABLES!$B$50,MOD($A43-VARIABLES!$B$50,VARIABLES!$B$51)=0,INT(($A43-VARIABLES!$B$50)/VARIABLES!$B$51)&lt;VARIABLES!$B$49),VARIABLES!$B$52*VARIABLES!$B$53,0)</f>
        <v/>
      </c>
      <c r="V43" s="41">
        <f>U43*VARIABLES!$B$55</f>
        <v/>
      </c>
      <c r="W43" s="41">
        <f>IF($A43&lt;VARIABLES!$B$50,0,(IF($A43&lt;VARIABLES!$B$50+1,0,X42)+U43)*C43*VARIABLES!$B$56)</f>
        <v/>
      </c>
      <c r="X43" s="41">
        <f>IF($A43&lt;VARIABLES!$B$50,0,(IF($A43&lt;VARIABLES!$B$50+1,0,X42)+U43)*(1+C43)-W43)</f>
        <v/>
      </c>
      <c r="Y43" s="41">
        <f>D43+H43+L43+P43+U43</f>
        <v/>
      </c>
      <c r="Z43" s="41">
        <f>E43+I43+M43+Q43+V43</f>
        <v/>
      </c>
      <c r="AA43" s="41">
        <f>F43+J43+N43+R43+W43</f>
        <v/>
      </c>
      <c r="AB43" s="32">
        <f>Z43+AA43</f>
        <v/>
      </c>
      <c r="AC43" s="33">
        <f>G43+K43+O43+S43+X43</f>
        <v/>
      </c>
      <c r="AD43" s="41">
        <f>IF($A43=1,VARIABLES!$B$12,0)</f>
        <v/>
      </c>
      <c r="AE43" s="41">
        <f>IF($A43&lt;=3,VARIABLES!$B$13,IF($A43&lt;=6,VARIABLES!$B$14,VARIABLES!$B$15))</f>
        <v/>
      </c>
      <c r="AF43" s="41">
        <f>IF(MOD($A43,12)=0,AC43*VARIABLES!$B$16,0)</f>
        <v/>
      </c>
      <c r="AG43" s="41">
        <f>VARIABLES!$B$17</f>
        <v/>
      </c>
      <c r="AH43" s="41">
        <f>IF(MOD($A43,12)=0,VARIABLES!$B$18,0)</f>
        <v/>
      </c>
      <c r="AI43" s="34">
        <f>AD43+AE43+AF43+AG43+AH43</f>
        <v/>
      </c>
      <c r="AJ43" s="35">
        <f>IF($A43&lt;VARIABLES!$B$7,VARIABLES!$B$9,0)</f>
        <v/>
      </c>
      <c r="AK43" s="43">
        <f>AB43-AI43-AJ43</f>
        <v/>
      </c>
      <c r="AL43" s="43">
        <f>AL42+AK43</f>
        <v/>
      </c>
      <c r="AM43" s="37">
        <f>AM42+AJ43</f>
        <v/>
      </c>
    </row>
    <row r="44">
      <c r="A44" s="27" t="n">
        <v>41</v>
      </c>
      <c r="B44" s="28">
        <f>TEXT(DATE(VARIABLES!$B$60+INT((VARIABLES!$B$61+A44-2)/12),MOD(VARIABLES!$B$61+A44-2,12)+1,1),"mmm-yy")</f>
        <v/>
      </c>
      <c r="C44" s="29">
        <f>IF($A44&lt;VARIABLES!$B$7,VARIABLES!$B$5/12,VARIABLES!$B$6/12)</f>
        <v/>
      </c>
      <c r="D44" s="30">
        <f>IF($A44&lt;VARIABLES!$B$21,0,IF($A44=VARIABLES!$B$21,VARIABLES!$B$22+VARIABLES!$B$23,VARIABLES!$B$23))</f>
        <v/>
      </c>
      <c r="E44" s="30">
        <f>D44*VARIABLES!$B$24</f>
        <v/>
      </c>
      <c r="F44" s="30">
        <f>IF($A44&lt;VARIABLES!$B$21,0,(IF($A44=VARIABLES!$B$21,0,G43)+D44)*C44*VARIABLES!$B$25)</f>
        <v/>
      </c>
      <c r="G44" s="30">
        <f>IF($A44&lt;VARIABLES!$B$21,0,(IF($A44=VARIABLES!$B$21,0,G43)+D44)*(1+C44)-F44)</f>
        <v/>
      </c>
      <c r="H44" s="30">
        <f>IF($A44&lt;VARIABLES!$B$28,0,IF($A44=VARIABLES!$B$28,VARIABLES!$B$29+VARIABLES!$B$30,VARIABLES!$B$30))</f>
        <v/>
      </c>
      <c r="I44" s="30">
        <f>H44*VARIABLES!$B$31</f>
        <v/>
      </c>
      <c r="J44" s="30">
        <f>IF($A44&lt;VARIABLES!$B$28,0,(IF($A44=VARIABLES!$B$28,0,K43)+H44)*C44*VARIABLES!$B$32)</f>
        <v/>
      </c>
      <c r="K44" s="30">
        <f>IF($A44&lt;VARIABLES!$B$28,0,(IF($A44=VARIABLES!$B$28,0,K43)+H44)*(1+C44)-J44)</f>
        <v/>
      </c>
      <c r="L44" s="30">
        <f>IF($A44&lt;VARIABLES!$B$35,0,IF($A44=VARIABLES!$B$35,VARIABLES!$B$36+VARIABLES!$B$37,VARIABLES!$B$37))</f>
        <v/>
      </c>
      <c r="M44" s="30">
        <f>L44*VARIABLES!$B$38</f>
        <v/>
      </c>
      <c r="N44" s="30">
        <f>IF($A44&lt;VARIABLES!$B$35,0,(IF($A44=VARIABLES!$B$35,0,O43)+L44)*C44*VARIABLES!$B$39)</f>
        <v/>
      </c>
      <c r="O44" s="30">
        <f>IF($A44&lt;VARIABLES!$B$35,0,(IF($A44=VARIABLES!$B$35,0,O43)+L44)*(1+C44)-N44)</f>
        <v/>
      </c>
      <c r="P44" s="30">
        <f>IF($A44&lt;VARIABLES!$B$42,0,IF($A44=VARIABLES!$B$42,VARIABLES!$B$43+VARIABLES!$B$44,VARIABLES!$B$44))</f>
        <v/>
      </c>
      <c r="Q44" s="30">
        <f>P44*VARIABLES!$B$45</f>
        <v/>
      </c>
      <c r="R44" s="30">
        <f>IF($A44&lt;VARIABLES!$B$42,0,(IF($A44=VARIABLES!$B$42,0,S43)+P44)*C44*VARIABLES!$B$46)</f>
        <v/>
      </c>
      <c r="S44" s="30">
        <f>IF($A44&lt;VARIABLES!$B$42,0,(IF($A44=VARIABLES!$B$42,0,S43)+P44)*(1+C44)-R44)</f>
        <v/>
      </c>
      <c r="T44" s="31">
        <f>IF($A44&lt;VARIABLES!$B$50,0,MIN(VARIABLES!$B$49,INT(($A44-VARIABLES!$B$50)/VARIABLES!$B$51)+1)*VARIABLES!$B$52)</f>
        <v/>
      </c>
      <c r="U44" s="30">
        <f>T44*VARIABLES!$B$54+IF(AND($A44&gt;=VARIABLES!$B$50,MOD($A44-VARIABLES!$B$50,VARIABLES!$B$51)=0,INT(($A44-VARIABLES!$B$50)/VARIABLES!$B$51)&lt;VARIABLES!$B$49),VARIABLES!$B$52*VARIABLES!$B$53,0)</f>
        <v/>
      </c>
      <c r="V44" s="30">
        <f>U44*VARIABLES!$B$55</f>
        <v/>
      </c>
      <c r="W44" s="30">
        <f>IF($A44&lt;VARIABLES!$B$50,0,(IF($A44&lt;VARIABLES!$B$50+1,0,X43)+U44)*C44*VARIABLES!$B$56)</f>
        <v/>
      </c>
      <c r="X44" s="30">
        <f>IF($A44&lt;VARIABLES!$B$50,0,(IF($A44&lt;VARIABLES!$B$50+1,0,X43)+U44)*(1+C44)-W44)</f>
        <v/>
      </c>
      <c r="Y44" s="30">
        <f>D44+H44+L44+P44+U44</f>
        <v/>
      </c>
      <c r="Z44" s="30">
        <f>E44+I44+M44+Q44+V44</f>
        <v/>
      </c>
      <c r="AA44" s="30">
        <f>F44+J44+N44+R44+W44</f>
        <v/>
      </c>
      <c r="AB44" s="32">
        <f>Z44+AA44</f>
        <v/>
      </c>
      <c r="AC44" s="33">
        <f>G44+K44+O44+S44+X44</f>
        <v/>
      </c>
      <c r="AD44" s="30">
        <f>IF($A44=1,VARIABLES!$B$12,0)</f>
        <v/>
      </c>
      <c r="AE44" s="30">
        <f>IF($A44&lt;=3,VARIABLES!$B$13,IF($A44&lt;=6,VARIABLES!$B$14,VARIABLES!$B$15))</f>
        <v/>
      </c>
      <c r="AF44" s="30">
        <f>IF(MOD($A44,12)=0,AC44*VARIABLES!$B$16,0)</f>
        <v/>
      </c>
      <c r="AG44" s="30">
        <f>VARIABLES!$B$17</f>
        <v/>
      </c>
      <c r="AH44" s="30">
        <f>IF(MOD($A44,12)=0,VARIABLES!$B$18,0)</f>
        <v/>
      </c>
      <c r="AI44" s="34">
        <f>AD44+AE44+AF44+AG44+AH44</f>
        <v/>
      </c>
      <c r="AJ44" s="35">
        <f>IF($A44&lt;VARIABLES!$B$7,VARIABLES!$B$9,0)</f>
        <v/>
      </c>
      <c r="AK44" s="36">
        <f>AB44-AI44-AJ44</f>
        <v/>
      </c>
      <c r="AL44" s="36">
        <f>AL43+AK44</f>
        <v/>
      </c>
      <c r="AM44" s="37">
        <f>AM43+AJ44</f>
        <v/>
      </c>
    </row>
    <row r="45">
      <c r="A45" s="38" t="n">
        <v>42</v>
      </c>
      <c r="B45" s="39">
        <f>TEXT(DATE(VARIABLES!$B$60+INT((VARIABLES!$B$61+A45-2)/12),MOD(VARIABLES!$B$61+A45-2,12)+1,1),"mmm-yy")</f>
        <v/>
      </c>
      <c r="C45" s="40">
        <f>IF($A45&lt;VARIABLES!$B$7,VARIABLES!$B$5/12,VARIABLES!$B$6/12)</f>
        <v/>
      </c>
      <c r="D45" s="41">
        <f>IF($A45&lt;VARIABLES!$B$21,0,IF($A45=VARIABLES!$B$21,VARIABLES!$B$22+VARIABLES!$B$23,VARIABLES!$B$23))</f>
        <v/>
      </c>
      <c r="E45" s="41">
        <f>D45*VARIABLES!$B$24</f>
        <v/>
      </c>
      <c r="F45" s="41">
        <f>IF($A45&lt;VARIABLES!$B$21,0,(IF($A45=VARIABLES!$B$21,0,G44)+D45)*C45*VARIABLES!$B$25)</f>
        <v/>
      </c>
      <c r="G45" s="41">
        <f>IF($A45&lt;VARIABLES!$B$21,0,(IF($A45=VARIABLES!$B$21,0,G44)+D45)*(1+C45)-F45)</f>
        <v/>
      </c>
      <c r="H45" s="41">
        <f>IF($A45&lt;VARIABLES!$B$28,0,IF($A45=VARIABLES!$B$28,VARIABLES!$B$29+VARIABLES!$B$30,VARIABLES!$B$30))</f>
        <v/>
      </c>
      <c r="I45" s="41">
        <f>H45*VARIABLES!$B$31</f>
        <v/>
      </c>
      <c r="J45" s="41">
        <f>IF($A45&lt;VARIABLES!$B$28,0,(IF($A45=VARIABLES!$B$28,0,K44)+H45)*C45*VARIABLES!$B$32)</f>
        <v/>
      </c>
      <c r="K45" s="41">
        <f>IF($A45&lt;VARIABLES!$B$28,0,(IF($A45=VARIABLES!$B$28,0,K44)+H45)*(1+C45)-J45)</f>
        <v/>
      </c>
      <c r="L45" s="41">
        <f>IF($A45&lt;VARIABLES!$B$35,0,IF($A45=VARIABLES!$B$35,VARIABLES!$B$36+VARIABLES!$B$37,VARIABLES!$B$37))</f>
        <v/>
      </c>
      <c r="M45" s="41">
        <f>L45*VARIABLES!$B$38</f>
        <v/>
      </c>
      <c r="N45" s="41">
        <f>IF($A45&lt;VARIABLES!$B$35,0,(IF($A45=VARIABLES!$B$35,0,O44)+L45)*C45*VARIABLES!$B$39)</f>
        <v/>
      </c>
      <c r="O45" s="41">
        <f>IF($A45&lt;VARIABLES!$B$35,0,(IF($A45=VARIABLES!$B$35,0,O44)+L45)*(1+C45)-N45)</f>
        <v/>
      </c>
      <c r="P45" s="41">
        <f>IF($A45&lt;VARIABLES!$B$42,0,IF($A45=VARIABLES!$B$42,VARIABLES!$B$43+VARIABLES!$B$44,VARIABLES!$B$44))</f>
        <v/>
      </c>
      <c r="Q45" s="41">
        <f>P45*VARIABLES!$B$45</f>
        <v/>
      </c>
      <c r="R45" s="41">
        <f>IF($A45&lt;VARIABLES!$B$42,0,(IF($A45=VARIABLES!$B$42,0,S44)+P45)*C45*VARIABLES!$B$46)</f>
        <v/>
      </c>
      <c r="S45" s="41">
        <f>IF($A45&lt;VARIABLES!$B$42,0,(IF($A45=VARIABLES!$B$42,0,S44)+P45)*(1+C45)-R45)</f>
        <v/>
      </c>
      <c r="T45" s="42">
        <f>IF($A45&lt;VARIABLES!$B$50,0,MIN(VARIABLES!$B$49,INT(($A45-VARIABLES!$B$50)/VARIABLES!$B$51)+1)*VARIABLES!$B$52)</f>
        <v/>
      </c>
      <c r="U45" s="41">
        <f>T45*VARIABLES!$B$54+IF(AND($A45&gt;=VARIABLES!$B$50,MOD($A45-VARIABLES!$B$50,VARIABLES!$B$51)=0,INT(($A45-VARIABLES!$B$50)/VARIABLES!$B$51)&lt;VARIABLES!$B$49),VARIABLES!$B$52*VARIABLES!$B$53,0)</f>
        <v/>
      </c>
      <c r="V45" s="41">
        <f>U45*VARIABLES!$B$55</f>
        <v/>
      </c>
      <c r="W45" s="41">
        <f>IF($A45&lt;VARIABLES!$B$50,0,(IF($A45&lt;VARIABLES!$B$50+1,0,X44)+U45)*C45*VARIABLES!$B$56)</f>
        <v/>
      </c>
      <c r="X45" s="41">
        <f>IF($A45&lt;VARIABLES!$B$50,0,(IF($A45&lt;VARIABLES!$B$50+1,0,X44)+U45)*(1+C45)-W45)</f>
        <v/>
      </c>
      <c r="Y45" s="41">
        <f>D45+H45+L45+P45+U45</f>
        <v/>
      </c>
      <c r="Z45" s="41">
        <f>E45+I45+M45+Q45+V45</f>
        <v/>
      </c>
      <c r="AA45" s="41">
        <f>F45+J45+N45+R45+W45</f>
        <v/>
      </c>
      <c r="AB45" s="32">
        <f>Z45+AA45</f>
        <v/>
      </c>
      <c r="AC45" s="33">
        <f>G45+K45+O45+S45+X45</f>
        <v/>
      </c>
      <c r="AD45" s="41">
        <f>IF($A45=1,VARIABLES!$B$12,0)</f>
        <v/>
      </c>
      <c r="AE45" s="41">
        <f>IF($A45&lt;=3,VARIABLES!$B$13,IF($A45&lt;=6,VARIABLES!$B$14,VARIABLES!$B$15))</f>
        <v/>
      </c>
      <c r="AF45" s="41">
        <f>IF(MOD($A45,12)=0,AC45*VARIABLES!$B$16,0)</f>
        <v/>
      </c>
      <c r="AG45" s="41">
        <f>VARIABLES!$B$17</f>
        <v/>
      </c>
      <c r="AH45" s="41">
        <f>IF(MOD($A45,12)=0,VARIABLES!$B$18,0)</f>
        <v/>
      </c>
      <c r="AI45" s="34">
        <f>AD45+AE45+AF45+AG45+AH45</f>
        <v/>
      </c>
      <c r="AJ45" s="35">
        <f>IF($A45&lt;VARIABLES!$B$7,VARIABLES!$B$9,0)</f>
        <v/>
      </c>
      <c r="AK45" s="43">
        <f>AB45-AI45-AJ45</f>
        <v/>
      </c>
      <c r="AL45" s="43">
        <f>AL44+AK45</f>
        <v/>
      </c>
      <c r="AM45" s="37">
        <f>AM44+AJ45</f>
        <v/>
      </c>
    </row>
    <row r="46">
      <c r="A46" s="27" t="n">
        <v>43</v>
      </c>
      <c r="B46" s="28">
        <f>TEXT(DATE(VARIABLES!$B$60+INT((VARIABLES!$B$61+A46-2)/12),MOD(VARIABLES!$B$61+A46-2,12)+1,1),"mmm-yy")</f>
        <v/>
      </c>
      <c r="C46" s="29">
        <f>IF($A46&lt;VARIABLES!$B$7,VARIABLES!$B$5/12,VARIABLES!$B$6/12)</f>
        <v/>
      </c>
      <c r="D46" s="30">
        <f>IF($A46&lt;VARIABLES!$B$21,0,IF($A46=VARIABLES!$B$21,VARIABLES!$B$22+VARIABLES!$B$23,VARIABLES!$B$23))</f>
        <v/>
      </c>
      <c r="E46" s="30">
        <f>D46*VARIABLES!$B$24</f>
        <v/>
      </c>
      <c r="F46" s="30">
        <f>IF($A46&lt;VARIABLES!$B$21,0,(IF($A46=VARIABLES!$B$21,0,G45)+D46)*C46*VARIABLES!$B$25)</f>
        <v/>
      </c>
      <c r="G46" s="30">
        <f>IF($A46&lt;VARIABLES!$B$21,0,(IF($A46=VARIABLES!$B$21,0,G45)+D46)*(1+C46)-F46)</f>
        <v/>
      </c>
      <c r="H46" s="30">
        <f>IF($A46&lt;VARIABLES!$B$28,0,IF($A46=VARIABLES!$B$28,VARIABLES!$B$29+VARIABLES!$B$30,VARIABLES!$B$30))</f>
        <v/>
      </c>
      <c r="I46" s="30">
        <f>H46*VARIABLES!$B$31</f>
        <v/>
      </c>
      <c r="J46" s="30">
        <f>IF($A46&lt;VARIABLES!$B$28,0,(IF($A46=VARIABLES!$B$28,0,K45)+H46)*C46*VARIABLES!$B$32)</f>
        <v/>
      </c>
      <c r="K46" s="30">
        <f>IF($A46&lt;VARIABLES!$B$28,0,(IF($A46=VARIABLES!$B$28,0,K45)+H46)*(1+C46)-J46)</f>
        <v/>
      </c>
      <c r="L46" s="30">
        <f>IF($A46&lt;VARIABLES!$B$35,0,IF($A46=VARIABLES!$B$35,VARIABLES!$B$36+VARIABLES!$B$37,VARIABLES!$B$37))</f>
        <v/>
      </c>
      <c r="M46" s="30">
        <f>L46*VARIABLES!$B$38</f>
        <v/>
      </c>
      <c r="N46" s="30">
        <f>IF($A46&lt;VARIABLES!$B$35,0,(IF($A46=VARIABLES!$B$35,0,O45)+L46)*C46*VARIABLES!$B$39)</f>
        <v/>
      </c>
      <c r="O46" s="30">
        <f>IF($A46&lt;VARIABLES!$B$35,0,(IF($A46=VARIABLES!$B$35,0,O45)+L46)*(1+C46)-N46)</f>
        <v/>
      </c>
      <c r="P46" s="30">
        <f>IF($A46&lt;VARIABLES!$B$42,0,IF($A46=VARIABLES!$B$42,VARIABLES!$B$43+VARIABLES!$B$44,VARIABLES!$B$44))</f>
        <v/>
      </c>
      <c r="Q46" s="30">
        <f>P46*VARIABLES!$B$45</f>
        <v/>
      </c>
      <c r="R46" s="30">
        <f>IF($A46&lt;VARIABLES!$B$42,0,(IF($A46=VARIABLES!$B$42,0,S45)+P46)*C46*VARIABLES!$B$46)</f>
        <v/>
      </c>
      <c r="S46" s="30">
        <f>IF($A46&lt;VARIABLES!$B$42,0,(IF($A46=VARIABLES!$B$42,0,S45)+P46)*(1+C46)-R46)</f>
        <v/>
      </c>
      <c r="T46" s="31">
        <f>IF($A46&lt;VARIABLES!$B$50,0,MIN(VARIABLES!$B$49,INT(($A46-VARIABLES!$B$50)/VARIABLES!$B$51)+1)*VARIABLES!$B$52)</f>
        <v/>
      </c>
      <c r="U46" s="30">
        <f>T46*VARIABLES!$B$54+IF(AND($A46&gt;=VARIABLES!$B$50,MOD($A46-VARIABLES!$B$50,VARIABLES!$B$51)=0,INT(($A46-VARIABLES!$B$50)/VARIABLES!$B$51)&lt;VARIABLES!$B$49),VARIABLES!$B$52*VARIABLES!$B$53,0)</f>
        <v/>
      </c>
      <c r="V46" s="30">
        <f>U46*VARIABLES!$B$55</f>
        <v/>
      </c>
      <c r="W46" s="30">
        <f>IF($A46&lt;VARIABLES!$B$50,0,(IF($A46&lt;VARIABLES!$B$50+1,0,X45)+U46)*C46*VARIABLES!$B$56)</f>
        <v/>
      </c>
      <c r="X46" s="30">
        <f>IF($A46&lt;VARIABLES!$B$50,0,(IF($A46&lt;VARIABLES!$B$50+1,0,X45)+U46)*(1+C46)-W46)</f>
        <v/>
      </c>
      <c r="Y46" s="30">
        <f>D46+H46+L46+P46+U46</f>
        <v/>
      </c>
      <c r="Z46" s="30">
        <f>E46+I46+M46+Q46+V46</f>
        <v/>
      </c>
      <c r="AA46" s="30">
        <f>F46+J46+N46+R46+W46</f>
        <v/>
      </c>
      <c r="AB46" s="32">
        <f>Z46+AA46</f>
        <v/>
      </c>
      <c r="AC46" s="33">
        <f>G46+K46+O46+S46+X46</f>
        <v/>
      </c>
      <c r="AD46" s="30">
        <f>IF($A46=1,VARIABLES!$B$12,0)</f>
        <v/>
      </c>
      <c r="AE46" s="30">
        <f>IF($A46&lt;=3,VARIABLES!$B$13,IF($A46&lt;=6,VARIABLES!$B$14,VARIABLES!$B$15))</f>
        <v/>
      </c>
      <c r="AF46" s="30">
        <f>IF(MOD($A46,12)=0,AC46*VARIABLES!$B$16,0)</f>
        <v/>
      </c>
      <c r="AG46" s="30">
        <f>VARIABLES!$B$17</f>
        <v/>
      </c>
      <c r="AH46" s="30">
        <f>IF(MOD($A46,12)=0,VARIABLES!$B$18,0)</f>
        <v/>
      </c>
      <c r="AI46" s="34">
        <f>AD46+AE46+AF46+AG46+AH46</f>
        <v/>
      </c>
      <c r="AJ46" s="35">
        <f>IF($A46&lt;VARIABLES!$B$7,VARIABLES!$B$9,0)</f>
        <v/>
      </c>
      <c r="AK46" s="36">
        <f>AB46-AI46-AJ46</f>
        <v/>
      </c>
      <c r="AL46" s="36">
        <f>AL45+AK46</f>
        <v/>
      </c>
      <c r="AM46" s="37">
        <f>AM45+AJ46</f>
        <v/>
      </c>
    </row>
    <row r="47">
      <c r="A47" s="38" t="n">
        <v>44</v>
      </c>
      <c r="B47" s="39">
        <f>TEXT(DATE(VARIABLES!$B$60+INT((VARIABLES!$B$61+A47-2)/12),MOD(VARIABLES!$B$61+A47-2,12)+1,1),"mmm-yy")</f>
        <v/>
      </c>
      <c r="C47" s="40">
        <f>IF($A47&lt;VARIABLES!$B$7,VARIABLES!$B$5/12,VARIABLES!$B$6/12)</f>
        <v/>
      </c>
      <c r="D47" s="41">
        <f>IF($A47&lt;VARIABLES!$B$21,0,IF($A47=VARIABLES!$B$21,VARIABLES!$B$22+VARIABLES!$B$23,VARIABLES!$B$23))</f>
        <v/>
      </c>
      <c r="E47" s="41">
        <f>D47*VARIABLES!$B$24</f>
        <v/>
      </c>
      <c r="F47" s="41">
        <f>IF($A47&lt;VARIABLES!$B$21,0,(IF($A47=VARIABLES!$B$21,0,G46)+D47)*C47*VARIABLES!$B$25)</f>
        <v/>
      </c>
      <c r="G47" s="41">
        <f>IF($A47&lt;VARIABLES!$B$21,0,(IF($A47=VARIABLES!$B$21,0,G46)+D47)*(1+C47)-F47)</f>
        <v/>
      </c>
      <c r="H47" s="41">
        <f>IF($A47&lt;VARIABLES!$B$28,0,IF($A47=VARIABLES!$B$28,VARIABLES!$B$29+VARIABLES!$B$30,VARIABLES!$B$30))</f>
        <v/>
      </c>
      <c r="I47" s="41">
        <f>H47*VARIABLES!$B$31</f>
        <v/>
      </c>
      <c r="J47" s="41">
        <f>IF($A47&lt;VARIABLES!$B$28,0,(IF($A47=VARIABLES!$B$28,0,K46)+H47)*C47*VARIABLES!$B$32)</f>
        <v/>
      </c>
      <c r="K47" s="41">
        <f>IF($A47&lt;VARIABLES!$B$28,0,(IF($A47=VARIABLES!$B$28,0,K46)+H47)*(1+C47)-J47)</f>
        <v/>
      </c>
      <c r="L47" s="41">
        <f>IF($A47&lt;VARIABLES!$B$35,0,IF($A47=VARIABLES!$B$35,VARIABLES!$B$36+VARIABLES!$B$37,VARIABLES!$B$37))</f>
        <v/>
      </c>
      <c r="M47" s="41">
        <f>L47*VARIABLES!$B$38</f>
        <v/>
      </c>
      <c r="N47" s="41">
        <f>IF($A47&lt;VARIABLES!$B$35,0,(IF($A47=VARIABLES!$B$35,0,O46)+L47)*C47*VARIABLES!$B$39)</f>
        <v/>
      </c>
      <c r="O47" s="41">
        <f>IF($A47&lt;VARIABLES!$B$35,0,(IF($A47=VARIABLES!$B$35,0,O46)+L47)*(1+C47)-N47)</f>
        <v/>
      </c>
      <c r="P47" s="41">
        <f>IF($A47&lt;VARIABLES!$B$42,0,IF($A47=VARIABLES!$B$42,VARIABLES!$B$43+VARIABLES!$B$44,VARIABLES!$B$44))</f>
        <v/>
      </c>
      <c r="Q47" s="41">
        <f>P47*VARIABLES!$B$45</f>
        <v/>
      </c>
      <c r="R47" s="41">
        <f>IF($A47&lt;VARIABLES!$B$42,0,(IF($A47=VARIABLES!$B$42,0,S46)+P47)*C47*VARIABLES!$B$46)</f>
        <v/>
      </c>
      <c r="S47" s="41">
        <f>IF($A47&lt;VARIABLES!$B$42,0,(IF($A47=VARIABLES!$B$42,0,S46)+P47)*(1+C47)-R47)</f>
        <v/>
      </c>
      <c r="T47" s="42">
        <f>IF($A47&lt;VARIABLES!$B$50,0,MIN(VARIABLES!$B$49,INT(($A47-VARIABLES!$B$50)/VARIABLES!$B$51)+1)*VARIABLES!$B$52)</f>
        <v/>
      </c>
      <c r="U47" s="41">
        <f>T47*VARIABLES!$B$54+IF(AND($A47&gt;=VARIABLES!$B$50,MOD($A47-VARIABLES!$B$50,VARIABLES!$B$51)=0,INT(($A47-VARIABLES!$B$50)/VARIABLES!$B$51)&lt;VARIABLES!$B$49),VARIABLES!$B$52*VARIABLES!$B$53,0)</f>
        <v/>
      </c>
      <c r="V47" s="41">
        <f>U47*VARIABLES!$B$55</f>
        <v/>
      </c>
      <c r="W47" s="41">
        <f>IF($A47&lt;VARIABLES!$B$50,0,(IF($A47&lt;VARIABLES!$B$50+1,0,X46)+U47)*C47*VARIABLES!$B$56)</f>
        <v/>
      </c>
      <c r="X47" s="41">
        <f>IF($A47&lt;VARIABLES!$B$50,0,(IF($A47&lt;VARIABLES!$B$50+1,0,X46)+U47)*(1+C47)-W47)</f>
        <v/>
      </c>
      <c r="Y47" s="41">
        <f>D47+H47+L47+P47+U47</f>
        <v/>
      </c>
      <c r="Z47" s="41">
        <f>E47+I47+M47+Q47+V47</f>
        <v/>
      </c>
      <c r="AA47" s="41">
        <f>F47+J47+N47+R47+W47</f>
        <v/>
      </c>
      <c r="AB47" s="32">
        <f>Z47+AA47</f>
        <v/>
      </c>
      <c r="AC47" s="33">
        <f>G47+K47+O47+S47+X47</f>
        <v/>
      </c>
      <c r="AD47" s="41">
        <f>IF($A47=1,VARIABLES!$B$12,0)</f>
        <v/>
      </c>
      <c r="AE47" s="41">
        <f>IF($A47&lt;=3,VARIABLES!$B$13,IF($A47&lt;=6,VARIABLES!$B$14,VARIABLES!$B$15))</f>
        <v/>
      </c>
      <c r="AF47" s="41">
        <f>IF(MOD($A47,12)=0,AC47*VARIABLES!$B$16,0)</f>
        <v/>
      </c>
      <c r="AG47" s="41">
        <f>VARIABLES!$B$17</f>
        <v/>
      </c>
      <c r="AH47" s="41">
        <f>IF(MOD($A47,12)=0,VARIABLES!$B$18,0)</f>
        <v/>
      </c>
      <c r="AI47" s="34">
        <f>AD47+AE47+AF47+AG47+AH47</f>
        <v/>
      </c>
      <c r="AJ47" s="35">
        <f>IF($A47&lt;VARIABLES!$B$7,VARIABLES!$B$9,0)</f>
        <v/>
      </c>
      <c r="AK47" s="43">
        <f>AB47-AI47-AJ47</f>
        <v/>
      </c>
      <c r="AL47" s="43">
        <f>AL46+AK47</f>
        <v/>
      </c>
      <c r="AM47" s="37">
        <f>AM46+AJ47</f>
        <v/>
      </c>
    </row>
    <row r="48">
      <c r="A48" s="27" t="n">
        <v>45</v>
      </c>
      <c r="B48" s="28">
        <f>TEXT(DATE(VARIABLES!$B$60+INT((VARIABLES!$B$61+A48-2)/12),MOD(VARIABLES!$B$61+A48-2,12)+1,1),"mmm-yy")</f>
        <v/>
      </c>
      <c r="C48" s="29">
        <f>IF($A48&lt;VARIABLES!$B$7,VARIABLES!$B$5/12,VARIABLES!$B$6/12)</f>
        <v/>
      </c>
      <c r="D48" s="30">
        <f>IF($A48&lt;VARIABLES!$B$21,0,IF($A48=VARIABLES!$B$21,VARIABLES!$B$22+VARIABLES!$B$23,VARIABLES!$B$23))</f>
        <v/>
      </c>
      <c r="E48" s="30">
        <f>D48*VARIABLES!$B$24</f>
        <v/>
      </c>
      <c r="F48" s="30">
        <f>IF($A48&lt;VARIABLES!$B$21,0,(IF($A48=VARIABLES!$B$21,0,G47)+D48)*C48*VARIABLES!$B$25)</f>
        <v/>
      </c>
      <c r="G48" s="30">
        <f>IF($A48&lt;VARIABLES!$B$21,0,(IF($A48=VARIABLES!$B$21,0,G47)+D48)*(1+C48)-F48)</f>
        <v/>
      </c>
      <c r="H48" s="30">
        <f>IF($A48&lt;VARIABLES!$B$28,0,IF($A48=VARIABLES!$B$28,VARIABLES!$B$29+VARIABLES!$B$30,VARIABLES!$B$30))</f>
        <v/>
      </c>
      <c r="I48" s="30">
        <f>H48*VARIABLES!$B$31</f>
        <v/>
      </c>
      <c r="J48" s="30">
        <f>IF($A48&lt;VARIABLES!$B$28,0,(IF($A48=VARIABLES!$B$28,0,K47)+H48)*C48*VARIABLES!$B$32)</f>
        <v/>
      </c>
      <c r="K48" s="30">
        <f>IF($A48&lt;VARIABLES!$B$28,0,(IF($A48=VARIABLES!$B$28,0,K47)+H48)*(1+C48)-J48)</f>
        <v/>
      </c>
      <c r="L48" s="30">
        <f>IF($A48&lt;VARIABLES!$B$35,0,IF($A48=VARIABLES!$B$35,VARIABLES!$B$36+VARIABLES!$B$37,VARIABLES!$B$37))</f>
        <v/>
      </c>
      <c r="M48" s="30">
        <f>L48*VARIABLES!$B$38</f>
        <v/>
      </c>
      <c r="N48" s="30">
        <f>IF($A48&lt;VARIABLES!$B$35,0,(IF($A48=VARIABLES!$B$35,0,O47)+L48)*C48*VARIABLES!$B$39)</f>
        <v/>
      </c>
      <c r="O48" s="30">
        <f>IF($A48&lt;VARIABLES!$B$35,0,(IF($A48=VARIABLES!$B$35,0,O47)+L48)*(1+C48)-N48)</f>
        <v/>
      </c>
      <c r="P48" s="30">
        <f>IF($A48&lt;VARIABLES!$B$42,0,IF($A48=VARIABLES!$B$42,VARIABLES!$B$43+VARIABLES!$B$44,VARIABLES!$B$44))</f>
        <v/>
      </c>
      <c r="Q48" s="30">
        <f>P48*VARIABLES!$B$45</f>
        <v/>
      </c>
      <c r="R48" s="30">
        <f>IF($A48&lt;VARIABLES!$B$42,0,(IF($A48=VARIABLES!$B$42,0,S47)+P48)*C48*VARIABLES!$B$46)</f>
        <v/>
      </c>
      <c r="S48" s="30">
        <f>IF($A48&lt;VARIABLES!$B$42,0,(IF($A48=VARIABLES!$B$42,0,S47)+P48)*(1+C48)-R48)</f>
        <v/>
      </c>
      <c r="T48" s="31">
        <f>IF($A48&lt;VARIABLES!$B$50,0,MIN(VARIABLES!$B$49,INT(($A48-VARIABLES!$B$50)/VARIABLES!$B$51)+1)*VARIABLES!$B$52)</f>
        <v/>
      </c>
      <c r="U48" s="30">
        <f>T48*VARIABLES!$B$54+IF(AND($A48&gt;=VARIABLES!$B$50,MOD($A48-VARIABLES!$B$50,VARIABLES!$B$51)=0,INT(($A48-VARIABLES!$B$50)/VARIABLES!$B$51)&lt;VARIABLES!$B$49),VARIABLES!$B$52*VARIABLES!$B$53,0)</f>
        <v/>
      </c>
      <c r="V48" s="30">
        <f>U48*VARIABLES!$B$55</f>
        <v/>
      </c>
      <c r="W48" s="30">
        <f>IF($A48&lt;VARIABLES!$B$50,0,(IF($A48&lt;VARIABLES!$B$50+1,0,X47)+U48)*C48*VARIABLES!$B$56)</f>
        <v/>
      </c>
      <c r="X48" s="30">
        <f>IF($A48&lt;VARIABLES!$B$50,0,(IF($A48&lt;VARIABLES!$B$50+1,0,X47)+U48)*(1+C48)-W48)</f>
        <v/>
      </c>
      <c r="Y48" s="30">
        <f>D48+H48+L48+P48+U48</f>
        <v/>
      </c>
      <c r="Z48" s="30">
        <f>E48+I48+M48+Q48+V48</f>
        <v/>
      </c>
      <c r="AA48" s="30">
        <f>F48+J48+N48+R48+W48</f>
        <v/>
      </c>
      <c r="AB48" s="32">
        <f>Z48+AA48</f>
        <v/>
      </c>
      <c r="AC48" s="33">
        <f>G48+K48+O48+S48+X48</f>
        <v/>
      </c>
      <c r="AD48" s="30">
        <f>IF($A48=1,VARIABLES!$B$12,0)</f>
        <v/>
      </c>
      <c r="AE48" s="30">
        <f>IF($A48&lt;=3,VARIABLES!$B$13,IF($A48&lt;=6,VARIABLES!$B$14,VARIABLES!$B$15))</f>
        <v/>
      </c>
      <c r="AF48" s="30">
        <f>IF(MOD($A48,12)=0,AC48*VARIABLES!$B$16,0)</f>
        <v/>
      </c>
      <c r="AG48" s="30">
        <f>VARIABLES!$B$17</f>
        <v/>
      </c>
      <c r="AH48" s="30">
        <f>IF(MOD($A48,12)=0,VARIABLES!$B$18,0)</f>
        <v/>
      </c>
      <c r="AI48" s="34">
        <f>AD48+AE48+AF48+AG48+AH48</f>
        <v/>
      </c>
      <c r="AJ48" s="35">
        <f>IF($A48&lt;VARIABLES!$B$7,VARIABLES!$B$9,0)</f>
        <v/>
      </c>
      <c r="AK48" s="36">
        <f>AB48-AI48-AJ48</f>
        <v/>
      </c>
      <c r="AL48" s="36">
        <f>AL47+AK48</f>
        <v/>
      </c>
      <c r="AM48" s="37">
        <f>AM47+AJ48</f>
        <v/>
      </c>
    </row>
    <row r="49">
      <c r="A49" s="38" t="n">
        <v>46</v>
      </c>
      <c r="B49" s="39">
        <f>TEXT(DATE(VARIABLES!$B$60+INT((VARIABLES!$B$61+A49-2)/12),MOD(VARIABLES!$B$61+A49-2,12)+1,1),"mmm-yy")</f>
        <v/>
      </c>
      <c r="C49" s="40">
        <f>IF($A49&lt;VARIABLES!$B$7,VARIABLES!$B$5/12,VARIABLES!$B$6/12)</f>
        <v/>
      </c>
      <c r="D49" s="41">
        <f>IF($A49&lt;VARIABLES!$B$21,0,IF($A49=VARIABLES!$B$21,VARIABLES!$B$22+VARIABLES!$B$23,VARIABLES!$B$23))</f>
        <v/>
      </c>
      <c r="E49" s="41">
        <f>D49*VARIABLES!$B$24</f>
        <v/>
      </c>
      <c r="F49" s="41">
        <f>IF($A49&lt;VARIABLES!$B$21,0,(IF($A49=VARIABLES!$B$21,0,G48)+D49)*C49*VARIABLES!$B$25)</f>
        <v/>
      </c>
      <c r="G49" s="41">
        <f>IF($A49&lt;VARIABLES!$B$21,0,(IF($A49=VARIABLES!$B$21,0,G48)+D49)*(1+C49)-F49)</f>
        <v/>
      </c>
      <c r="H49" s="41">
        <f>IF($A49&lt;VARIABLES!$B$28,0,IF($A49=VARIABLES!$B$28,VARIABLES!$B$29+VARIABLES!$B$30,VARIABLES!$B$30))</f>
        <v/>
      </c>
      <c r="I49" s="41">
        <f>H49*VARIABLES!$B$31</f>
        <v/>
      </c>
      <c r="J49" s="41">
        <f>IF($A49&lt;VARIABLES!$B$28,0,(IF($A49=VARIABLES!$B$28,0,K48)+H49)*C49*VARIABLES!$B$32)</f>
        <v/>
      </c>
      <c r="K49" s="41">
        <f>IF($A49&lt;VARIABLES!$B$28,0,(IF($A49=VARIABLES!$B$28,0,K48)+H49)*(1+C49)-J49)</f>
        <v/>
      </c>
      <c r="L49" s="41">
        <f>IF($A49&lt;VARIABLES!$B$35,0,IF($A49=VARIABLES!$B$35,VARIABLES!$B$36+VARIABLES!$B$37,VARIABLES!$B$37))</f>
        <v/>
      </c>
      <c r="M49" s="41">
        <f>L49*VARIABLES!$B$38</f>
        <v/>
      </c>
      <c r="N49" s="41">
        <f>IF($A49&lt;VARIABLES!$B$35,0,(IF($A49=VARIABLES!$B$35,0,O48)+L49)*C49*VARIABLES!$B$39)</f>
        <v/>
      </c>
      <c r="O49" s="41">
        <f>IF($A49&lt;VARIABLES!$B$35,0,(IF($A49=VARIABLES!$B$35,0,O48)+L49)*(1+C49)-N49)</f>
        <v/>
      </c>
      <c r="P49" s="41">
        <f>IF($A49&lt;VARIABLES!$B$42,0,IF($A49=VARIABLES!$B$42,VARIABLES!$B$43+VARIABLES!$B$44,VARIABLES!$B$44))</f>
        <v/>
      </c>
      <c r="Q49" s="41">
        <f>P49*VARIABLES!$B$45</f>
        <v/>
      </c>
      <c r="R49" s="41">
        <f>IF($A49&lt;VARIABLES!$B$42,0,(IF($A49=VARIABLES!$B$42,0,S48)+P49)*C49*VARIABLES!$B$46)</f>
        <v/>
      </c>
      <c r="S49" s="41">
        <f>IF($A49&lt;VARIABLES!$B$42,0,(IF($A49=VARIABLES!$B$42,0,S48)+P49)*(1+C49)-R49)</f>
        <v/>
      </c>
      <c r="T49" s="42">
        <f>IF($A49&lt;VARIABLES!$B$50,0,MIN(VARIABLES!$B$49,INT(($A49-VARIABLES!$B$50)/VARIABLES!$B$51)+1)*VARIABLES!$B$52)</f>
        <v/>
      </c>
      <c r="U49" s="41">
        <f>T49*VARIABLES!$B$54+IF(AND($A49&gt;=VARIABLES!$B$50,MOD($A49-VARIABLES!$B$50,VARIABLES!$B$51)=0,INT(($A49-VARIABLES!$B$50)/VARIABLES!$B$51)&lt;VARIABLES!$B$49),VARIABLES!$B$52*VARIABLES!$B$53,0)</f>
        <v/>
      </c>
      <c r="V49" s="41">
        <f>U49*VARIABLES!$B$55</f>
        <v/>
      </c>
      <c r="W49" s="41">
        <f>IF($A49&lt;VARIABLES!$B$50,0,(IF($A49&lt;VARIABLES!$B$50+1,0,X48)+U49)*C49*VARIABLES!$B$56)</f>
        <v/>
      </c>
      <c r="X49" s="41">
        <f>IF($A49&lt;VARIABLES!$B$50,0,(IF($A49&lt;VARIABLES!$B$50+1,0,X48)+U49)*(1+C49)-W49)</f>
        <v/>
      </c>
      <c r="Y49" s="41">
        <f>D49+H49+L49+P49+U49</f>
        <v/>
      </c>
      <c r="Z49" s="41">
        <f>E49+I49+M49+Q49+V49</f>
        <v/>
      </c>
      <c r="AA49" s="41">
        <f>F49+J49+N49+R49+W49</f>
        <v/>
      </c>
      <c r="AB49" s="32">
        <f>Z49+AA49</f>
        <v/>
      </c>
      <c r="AC49" s="33">
        <f>G49+K49+O49+S49+X49</f>
        <v/>
      </c>
      <c r="AD49" s="41">
        <f>IF($A49=1,VARIABLES!$B$12,0)</f>
        <v/>
      </c>
      <c r="AE49" s="41">
        <f>IF($A49&lt;=3,VARIABLES!$B$13,IF($A49&lt;=6,VARIABLES!$B$14,VARIABLES!$B$15))</f>
        <v/>
      </c>
      <c r="AF49" s="41">
        <f>IF(MOD($A49,12)=0,AC49*VARIABLES!$B$16,0)</f>
        <v/>
      </c>
      <c r="AG49" s="41">
        <f>VARIABLES!$B$17</f>
        <v/>
      </c>
      <c r="AH49" s="41">
        <f>IF(MOD($A49,12)=0,VARIABLES!$B$18,0)</f>
        <v/>
      </c>
      <c r="AI49" s="34">
        <f>AD49+AE49+AF49+AG49+AH49</f>
        <v/>
      </c>
      <c r="AJ49" s="35">
        <f>IF($A49&lt;VARIABLES!$B$7,VARIABLES!$B$9,0)</f>
        <v/>
      </c>
      <c r="AK49" s="43">
        <f>AB49-AI49-AJ49</f>
        <v/>
      </c>
      <c r="AL49" s="43">
        <f>AL48+AK49</f>
        <v/>
      </c>
      <c r="AM49" s="37">
        <f>AM48+AJ49</f>
        <v/>
      </c>
    </row>
    <row r="50">
      <c r="A50" s="27" t="n">
        <v>47</v>
      </c>
      <c r="B50" s="28">
        <f>TEXT(DATE(VARIABLES!$B$60+INT((VARIABLES!$B$61+A50-2)/12),MOD(VARIABLES!$B$61+A50-2,12)+1,1),"mmm-yy")</f>
        <v/>
      </c>
      <c r="C50" s="29">
        <f>IF($A50&lt;VARIABLES!$B$7,VARIABLES!$B$5/12,VARIABLES!$B$6/12)</f>
        <v/>
      </c>
      <c r="D50" s="30">
        <f>IF($A50&lt;VARIABLES!$B$21,0,IF($A50=VARIABLES!$B$21,VARIABLES!$B$22+VARIABLES!$B$23,VARIABLES!$B$23))</f>
        <v/>
      </c>
      <c r="E50" s="30">
        <f>D50*VARIABLES!$B$24</f>
        <v/>
      </c>
      <c r="F50" s="30">
        <f>IF($A50&lt;VARIABLES!$B$21,0,(IF($A50=VARIABLES!$B$21,0,G49)+D50)*C50*VARIABLES!$B$25)</f>
        <v/>
      </c>
      <c r="G50" s="30">
        <f>IF($A50&lt;VARIABLES!$B$21,0,(IF($A50=VARIABLES!$B$21,0,G49)+D50)*(1+C50)-F50)</f>
        <v/>
      </c>
      <c r="H50" s="30">
        <f>IF($A50&lt;VARIABLES!$B$28,0,IF($A50=VARIABLES!$B$28,VARIABLES!$B$29+VARIABLES!$B$30,VARIABLES!$B$30))</f>
        <v/>
      </c>
      <c r="I50" s="30">
        <f>H50*VARIABLES!$B$31</f>
        <v/>
      </c>
      <c r="J50" s="30">
        <f>IF($A50&lt;VARIABLES!$B$28,0,(IF($A50=VARIABLES!$B$28,0,K49)+H50)*C50*VARIABLES!$B$32)</f>
        <v/>
      </c>
      <c r="K50" s="30">
        <f>IF($A50&lt;VARIABLES!$B$28,0,(IF($A50=VARIABLES!$B$28,0,K49)+H50)*(1+C50)-J50)</f>
        <v/>
      </c>
      <c r="L50" s="30">
        <f>IF($A50&lt;VARIABLES!$B$35,0,IF($A50=VARIABLES!$B$35,VARIABLES!$B$36+VARIABLES!$B$37,VARIABLES!$B$37))</f>
        <v/>
      </c>
      <c r="M50" s="30">
        <f>L50*VARIABLES!$B$38</f>
        <v/>
      </c>
      <c r="N50" s="30">
        <f>IF($A50&lt;VARIABLES!$B$35,0,(IF($A50=VARIABLES!$B$35,0,O49)+L50)*C50*VARIABLES!$B$39)</f>
        <v/>
      </c>
      <c r="O50" s="30">
        <f>IF($A50&lt;VARIABLES!$B$35,0,(IF($A50=VARIABLES!$B$35,0,O49)+L50)*(1+C50)-N50)</f>
        <v/>
      </c>
      <c r="P50" s="30">
        <f>IF($A50&lt;VARIABLES!$B$42,0,IF($A50=VARIABLES!$B$42,VARIABLES!$B$43+VARIABLES!$B$44,VARIABLES!$B$44))</f>
        <v/>
      </c>
      <c r="Q50" s="30">
        <f>P50*VARIABLES!$B$45</f>
        <v/>
      </c>
      <c r="R50" s="30">
        <f>IF($A50&lt;VARIABLES!$B$42,0,(IF($A50=VARIABLES!$B$42,0,S49)+P50)*C50*VARIABLES!$B$46)</f>
        <v/>
      </c>
      <c r="S50" s="30">
        <f>IF($A50&lt;VARIABLES!$B$42,0,(IF($A50=VARIABLES!$B$42,0,S49)+P50)*(1+C50)-R50)</f>
        <v/>
      </c>
      <c r="T50" s="31">
        <f>IF($A50&lt;VARIABLES!$B$50,0,MIN(VARIABLES!$B$49,INT(($A50-VARIABLES!$B$50)/VARIABLES!$B$51)+1)*VARIABLES!$B$52)</f>
        <v/>
      </c>
      <c r="U50" s="30">
        <f>T50*VARIABLES!$B$54+IF(AND($A50&gt;=VARIABLES!$B$50,MOD($A50-VARIABLES!$B$50,VARIABLES!$B$51)=0,INT(($A50-VARIABLES!$B$50)/VARIABLES!$B$51)&lt;VARIABLES!$B$49),VARIABLES!$B$52*VARIABLES!$B$53,0)</f>
        <v/>
      </c>
      <c r="V50" s="30">
        <f>U50*VARIABLES!$B$55</f>
        <v/>
      </c>
      <c r="W50" s="30">
        <f>IF($A50&lt;VARIABLES!$B$50,0,(IF($A50&lt;VARIABLES!$B$50+1,0,X49)+U50)*C50*VARIABLES!$B$56)</f>
        <v/>
      </c>
      <c r="X50" s="30">
        <f>IF($A50&lt;VARIABLES!$B$50,0,(IF($A50&lt;VARIABLES!$B$50+1,0,X49)+U50)*(1+C50)-W50)</f>
        <v/>
      </c>
      <c r="Y50" s="30">
        <f>D50+H50+L50+P50+U50</f>
        <v/>
      </c>
      <c r="Z50" s="30">
        <f>E50+I50+M50+Q50+V50</f>
        <v/>
      </c>
      <c r="AA50" s="30">
        <f>F50+J50+N50+R50+W50</f>
        <v/>
      </c>
      <c r="AB50" s="32">
        <f>Z50+AA50</f>
        <v/>
      </c>
      <c r="AC50" s="33">
        <f>G50+K50+O50+S50+X50</f>
        <v/>
      </c>
      <c r="AD50" s="30">
        <f>IF($A50=1,VARIABLES!$B$12,0)</f>
        <v/>
      </c>
      <c r="AE50" s="30">
        <f>IF($A50&lt;=3,VARIABLES!$B$13,IF($A50&lt;=6,VARIABLES!$B$14,VARIABLES!$B$15))</f>
        <v/>
      </c>
      <c r="AF50" s="30">
        <f>IF(MOD($A50,12)=0,AC50*VARIABLES!$B$16,0)</f>
        <v/>
      </c>
      <c r="AG50" s="30">
        <f>VARIABLES!$B$17</f>
        <v/>
      </c>
      <c r="AH50" s="30">
        <f>IF(MOD($A50,12)=0,VARIABLES!$B$18,0)</f>
        <v/>
      </c>
      <c r="AI50" s="34">
        <f>AD50+AE50+AF50+AG50+AH50</f>
        <v/>
      </c>
      <c r="AJ50" s="35">
        <f>IF($A50&lt;VARIABLES!$B$7,VARIABLES!$B$9,0)</f>
        <v/>
      </c>
      <c r="AK50" s="36">
        <f>AB50-AI50-AJ50</f>
        <v/>
      </c>
      <c r="AL50" s="36">
        <f>AL49+AK50</f>
        <v/>
      </c>
      <c r="AM50" s="37">
        <f>AM49+AJ50</f>
        <v/>
      </c>
    </row>
    <row r="51">
      <c r="A51" s="38" t="n">
        <v>48</v>
      </c>
      <c r="B51" s="39">
        <f>TEXT(DATE(VARIABLES!$B$60+INT((VARIABLES!$B$61+A51-2)/12),MOD(VARIABLES!$B$61+A51-2,12)+1,1),"mmm-yy")</f>
        <v/>
      </c>
      <c r="C51" s="40">
        <f>IF($A51&lt;VARIABLES!$B$7,VARIABLES!$B$5/12,VARIABLES!$B$6/12)</f>
        <v/>
      </c>
      <c r="D51" s="41">
        <f>IF($A51&lt;VARIABLES!$B$21,0,IF($A51=VARIABLES!$B$21,VARIABLES!$B$22+VARIABLES!$B$23,VARIABLES!$B$23))</f>
        <v/>
      </c>
      <c r="E51" s="41">
        <f>D51*VARIABLES!$B$24</f>
        <v/>
      </c>
      <c r="F51" s="41">
        <f>IF($A51&lt;VARIABLES!$B$21,0,(IF($A51=VARIABLES!$B$21,0,G50)+D51)*C51*VARIABLES!$B$25)</f>
        <v/>
      </c>
      <c r="G51" s="41">
        <f>IF($A51&lt;VARIABLES!$B$21,0,(IF($A51=VARIABLES!$B$21,0,G50)+D51)*(1+C51)-F51)</f>
        <v/>
      </c>
      <c r="H51" s="41">
        <f>IF($A51&lt;VARIABLES!$B$28,0,IF($A51=VARIABLES!$B$28,VARIABLES!$B$29+VARIABLES!$B$30,VARIABLES!$B$30))</f>
        <v/>
      </c>
      <c r="I51" s="41">
        <f>H51*VARIABLES!$B$31</f>
        <v/>
      </c>
      <c r="J51" s="41">
        <f>IF($A51&lt;VARIABLES!$B$28,0,(IF($A51=VARIABLES!$B$28,0,K50)+H51)*C51*VARIABLES!$B$32)</f>
        <v/>
      </c>
      <c r="K51" s="41">
        <f>IF($A51&lt;VARIABLES!$B$28,0,(IF($A51=VARIABLES!$B$28,0,K50)+H51)*(1+C51)-J51)</f>
        <v/>
      </c>
      <c r="L51" s="41">
        <f>IF($A51&lt;VARIABLES!$B$35,0,IF($A51=VARIABLES!$B$35,VARIABLES!$B$36+VARIABLES!$B$37,VARIABLES!$B$37))</f>
        <v/>
      </c>
      <c r="M51" s="41">
        <f>L51*VARIABLES!$B$38</f>
        <v/>
      </c>
      <c r="N51" s="41">
        <f>IF($A51&lt;VARIABLES!$B$35,0,(IF($A51=VARIABLES!$B$35,0,O50)+L51)*C51*VARIABLES!$B$39)</f>
        <v/>
      </c>
      <c r="O51" s="41">
        <f>IF($A51&lt;VARIABLES!$B$35,0,(IF($A51=VARIABLES!$B$35,0,O50)+L51)*(1+C51)-N51)</f>
        <v/>
      </c>
      <c r="P51" s="41">
        <f>IF($A51&lt;VARIABLES!$B$42,0,IF($A51=VARIABLES!$B$42,VARIABLES!$B$43+VARIABLES!$B$44,VARIABLES!$B$44))</f>
        <v/>
      </c>
      <c r="Q51" s="41">
        <f>P51*VARIABLES!$B$45</f>
        <v/>
      </c>
      <c r="R51" s="41">
        <f>IF($A51&lt;VARIABLES!$B$42,0,(IF($A51=VARIABLES!$B$42,0,S50)+P51)*C51*VARIABLES!$B$46)</f>
        <v/>
      </c>
      <c r="S51" s="41">
        <f>IF($A51&lt;VARIABLES!$B$42,0,(IF($A51=VARIABLES!$B$42,0,S50)+P51)*(1+C51)-R51)</f>
        <v/>
      </c>
      <c r="T51" s="42">
        <f>IF($A51&lt;VARIABLES!$B$50,0,MIN(VARIABLES!$B$49,INT(($A51-VARIABLES!$B$50)/VARIABLES!$B$51)+1)*VARIABLES!$B$52)</f>
        <v/>
      </c>
      <c r="U51" s="41">
        <f>T51*VARIABLES!$B$54+IF(AND($A51&gt;=VARIABLES!$B$50,MOD($A51-VARIABLES!$B$50,VARIABLES!$B$51)=0,INT(($A51-VARIABLES!$B$50)/VARIABLES!$B$51)&lt;VARIABLES!$B$49),VARIABLES!$B$52*VARIABLES!$B$53,0)</f>
        <v/>
      </c>
      <c r="V51" s="41">
        <f>U51*VARIABLES!$B$55</f>
        <v/>
      </c>
      <c r="W51" s="41">
        <f>IF($A51&lt;VARIABLES!$B$50,0,(IF($A51&lt;VARIABLES!$B$50+1,0,X50)+U51)*C51*VARIABLES!$B$56)</f>
        <v/>
      </c>
      <c r="X51" s="41">
        <f>IF($A51&lt;VARIABLES!$B$50,0,(IF($A51&lt;VARIABLES!$B$50+1,0,X50)+U51)*(1+C51)-W51)</f>
        <v/>
      </c>
      <c r="Y51" s="41">
        <f>D51+H51+L51+P51+U51</f>
        <v/>
      </c>
      <c r="Z51" s="41">
        <f>E51+I51+M51+Q51+V51</f>
        <v/>
      </c>
      <c r="AA51" s="41">
        <f>F51+J51+N51+R51+W51</f>
        <v/>
      </c>
      <c r="AB51" s="32">
        <f>Z51+AA51</f>
        <v/>
      </c>
      <c r="AC51" s="33">
        <f>G51+K51+O51+S51+X51</f>
        <v/>
      </c>
      <c r="AD51" s="41">
        <f>IF($A51=1,VARIABLES!$B$12,0)</f>
        <v/>
      </c>
      <c r="AE51" s="41">
        <f>IF($A51&lt;=3,VARIABLES!$B$13,IF($A51&lt;=6,VARIABLES!$B$14,VARIABLES!$B$15))</f>
        <v/>
      </c>
      <c r="AF51" s="41">
        <f>IF(MOD($A51,12)=0,AC51*VARIABLES!$B$16,0)</f>
        <v/>
      </c>
      <c r="AG51" s="41">
        <f>VARIABLES!$B$17</f>
        <v/>
      </c>
      <c r="AH51" s="41">
        <f>IF(MOD($A51,12)=0,VARIABLES!$B$18,0)</f>
        <v/>
      </c>
      <c r="AI51" s="34">
        <f>AD51+AE51+AF51+AG51+AH51</f>
        <v/>
      </c>
      <c r="AJ51" s="35">
        <f>IF($A51&lt;VARIABLES!$B$7,VARIABLES!$B$9,0)</f>
        <v/>
      </c>
      <c r="AK51" s="43">
        <f>AB51-AI51-AJ51</f>
        <v/>
      </c>
      <c r="AL51" s="43">
        <f>AL50+AK51</f>
        <v/>
      </c>
      <c r="AM51" s="37">
        <f>AM50+AJ51</f>
        <v/>
      </c>
    </row>
    <row r="52">
      <c r="A52" s="44" t="inlineStr">
        <is>
          <t>TOTAL / FINAL</t>
        </is>
      </c>
      <c r="Y52" s="45">
        <f>SUM(Y4:Y51)</f>
        <v/>
      </c>
      <c r="Z52" s="45">
        <f>SUM(Z4:Z51)</f>
        <v/>
      </c>
      <c r="AA52" s="45">
        <f>SUM(AA4:AA51)</f>
        <v/>
      </c>
      <c r="AB52" s="45">
        <f>SUM(AB4:AB51)</f>
        <v/>
      </c>
      <c r="AC52" s="45">
        <f>AC51</f>
        <v/>
      </c>
      <c r="AD52" s="45">
        <f>SUM(AD4:AD51)</f>
        <v/>
      </c>
      <c r="AE52" s="45">
        <f>SUM(AE4:AE51)</f>
        <v/>
      </c>
      <c r="AF52" s="45">
        <f>SUM(AF4:AF51)</f>
        <v/>
      </c>
      <c r="AG52" s="45">
        <f>SUM(AG4:AG51)</f>
        <v/>
      </c>
      <c r="AH52" s="45">
        <f>SUM(AH4:AH51)</f>
        <v/>
      </c>
      <c r="AI52" s="45">
        <f>SUM(AI4:AI51)</f>
        <v/>
      </c>
      <c r="AJ52" s="45">
        <f>SUM(AJ4:AJ51)</f>
        <v/>
      </c>
      <c r="AK52" s="45">
        <f>SUM(AK4:AK51)</f>
        <v/>
      </c>
      <c r="AL52" s="45">
        <f>AL51</f>
        <v/>
      </c>
      <c r="AM52" s="45">
        <f>AM51</f>
        <v/>
      </c>
    </row>
    <row r="54" ht="60" customHeight="1">
      <c r="A54" s="46" t="inlineStr">
        <is>
          <t>NOTES:  ① Detail columns (Clients 1-4 + New Clients) are hidden — click the [+] group toggle above column D to expand.  ② Performance fee uses simplified monthly accrual (AUM × monthly_return × perf_rate) — closely approximates quarterly HWM crystallisation.  ③ CAEP AUM fee (0.25%) billed annually in months 12, 24, 36, 48 on end-of-month AUM.  ④ Reserve provision set aside monthly (Years 1–3) to fund Year 4 cash deficit; tracked in Reserve Fund Balance column.  ⑤ Year 4 (months 37–48) assumes 0% portfolio return — no performance fees; reserve drawdown not automated (see Reserve Fund Bal vs cumulative deficit).  ⑥ NEW v3.0: nc_per_cohort variable = clients per cohort batch. NC Active# column shows total active clients. Example: nc_per_cohort=2 + nc_monthly=R50k → R100k total contribution per active batch.</t>
        </is>
      </c>
    </row>
  </sheetData>
  <mergeCells count="11">
    <mergeCell ref="A1:AM1"/>
    <mergeCell ref="AD2:AI2"/>
    <mergeCell ref="AK2:AM2"/>
    <mergeCell ref="A52:B52"/>
    <mergeCell ref="T2:X2"/>
    <mergeCell ref="AC2"/>
    <mergeCell ref="Y2:AB2"/>
    <mergeCell ref="A54:AM54"/>
    <mergeCell ref="AJ2"/>
    <mergeCell ref="D2:S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5E20"/>
    <outlinePr summaryBelow="1" summaryRight="1"/>
    <pageSetUpPr/>
  </sheetPr>
  <dimension ref="A1:F1"/>
  <sheetViews>
    <sheetView showGridLines="0" workbookViewId="0">
      <selection activeCell="A1" sqref="A1"/>
    </sheetView>
  </sheetViews>
  <sheetFormatPr baseColWidth="8" defaultRowHeight="15"/>
  <sheetData>
    <row r="1" ht="24" customHeight="1">
      <c r="A1" s="47" t="inlineStr">
        <is>
          <t>BitWealth (Pty) Ltd — Cashflow Visual Summary</t>
        </is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2026-05-20T18:33:12Z</dcterms:created>
  <dcterms:modified xmlns:dcterms="http://purl.org/dc/terms/" xmlns:xsi="http://www.w3.org/2001/XMLSchema-instance" xsi:type="dcterms:W3CDTF">2026-05-20T18:33:12Z</dcterms:modified>
</cp:coreProperties>
</file>