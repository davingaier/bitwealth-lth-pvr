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n\Dropbox\BitWealth\bitwealth-lth-pvr\bitwealth-lth-pvr\docs\Financial\"/>
    </mc:Choice>
  </mc:AlternateContent>
  <xr:revisionPtr revIDLastSave="0" documentId="13_ncr:1_{E8A5434A-547F-4B08-8414-02BA98F4E19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VARIABLES" sheetId="1" r:id="rId1"/>
    <sheet name="MONTHLY FORECAS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99" i="2" l="1"/>
  <c r="AI99" i="2"/>
  <c r="AH99" i="2"/>
  <c r="AF99" i="2"/>
  <c r="AE99" i="2"/>
  <c r="V99" i="2"/>
  <c r="U99" i="2"/>
  <c r="T99" i="2"/>
  <c r="P99" i="2"/>
  <c r="Q99" i="2" s="1"/>
  <c r="M99" i="2"/>
  <c r="L99" i="2"/>
  <c r="H99" i="2"/>
  <c r="I99" i="2" s="1"/>
  <c r="E99" i="2"/>
  <c r="D99" i="2"/>
  <c r="C99" i="2"/>
  <c r="B99" i="2"/>
  <c r="AK98" i="2"/>
  <c r="AI98" i="2"/>
  <c r="AH98" i="2"/>
  <c r="AG98" i="2"/>
  <c r="AJ98" i="2" s="1"/>
  <c r="AF98" i="2"/>
  <c r="AE98" i="2"/>
  <c r="T98" i="2"/>
  <c r="U98" i="2" s="1"/>
  <c r="V98" i="2" s="1"/>
  <c r="Q98" i="2"/>
  <c r="P98" i="2"/>
  <c r="L98" i="2"/>
  <c r="M98" i="2" s="1"/>
  <c r="I98" i="2"/>
  <c r="H98" i="2"/>
  <c r="D98" i="2"/>
  <c r="Y98" i="2" s="1"/>
  <c r="C98" i="2"/>
  <c r="B98" i="2"/>
  <c r="AK97" i="2"/>
  <c r="AI97" i="2"/>
  <c r="AH97" i="2"/>
  <c r="AG97" i="2"/>
  <c r="AF97" i="2"/>
  <c r="AE97" i="2"/>
  <c r="T97" i="2"/>
  <c r="U97" i="2" s="1"/>
  <c r="V97" i="2" s="1"/>
  <c r="P97" i="2"/>
  <c r="Q97" i="2" s="1"/>
  <c r="L97" i="2"/>
  <c r="M97" i="2" s="1"/>
  <c r="H97" i="2"/>
  <c r="I97" i="2" s="1"/>
  <c r="D97" i="2"/>
  <c r="C97" i="2"/>
  <c r="B97" i="2"/>
  <c r="AK96" i="2"/>
  <c r="AI96" i="2"/>
  <c r="AH96" i="2"/>
  <c r="AG96" i="2"/>
  <c r="AF96" i="2"/>
  <c r="AE96" i="2"/>
  <c r="Z96" i="2"/>
  <c r="Y96" i="2"/>
  <c r="U96" i="2"/>
  <c r="V96" i="2" s="1"/>
  <c r="T96" i="2"/>
  <c r="Q96" i="2"/>
  <c r="P96" i="2"/>
  <c r="M96" i="2"/>
  <c r="L96" i="2"/>
  <c r="I96" i="2"/>
  <c r="H96" i="2"/>
  <c r="E96" i="2"/>
  <c r="D96" i="2"/>
  <c r="C96" i="2"/>
  <c r="B96" i="2"/>
  <c r="AK95" i="2"/>
  <c r="AI95" i="2"/>
  <c r="AH95" i="2"/>
  <c r="AG95" i="2"/>
  <c r="AF95" i="2"/>
  <c r="AE95" i="2"/>
  <c r="T95" i="2"/>
  <c r="U95" i="2" s="1"/>
  <c r="Q95" i="2"/>
  <c r="P95" i="2"/>
  <c r="L95" i="2"/>
  <c r="M95" i="2" s="1"/>
  <c r="I95" i="2"/>
  <c r="H95" i="2"/>
  <c r="D95" i="2"/>
  <c r="E95" i="2" s="1"/>
  <c r="C95" i="2"/>
  <c r="B95" i="2"/>
  <c r="AK94" i="2"/>
  <c r="AI94" i="2"/>
  <c r="AH94" i="2"/>
  <c r="AG94" i="2"/>
  <c r="AF94" i="2"/>
  <c r="AE94" i="2"/>
  <c r="U94" i="2"/>
  <c r="V94" i="2" s="1"/>
  <c r="T94" i="2"/>
  <c r="Q94" i="2"/>
  <c r="P94" i="2"/>
  <c r="M94" i="2"/>
  <c r="L94" i="2"/>
  <c r="I94" i="2"/>
  <c r="H94" i="2"/>
  <c r="E94" i="2"/>
  <c r="D94" i="2"/>
  <c r="C94" i="2"/>
  <c r="B94" i="2"/>
  <c r="AK93" i="2"/>
  <c r="AI93" i="2"/>
  <c r="AH93" i="2"/>
  <c r="AG93" i="2"/>
  <c r="AF93" i="2"/>
  <c r="AJ93" i="2" s="1"/>
  <c r="AE93" i="2"/>
  <c r="T93" i="2"/>
  <c r="U93" i="2" s="1"/>
  <c r="V93" i="2" s="1"/>
  <c r="P93" i="2"/>
  <c r="Q93" i="2" s="1"/>
  <c r="L93" i="2"/>
  <c r="M93" i="2" s="1"/>
  <c r="H93" i="2"/>
  <c r="I93" i="2" s="1"/>
  <c r="D93" i="2"/>
  <c r="C93" i="2"/>
  <c r="B93" i="2"/>
  <c r="AK92" i="2"/>
  <c r="AI92" i="2"/>
  <c r="AH92" i="2"/>
  <c r="AG92" i="2"/>
  <c r="AF92" i="2"/>
  <c r="AE92" i="2"/>
  <c r="AJ92" i="2" s="1"/>
  <c r="V92" i="2"/>
  <c r="U92" i="2"/>
  <c r="T92" i="2"/>
  <c r="P92" i="2"/>
  <c r="Q92" i="2" s="1"/>
  <c r="M92" i="2"/>
  <c r="L92" i="2"/>
  <c r="H92" i="2"/>
  <c r="I92" i="2" s="1"/>
  <c r="E92" i="2"/>
  <c r="Z92" i="2" s="1"/>
  <c r="D92" i="2"/>
  <c r="Y92" i="2" s="1"/>
  <c r="C92" i="2"/>
  <c r="B92" i="2"/>
  <c r="AK91" i="2"/>
  <c r="AI91" i="2"/>
  <c r="AH91" i="2"/>
  <c r="AG91" i="2"/>
  <c r="AJ91" i="2" s="1"/>
  <c r="AF91" i="2"/>
  <c r="AE91" i="2"/>
  <c r="U91" i="2"/>
  <c r="T91" i="2"/>
  <c r="Q91" i="2"/>
  <c r="P91" i="2"/>
  <c r="M91" i="2"/>
  <c r="L91" i="2"/>
  <c r="I91" i="2"/>
  <c r="H91" i="2"/>
  <c r="E91" i="2"/>
  <c r="D91" i="2"/>
  <c r="C91" i="2"/>
  <c r="B91" i="2"/>
  <c r="AK90" i="2"/>
  <c r="AJ90" i="2"/>
  <c r="AI90" i="2"/>
  <c r="AH90" i="2"/>
  <c r="AG90" i="2"/>
  <c r="AF90" i="2"/>
  <c r="AE90" i="2"/>
  <c r="Y90" i="2"/>
  <c r="T90" i="2"/>
  <c r="U90" i="2" s="1"/>
  <c r="V90" i="2" s="1"/>
  <c r="P90" i="2"/>
  <c r="Q90" i="2" s="1"/>
  <c r="L90" i="2"/>
  <c r="M90" i="2" s="1"/>
  <c r="I90" i="2"/>
  <c r="H90" i="2"/>
  <c r="D90" i="2"/>
  <c r="E90" i="2" s="1"/>
  <c r="C90" i="2"/>
  <c r="B90" i="2"/>
  <c r="AK89" i="2"/>
  <c r="AI89" i="2"/>
  <c r="AH89" i="2"/>
  <c r="AG89" i="2"/>
  <c r="AF89" i="2"/>
  <c r="AE89" i="2"/>
  <c r="T89" i="2"/>
  <c r="U89" i="2" s="1"/>
  <c r="V89" i="2" s="1"/>
  <c r="P89" i="2"/>
  <c r="Q89" i="2" s="1"/>
  <c r="L89" i="2"/>
  <c r="M89" i="2" s="1"/>
  <c r="H89" i="2"/>
  <c r="I89" i="2" s="1"/>
  <c r="D89" i="2"/>
  <c r="C89" i="2"/>
  <c r="B89" i="2"/>
  <c r="AK88" i="2"/>
  <c r="AI88" i="2"/>
  <c r="AH88" i="2"/>
  <c r="AG88" i="2"/>
  <c r="AF88" i="2"/>
  <c r="AE88" i="2"/>
  <c r="AJ88" i="2" s="1"/>
  <c r="T88" i="2"/>
  <c r="U88" i="2" s="1"/>
  <c r="Y88" i="2" s="1"/>
  <c r="Q88" i="2"/>
  <c r="P88" i="2"/>
  <c r="L88" i="2"/>
  <c r="M88" i="2" s="1"/>
  <c r="I88" i="2"/>
  <c r="H88" i="2"/>
  <c r="D88" i="2"/>
  <c r="E88" i="2" s="1"/>
  <c r="C88" i="2"/>
  <c r="B88" i="2"/>
  <c r="AK87" i="2"/>
  <c r="AI87" i="2"/>
  <c r="AH87" i="2"/>
  <c r="AF87" i="2"/>
  <c r="AE87" i="2"/>
  <c r="V87" i="2"/>
  <c r="U87" i="2"/>
  <c r="Y87" i="2" s="1"/>
  <c r="T87" i="2"/>
  <c r="Q87" i="2"/>
  <c r="P87" i="2"/>
  <c r="M87" i="2"/>
  <c r="Z87" i="2" s="1"/>
  <c r="L87" i="2"/>
  <c r="I87" i="2"/>
  <c r="H87" i="2"/>
  <c r="E87" i="2"/>
  <c r="D87" i="2"/>
  <c r="C87" i="2"/>
  <c r="B87" i="2"/>
  <c r="AK86" i="2"/>
  <c r="AI86" i="2"/>
  <c r="AH86" i="2"/>
  <c r="AG86" i="2"/>
  <c r="AF86" i="2"/>
  <c r="AE86" i="2"/>
  <c r="T86" i="2"/>
  <c r="U86" i="2" s="1"/>
  <c r="V86" i="2" s="1"/>
  <c r="Q86" i="2"/>
  <c r="P86" i="2"/>
  <c r="M86" i="2"/>
  <c r="L86" i="2"/>
  <c r="H86" i="2"/>
  <c r="I86" i="2" s="1"/>
  <c r="D86" i="2"/>
  <c r="C86" i="2"/>
  <c r="B86" i="2"/>
  <c r="AK85" i="2"/>
  <c r="AI85" i="2"/>
  <c r="AH85" i="2"/>
  <c r="AG85" i="2"/>
  <c r="AF85" i="2"/>
  <c r="AE85" i="2"/>
  <c r="T85" i="2"/>
  <c r="U85" i="2" s="1"/>
  <c r="V85" i="2" s="1"/>
  <c r="P85" i="2"/>
  <c r="Q85" i="2" s="1"/>
  <c r="L85" i="2"/>
  <c r="M85" i="2" s="1"/>
  <c r="H85" i="2"/>
  <c r="I85" i="2" s="1"/>
  <c r="D85" i="2"/>
  <c r="C85" i="2"/>
  <c r="B85" i="2"/>
  <c r="AK84" i="2"/>
  <c r="AI84" i="2"/>
  <c r="AH84" i="2"/>
  <c r="AG84" i="2"/>
  <c r="AF84" i="2"/>
  <c r="AE84" i="2"/>
  <c r="AJ84" i="2" s="1"/>
  <c r="V84" i="2"/>
  <c r="U84" i="2"/>
  <c r="T84" i="2"/>
  <c r="P84" i="2"/>
  <c r="Q84" i="2" s="1"/>
  <c r="M84" i="2"/>
  <c r="L84" i="2"/>
  <c r="H84" i="2"/>
  <c r="I84" i="2" s="1"/>
  <c r="Z84" i="2" s="1"/>
  <c r="E84" i="2"/>
  <c r="D84" i="2"/>
  <c r="Y84" i="2" s="1"/>
  <c r="C84" i="2"/>
  <c r="B84" i="2"/>
  <c r="AK83" i="2"/>
  <c r="AI83" i="2"/>
  <c r="AH83" i="2"/>
  <c r="AG83" i="2"/>
  <c r="AJ83" i="2" s="1"/>
  <c r="AF83" i="2"/>
  <c r="AE83" i="2"/>
  <c r="U83" i="2"/>
  <c r="Y83" i="2" s="1"/>
  <c r="T83" i="2"/>
  <c r="Q83" i="2"/>
  <c r="P83" i="2"/>
  <c r="M83" i="2"/>
  <c r="L83" i="2"/>
  <c r="I83" i="2"/>
  <c r="H83" i="2"/>
  <c r="E83" i="2"/>
  <c r="D83" i="2"/>
  <c r="C83" i="2"/>
  <c r="B83" i="2"/>
  <c r="AK82" i="2"/>
  <c r="AJ82" i="2"/>
  <c r="AI82" i="2"/>
  <c r="AH82" i="2"/>
  <c r="AG82" i="2"/>
  <c r="AF82" i="2"/>
  <c r="AE82" i="2"/>
  <c r="U82" i="2"/>
  <c r="V82" i="2" s="1"/>
  <c r="T82" i="2"/>
  <c r="P82" i="2"/>
  <c r="Q82" i="2" s="1"/>
  <c r="M82" i="2"/>
  <c r="L82" i="2"/>
  <c r="H82" i="2"/>
  <c r="I82" i="2" s="1"/>
  <c r="D82" i="2"/>
  <c r="C82" i="2"/>
  <c r="B82" i="2"/>
  <c r="AK81" i="2"/>
  <c r="AJ81" i="2"/>
  <c r="AI81" i="2"/>
  <c r="AH81" i="2"/>
  <c r="AG81" i="2"/>
  <c r="AF81" i="2"/>
  <c r="AE81" i="2"/>
  <c r="T81" i="2"/>
  <c r="U81" i="2" s="1"/>
  <c r="V81" i="2" s="1"/>
  <c r="P81" i="2"/>
  <c r="Q81" i="2" s="1"/>
  <c r="L81" i="2"/>
  <c r="M81" i="2" s="1"/>
  <c r="H81" i="2"/>
  <c r="I81" i="2" s="1"/>
  <c r="D81" i="2"/>
  <c r="C81" i="2"/>
  <c r="B81" i="2"/>
  <c r="AK80" i="2"/>
  <c r="AI80" i="2"/>
  <c r="AH80" i="2"/>
  <c r="AG80" i="2"/>
  <c r="AF80" i="2"/>
  <c r="AE80" i="2"/>
  <c r="Y80" i="2"/>
  <c r="V80" i="2"/>
  <c r="T80" i="2"/>
  <c r="U80" i="2" s="1"/>
  <c r="Q80" i="2"/>
  <c r="P80" i="2"/>
  <c r="L80" i="2"/>
  <c r="M80" i="2" s="1"/>
  <c r="I80" i="2"/>
  <c r="H80" i="2"/>
  <c r="D80" i="2"/>
  <c r="E80" i="2" s="1"/>
  <c r="Z80" i="2" s="1"/>
  <c r="C80" i="2"/>
  <c r="B80" i="2"/>
  <c r="AK79" i="2"/>
  <c r="AI79" i="2"/>
  <c r="AH79" i="2"/>
  <c r="AG79" i="2"/>
  <c r="AF79" i="2"/>
  <c r="AE79" i="2"/>
  <c r="U79" i="2"/>
  <c r="Y79" i="2" s="1"/>
  <c r="T79" i="2"/>
  <c r="Q79" i="2"/>
  <c r="P79" i="2"/>
  <c r="M79" i="2"/>
  <c r="L79" i="2"/>
  <c r="H79" i="2"/>
  <c r="I79" i="2" s="1"/>
  <c r="E79" i="2"/>
  <c r="D79" i="2"/>
  <c r="C79" i="2"/>
  <c r="B79" i="2"/>
  <c r="AK78" i="2"/>
  <c r="AI78" i="2"/>
  <c r="AH78" i="2"/>
  <c r="AG78" i="2"/>
  <c r="AF78" i="2"/>
  <c r="AE78" i="2"/>
  <c r="T78" i="2"/>
  <c r="U78" i="2" s="1"/>
  <c r="V78" i="2" s="1"/>
  <c r="Q78" i="2"/>
  <c r="P78" i="2"/>
  <c r="M78" i="2"/>
  <c r="L78" i="2"/>
  <c r="H78" i="2"/>
  <c r="E78" i="2"/>
  <c r="D78" i="2"/>
  <c r="C78" i="2"/>
  <c r="B78" i="2"/>
  <c r="AK77" i="2"/>
  <c r="AI77" i="2"/>
  <c r="AH77" i="2"/>
  <c r="AG77" i="2"/>
  <c r="AF77" i="2"/>
  <c r="AE77" i="2"/>
  <c r="AJ77" i="2" s="1"/>
  <c r="V77" i="2"/>
  <c r="T77" i="2"/>
  <c r="U77" i="2" s="1"/>
  <c r="P77" i="2"/>
  <c r="Q77" i="2" s="1"/>
  <c r="L77" i="2"/>
  <c r="M77" i="2" s="1"/>
  <c r="H77" i="2"/>
  <c r="I77" i="2" s="1"/>
  <c r="D77" i="2"/>
  <c r="C77" i="2"/>
  <c r="B77" i="2"/>
  <c r="AK76" i="2"/>
  <c r="AI76" i="2"/>
  <c r="AH76" i="2"/>
  <c r="AG76" i="2"/>
  <c r="AF76" i="2"/>
  <c r="AE76" i="2"/>
  <c r="U76" i="2"/>
  <c r="Y76" i="2" s="1"/>
  <c r="T76" i="2"/>
  <c r="Q76" i="2"/>
  <c r="P76" i="2"/>
  <c r="M76" i="2"/>
  <c r="L76" i="2"/>
  <c r="I76" i="2"/>
  <c r="H76" i="2"/>
  <c r="E76" i="2"/>
  <c r="D76" i="2"/>
  <c r="C76" i="2"/>
  <c r="B76" i="2"/>
  <c r="AK75" i="2"/>
  <c r="AI75" i="2"/>
  <c r="AH75" i="2"/>
  <c r="AF75" i="2"/>
  <c r="AE75" i="2"/>
  <c r="V75" i="2"/>
  <c r="T75" i="2"/>
  <c r="U75" i="2" s="1"/>
  <c r="Q75" i="2"/>
  <c r="P75" i="2"/>
  <c r="M75" i="2"/>
  <c r="L75" i="2"/>
  <c r="Y75" i="2" s="1"/>
  <c r="H75" i="2"/>
  <c r="I75" i="2" s="1"/>
  <c r="E75" i="2"/>
  <c r="Z75" i="2" s="1"/>
  <c r="D75" i="2"/>
  <c r="C75" i="2"/>
  <c r="B75" i="2"/>
  <c r="AK74" i="2"/>
  <c r="AI74" i="2"/>
  <c r="AH74" i="2"/>
  <c r="AG74" i="2"/>
  <c r="AF74" i="2"/>
  <c r="AE74" i="2"/>
  <c r="Y74" i="2"/>
  <c r="U74" i="2"/>
  <c r="V74" i="2" s="1"/>
  <c r="T74" i="2"/>
  <c r="Q74" i="2"/>
  <c r="P74" i="2"/>
  <c r="M74" i="2"/>
  <c r="L74" i="2"/>
  <c r="I74" i="2"/>
  <c r="Z74" i="2" s="1"/>
  <c r="H74" i="2"/>
  <c r="E74" i="2"/>
  <c r="D74" i="2"/>
  <c r="C74" i="2"/>
  <c r="B74" i="2"/>
  <c r="AK73" i="2"/>
  <c r="AI73" i="2"/>
  <c r="AH73" i="2"/>
  <c r="AG73" i="2"/>
  <c r="AF73" i="2"/>
  <c r="AE73" i="2"/>
  <c r="T73" i="2"/>
  <c r="U73" i="2" s="1"/>
  <c r="V73" i="2" s="1"/>
  <c r="P73" i="2"/>
  <c r="Q73" i="2" s="1"/>
  <c r="L73" i="2"/>
  <c r="M73" i="2" s="1"/>
  <c r="H73" i="2"/>
  <c r="D73" i="2"/>
  <c r="E73" i="2" s="1"/>
  <c r="C73" i="2"/>
  <c r="B73" i="2"/>
  <c r="AK72" i="2"/>
  <c r="AI72" i="2"/>
  <c r="AH72" i="2"/>
  <c r="AG72" i="2"/>
  <c r="AF72" i="2"/>
  <c r="AE72" i="2"/>
  <c r="T72" i="2"/>
  <c r="U72" i="2" s="1"/>
  <c r="V72" i="2" s="1"/>
  <c r="Q72" i="2"/>
  <c r="P72" i="2"/>
  <c r="L72" i="2"/>
  <c r="M72" i="2" s="1"/>
  <c r="H72" i="2"/>
  <c r="Y72" i="2" s="1"/>
  <c r="D72" i="2"/>
  <c r="E72" i="2" s="1"/>
  <c r="C72" i="2"/>
  <c r="B72" i="2"/>
  <c r="AK71" i="2"/>
  <c r="AI71" i="2"/>
  <c r="AH71" i="2"/>
  <c r="AG71" i="2"/>
  <c r="AF71" i="2"/>
  <c r="AE71" i="2"/>
  <c r="AJ71" i="2" s="1"/>
  <c r="U71" i="2"/>
  <c r="V71" i="2" s="1"/>
  <c r="T71" i="2"/>
  <c r="P71" i="2"/>
  <c r="Q71" i="2" s="1"/>
  <c r="M71" i="2"/>
  <c r="L71" i="2"/>
  <c r="H71" i="2"/>
  <c r="E71" i="2"/>
  <c r="D71" i="2"/>
  <c r="C71" i="2"/>
  <c r="B71" i="2"/>
  <c r="AK70" i="2"/>
  <c r="AI70" i="2"/>
  <c r="AH70" i="2"/>
  <c r="AG70" i="2"/>
  <c r="AF70" i="2"/>
  <c r="AE70" i="2"/>
  <c r="AJ70" i="2" s="1"/>
  <c r="T70" i="2"/>
  <c r="U70" i="2" s="1"/>
  <c r="V70" i="2" s="1"/>
  <c r="Q70" i="2"/>
  <c r="P70" i="2"/>
  <c r="M70" i="2"/>
  <c r="L70" i="2"/>
  <c r="I70" i="2"/>
  <c r="H70" i="2"/>
  <c r="E70" i="2"/>
  <c r="D70" i="2"/>
  <c r="C70" i="2"/>
  <c r="B70" i="2"/>
  <c r="AK69" i="2"/>
  <c r="AJ69" i="2"/>
  <c r="AI69" i="2"/>
  <c r="AH69" i="2"/>
  <c r="AG69" i="2"/>
  <c r="AF69" i="2"/>
  <c r="AE69" i="2"/>
  <c r="T69" i="2"/>
  <c r="U69" i="2" s="1"/>
  <c r="V69" i="2" s="1"/>
  <c r="P69" i="2"/>
  <c r="Q69" i="2" s="1"/>
  <c r="M69" i="2"/>
  <c r="L69" i="2"/>
  <c r="H69" i="2"/>
  <c r="I69" i="2" s="1"/>
  <c r="D69" i="2"/>
  <c r="C69" i="2"/>
  <c r="B69" i="2"/>
  <c r="AK68" i="2"/>
  <c r="AI68" i="2"/>
  <c r="AH68" i="2"/>
  <c r="AJ68" i="2" s="1"/>
  <c r="AG68" i="2"/>
  <c r="AF68" i="2"/>
  <c r="AE68" i="2"/>
  <c r="U68" i="2"/>
  <c r="V68" i="2" s="1"/>
  <c r="T68" i="2"/>
  <c r="P68" i="2"/>
  <c r="Q68" i="2" s="1"/>
  <c r="L68" i="2"/>
  <c r="M68" i="2" s="1"/>
  <c r="H68" i="2"/>
  <c r="I68" i="2" s="1"/>
  <c r="D68" i="2"/>
  <c r="C68" i="2"/>
  <c r="B68" i="2"/>
  <c r="AK67" i="2"/>
  <c r="AI67" i="2"/>
  <c r="AH67" i="2"/>
  <c r="AG67" i="2"/>
  <c r="AJ67" i="2" s="1"/>
  <c r="AF67" i="2"/>
  <c r="AE67" i="2"/>
  <c r="T67" i="2"/>
  <c r="U67" i="2" s="1"/>
  <c r="V67" i="2" s="1"/>
  <c r="Q67" i="2"/>
  <c r="P67" i="2"/>
  <c r="L67" i="2"/>
  <c r="M67" i="2" s="1"/>
  <c r="I67" i="2"/>
  <c r="H67" i="2"/>
  <c r="D67" i="2"/>
  <c r="C67" i="2"/>
  <c r="B67" i="2"/>
  <c r="AK66" i="2"/>
  <c r="AI66" i="2"/>
  <c r="AH66" i="2"/>
  <c r="AG66" i="2"/>
  <c r="AF66" i="2"/>
  <c r="AE66" i="2"/>
  <c r="U66" i="2"/>
  <c r="V66" i="2" s="1"/>
  <c r="T66" i="2"/>
  <c r="P66" i="2"/>
  <c r="Q66" i="2" s="1"/>
  <c r="M66" i="2"/>
  <c r="L66" i="2"/>
  <c r="H66" i="2"/>
  <c r="E66" i="2"/>
  <c r="D66" i="2"/>
  <c r="C66" i="2"/>
  <c r="B66" i="2"/>
  <c r="AK65" i="2"/>
  <c r="AI65" i="2"/>
  <c r="AH65" i="2"/>
  <c r="AG65" i="2"/>
  <c r="AF65" i="2"/>
  <c r="AE65" i="2"/>
  <c r="T65" i="2"/>
  <c r="U65" i="2" s="1"/>
  <c r="V65" i="2" s="1"/>
  <c r="P65" i="2"/>
  <c r="Q65" i="2" s="1"/>
  <c r="L65" i="2"/>
  <c r="M65" i="2" s="1"/>
  <c r="I65" i="2"/>
  <c r="H65" i="2"/>
  <c r="Y65" i="2" s="1"/>
  <c r="D65" i="2"/>
  <c r="E65" i="2" s="1"/>
  <c r="C65" i="2"/>
  <c r="B65" i="2"/>
  <c r="AK64" i="2"/>
  <c r="AI64" i="2"/>
  <c r="AH64" i="2"/>
  <c r="AG64" i="2"/>
  <c r="AF64" i="2"/>
  <c r="AE64" i="2"/>
  <c r="V64" i="2"/>
  <c r="U64" i="2"/>
  <c r="T64" i="2"/>
  <c r="P64" i="2"/>
  <c r="M64" i="2"/>
  <c r="L64" i="2"/>
  <c r="I64" i="2"/>
  <c r="H64" i="2"/>
  <c r="E64" i="2"/>
  <c r="D64" i="2"/>
  <c r="C64" i="2"/>
  <c r="B64" i="2"/>
  <c r="AK63" i="2"/>
  <c r="AI63" i="2"/>
  <c r="AH63" i="2"/>
  <c r="AF63" i="2"/>
  <c r="AE63" i="2"/>
  <c r="V63" i="2"/>
  <c r="U63" i="2"/>
  <c r="T63" i="2"/>
  <c r="P63" i="2"/>
  <c r="Q63" i="2" s="1"/>
  <c r="M63" i="2"/>
  <c r="L63" i="2"/>
  <c r="H63" i="2"/>
  <c r="E63" i="2"/>
  <c r="D63" i="2"/>
  <c r="C63" i="2"/>
  <c r="B63" i="2"/>
  <c r="AK62" i="2"/>
  <c r="AI62" i="2"/>
  <c r="AH62" i="2"/>
  <c r="AG62" i="2"/>
  <c r="AF62" i="2"/>
  <c r="AE62" i="2"/>
  <c r="AJ62" i="2" s="1"/>
  <c r="V62" i="2"/>
  <c r="T62" i="2"/>
  <c r="U62" i="2" s="1"/>
  <c r="P62" i="2"/>
  <c r="Q62" i="2" s="1"/>
  <c r="M62" i="2"/>
  <c r="L62" i="2"/>
  <c r="H62" i="2"/>
  <c r="I62" i="2" s="1"/>
  <c r="E62" i="2"/>
  <c r="D62" i="2"/>
  <c r="Y62" i="2" s="1"/>
  <c r="C62" i="2"/>
  <c r="B62" i="2"/>
  <c r="AK61" i="2"/>
  <c r="AI61" i="2"/>
  <c r="AJ61" i="2" s="1"/>
  <c r="AH61" i="2"/>
  <c r="AG61" i="2"/>
  <c r="AF61" i="2"/>
  <c r="AE61" i="2"/>
  <c r="V61" i="2"/>
  <c r="U61" i="2"/>
  <c r="T61" i="2"/>
  <c r="Q61" i="2"/>
  <c r="P61" i="2"/>
  <c r="L61" i="2"/>
  <c r="M61" i="2" s="1"/>
  <c r="I61" i="2"/>
  <c r="H61" i="2"/>
  <c r="E61" i="2"/>
  <c r="D61" i="2"/>
  <c r="C61" i="2"/>
  <c r="B61" i="2"/>
  <c r="AK60" i="2"/>
  <c r="AI60" i="2"/>
  <c r="AH60" i="2"/>
  <c r="AG60" i="2"/>
  <c r="AJ60" i="2" s="1"/>
  <c r="AF60" i="2"/>
  <c r="AE60" i="2"/>
  <c r="T60" i="2"/>
  <c r="U60" i="2" s="1"/>
  <c r="V60" i="2" s="1"/>
  <c r="Q60" i="2"/>
  <c r="P60" i="2"/>
  <c r="L60" i="2"/>
  <c r="M60" i="2" s="1"/>
  <c r="I60" i="2"/>
  <c r="H60" i="2"/>
  <c r="D60" i="2"/>
  <c r="C60" i="2"/>
  <c r="B60" i="2"/>
  <c r="AK59" i="2"/>
  <c r="AI59" i="2"/>
  <c r="AH59" i="2"/>
  <c r="AG59" i="2"/>
  <c r="AF59" i="2"/>
  <c r="AE59" i="2"/>
  <c r="V59" i="2"/>
  <c r="T59" i="2"/>
  <c r="U59" i="2" s="1"/>
  <c r="P59" i="2"/>
  <c r="Q59" i="2" s="1"/>
  <c r="L59" i="2"/>
  <c r="M59" i="2" s="1"/>
  <c r="H59" i="2"/>
  <c r="D59" i="2"/>
  <c r="E59" i="2" s="1"/>
  <c r="C59" i="2"/>
  <c r="B59" i="2"/>
  <c r="AK58" i="2"/>
  <c r="AI58" i="2"/>
  <c r="AH58" i="2"/>
  <c r="AG58" i="2"/>
  <c r="AF58" i="2"/>
  <c r="AE58" i="2"/>
  <c r="Y58" i="2"/>
  <c r="U58" i="2"/>
  <c r="V58" i="2" s="1"/>
  <c r="T58" i="2"/>
  <c r="Q58" i="2"/>
  <c r="P58" i="2"/>
  <c r="M58" i="2"/>
  <c r="L58" i="2"/>
  <c r="I58" i="2"/>
  <c r="H58" i="2"/>
  <c r="E58" i="2"/>
  <c r="D58" i="2"/>
  <c r="C58" i="2"/>
  <c r="B58" i="2"/>
  <c r="AK57" i="2"/>
  <c r="AI57" i="2"/>
  <c r="AH57" i="2"/>
  <c r="AG57" i="2"/>
  <c r="AF57" i="2"/>
  <c r="AJ57" i="2" s="1"/>
  <c r="AE57" i="2"/>
  <c r="T57" i="2"/>
  <c r="U57" i="2" s="1"/>
  <c r="V57" i="2" s="1"/>
  <c r="Q57" i="2"/>
  <c r="P57" i="2"/>
  <c r="L57" i="2"/>
  <c r="M57" i="2" s="1"/>
  <c r="I57" i="2"/>
  <c r="H57" i="2"/>
  <c r="D57" i="2"/>
  <c r="C57" i="2"/>
  <c r="B57" i="2"/>
  <c r="AK56" i="2"/>
  <c r="AI56" i="2"/>
  <c r="AH56" i="2"/>
  <c r="AG56" i="2"/>
  <c r="AF56" i="2"/>
  <c r="AE56" i="2"/>
  <c r="U56" i="2"/>
  <c r="V56" i="2" s="1"/>
  <c r="T56" i="2"/>
  <c r="P56" i="2"/>
  <c r="Q56" i="2" s="1"/>
  <c r="M56" i="2"/>
  <c r="L56" i="2"/>
  <c r="H56" i="2"/>
  <c r="E56" i="2"/>
  <c r="D56" i="2"/>
  <c r="C56" i="2"/>
  <c r="B56" i="2"/>
  <c r="AK55" i="2"/>
  <c r="AJ55" i="2"/>
  <c r="AI55" i="2"/>
  <c r="AH55" i="2"/>
  <c r="AG55" i="2"/>
  <c r="AF55" i="2"/>
  <c r="AE55" i="2"/>
  <c r="T55" i="2"/>
  <c r="U55" i="2" s="1"/>
  <c r="V55" i="2" s="1"/>
  <c r="P55" i="2"/>
  <c r="Q55" i="2" s="1"/>
  <c r="L55" i="2"/>
  <c r="M55" i="2" s="1"/>
  <c r="H55" i="2"/>
  <c r="I55" i="2" s="1"/>
  <c r="D55" i="2"/>
  <c r="C55" i="2"/>
  <c r="B55" i="2"/>
  <c r="AK54" i="2"/>
  <c r="AI54" i="2"/>
  <c r="AH54" i="2"/>
  <c r="AG54" i="2"/>
  <c r="AF54" i="2"/>
  <c r="AE54" i="2"/>
  <c r="V54" i="2"/>
  <c r="U54" i="2"/>
  <c r="T54" i="2"/>
  <c r="Q54" i="2"/>
  <c r="P54" i="2"/>
  <c r="L54" i="2"/>
  <c r="M54" i="2" s="1"/>
  <c r="I54" i="2"/>
  <c r="H54" i="2"/>
  <c r="E54" i="2"/>
  <c r="Z54" i="2" s="1"/>
  <c r="D54" i="2"/>
  <c r="C54" i="2"/>
  <c r="B54" i="2"/>
  <c r="AK53" i="2"/>
  <c r="AI53" i="2"/>
  <c r="AH53" i="2"/>
  <c r="AG53" i="2"/>
  <c r="AF53" i="2"/>
  <c r="AE53" i="2"/>
  <c r="U53" i="2"/>
  <c r="V53" i="2" s="1"/>
  <c r="T53" i="2"/>
  <c r="P53" i="2"/>
  <c r="Q53" i="2" s="1"/>
  <c r="M53" i="2"/>
  <c r="L53" i="2"/>
  <c r="H53" i="2"/>
  <c r="I53" i="2" s="1"/>
  <c r="E53" i="2"/>
  <c r="Z53" i="2" s="1"/>
  <c r="D53" i="2"/>
  <c r="C53" i="2"/>
  <c r="B53" i="2"/>
  <c r="AK52" i="2"/>
  <c r="AI52" i="2"/>
  <c r="AH52" i="2"/>
  <c r="AJ52" i="2" s="1"/>
  <c r="AG52" i="2"/>
  <c r="AF52" i="2"/>
  <c r="AE52" i="2"/>
  <c r="T52" i="2"/>
  <c r="U52" i="2" s="1"/>
  <c r="V52" i="2" s="1"/>
  <c r="Q52" i="2"/>
  <c r="P52" i="2"/>
  <c r="L52" i="2"/>
  <c r="M52" i="2" s="1"/>
  <c r="I52" i="2"/>
  <c r="H52" i="2"/>
  <c r="D52" i="2"/>
  <c r="C52" i="2"/>
  <c r="B52" i="2"/>
  <c r="AK51" i="2"/>
  <c r="AI51" i="2"/>
  <c r="AH51" i="2"/>
  <c r="AF51" i="2"/>
  <c r="AE51" i="2"/>
  <c r="T51" i="2"/>
  <c r="U51" i="2" s="1"/>
  <c r="V51" i="2" s="1"/>
  <c r="P51" i="2"/>
  <c r="Q51" i="2" s="1"/>
  <c r="L51" i="2"/>
  <c r="M51" i="2" s="1"/>
  <c r="H51" i="2"/>
  <c r="D51" i="2"/>
  <c r="E51" i="2" s="1"/>
  <c r="C51" i="2"/>
  <c r="B51" i="2"/>
  <c r="AK50" i="2"/>
  <c r="AI50" i="2"/>
  <c r="AH50" i="2"/>
  <c r="AG50" i="2"/>
  <c r="AF50" i="2"/>
  <c r="AE50" i="2"/>
  <c r="U50" i="2"/>
  <c r="V50" i="2" s="1"/>
  <c r="T50" i="2"/>
  <c r="P50" i="2"/>
  <c r="M50" i="2"/>
  <c r="L50" i="2"/>
  <c r="I50" i="2"/>
  <c r="H50" i="2"/>
  <c r="E50" i="2"/>
  <c r="D50" i="2"/>
  <c r="C50" i="2"/>
  <c r="B50" i="2"/>
  <c r="AK49" i="2"/>
  <c r="AJ49" i="2"/>
  <c r="AI49" i="2"/>
  <c r="AH49" i="2"/>
  <c r="AG49" i="2"/>
  <c r="AF49" i="2"/>
  <c r="AE49" i="2"/>
  <c r="Y49" i="2"/>
  <c r="T49" i="2"/>
  <c r="U49" i="2" s="1"/>
  <c r="V49" i="2" s="1"/>
  <c r="Q49" i="2"/>
  <c r="P49" i="2"/>
  <c r="L49" i="2"/>
  <c r="M49" i="2" s="1"/>
  <c r="I49" i="2"/>
  <c r="H49" i="2"/>
  <c r="D49" i="2"/>
  <c r="E49" i="2" s="1"/>
  <c r="C49" i="2"/>
  <c r="B49" i="2"/>
  <c r="AK48" i="2"/>
  <c r="AI48" i="2"/>
  <c r="AH48" i="2"/>
  <c r="AG48" i="2"/>
  <c r="AF48" i="2"/>
  <c r="AE48" i="2"/>
  <c r="AJ48" i="2" s="1"/>
  <c r="Z48" i="2"/>
  <c r="Y48" i="2"/>
  <c r="U48" i="2"/>
  <c r="V48" i="2" s="1"/>
  <c r="T48" i="2"/>
  <c r="Q48" i="2"/>
  <c r="P48" i="2"/>
  <c r="M48" i="2"/>
  <c r="L48" i="2"/>
  <c r="I48" i="2"/>
  <c r="H48" i="2"/>
  <c r="E48" i="2"/>
  <c r="D48" i="2"/>
  <c r="C48" i="2"/>
  <c r="B48" i="2"/>
  <c r="AK47" i="2"/>
  <c r="AI47" i="2"/>
  <c r="AH47" i="2"/>
  <c r="AG47" i="2"/>
  <c r="AF47" i="2"/>
  <c r="AE47" i="2"/>
  <c r="AJ47" i="2" s="1"/>
  <c r="T47" i="2"/>
  <c r="U47" i="2" s="1"/>
  <c r="Q47" i="2"/>
  <c r="P47" i="2"/>
  <c r="L47" i="2"/>
  <c r="M47" i="2" s="1"/>
  <c r="I47" i="2"/>
  <c r="H47" i="2"/>
  <c r="D47" i="2"/>
  <c r="E47" i="2" s="1"/>
  <c r="C47" i="2"/>
  <c r="B47" i="2"/>
  <c r="AK46" i="2"/>
  <c r="AI46" i="2"/>
  <c r="AH46" i="2"/>
  <c r="AG46" i="2"/>
  <c r="AF46" i="2"/>
  <c r="AE46" i="2"/>
  <c r="U46" i="2"/>
  <c r="V46" i="2" s="1"/>
  <c r="T46" i="2"/>
  <c r="P46" i="2"/>
  <c r="Q46" i="2" s="1"/>
  <c r="M46" i="2"/>
  <c r="L46" i="2"/>
  <c r="H46" i="2"/>
  <c r="I46" i="2" s="1"/>
  <c r="E46" i="2"/>
  <c r="D46" i="2"/>
  <c r="C46" i="2"/>
  <c r="B46" i="2"/>
  <c r="AK45" i="2"/>
  <c r="AJ45" i="2"/>
  <c r="AI45" i="2"/>
  <c r="AH45" i="2"/>
  <c r="AG45" i="2"/>
  <c r="AF45" i="2"/>
  <c r="AE45" i="2"/>
  <c r="T45" i="2"/>
  <c r="U45" i="2" s="1"/>
  <c r="V45" i="2" s="1"/>
  <c r="Q45" i="2"/>
  <c r="P45" i="2"/>
  <c r="L45" i="2"/>
  <c r="M45" i="2" s="1"/>
  <c r="I45" i="2"/>
  <c r="H45" i="2"/>
  <c r="D45" i="2"/>
  <c r="C45" i="2"/>
  <c r="B45" i="2"/>
  <c r="AK44" i="2"/>
  <c r="AI44" i="2"/>
  <c r="AH44" i="2"/>
  <c r="AG44" i="2"/>
  <c r="AF44" i="2"/>
  <c r="AE44" i="2"/>
  <c r="AJ44" i="2" s="1"/>
  <c r="U44" i="2"/>
  <c r="Y44" i="2" s="1"/>
  <c r="T44" i="2"/>
  <c r="Q44" i="2"/>
  <c r="P44" i="2"/>
  <c r="M44" i="2"/>
  <c r="L44" i="2"/>
  <c r="I44" i="2"/>
  <c r="H44" i="2"/>
  <c r="E44" i="2"/>
  <c r="D44" i="2"/>
  <c r="C44" i="2"/>
  <c r="B44" i="2"/>
  <c r="AK43" i="2"/>
  <c r="AJ43" i="2"/>
  <c r="AI43" i="2"/>
  <c r="AH43" i="2"/>
  <c r="AG43" i="2"/>
  <c r="AF43" i="2"/>
  <c r="AE43" i="2"/>
  <c r="U43" i="2"/>
  <c r="V43" i="2" s="1"/>
  <c r="T43" i="2"/>
  <c r="P43" i="2"/>
  <c r="Q43" i="2" s="1"/>
  <c r="M43" i="2"/>
  <c r="L43" i="2"/>
  <c r="H43" i="2"/>
  <c r="I43" i="2" s="1"/>
  <c r="E43" i="2"/>
  <c r="Z43" i="2" s="1"/>
  <c r="D43" i="2"/>
  <c r="C43" i="2"/>
  <c r="B43" i="2"/>
  <c r="AK42" i="2"/>
  <c r="AI42" i="2"/>
  <c r="AH42" i="2"/>
  <c r="AG42" i="2"/>
  <c r="AJ42" i="2" s="1"/>
  <c r="AF42" i="2"/>
  <c r="AE42" i="2"/>
  <c r="T42" i="2"/>
  <c r="U42" i="2" s="1"/>
  <c r="V42" i="2" s="1"/>
  <c r="Q42" i="2"/>
  <c r="P42" i="2"/>
  <c r="L42" i="2"/>
  <c r="M42" i="2" s="1"/>
  <c r="I42" i="2"/>
  <c r="H42" i="2"/>
  <c r="D42" i="2"/>
  <c r="E42" i="2" s="1"/>
  <c r="C42" i="2"/>
  <c r="B42" i="2"/>
  <c r="AK41" i="2"/>
  <c r="AI41" i="2"/>
  <c r="AH41" i="2"/>
  <c r="AG41" i="2"/>
  <c r="AF41" i="2"/>
  <c r="AE41" i="2"/>
  <c r="AJ41" i="2" s="1"/>
  <c r="V41" i="2"/>
  <c r="U41" i="2"/>
  <c r="T41" i="2"/>
  <c r="P41" i="2"/>
  <c r="Q41" i="2" s="1"/>
  <c r="L41" i="2"/>
  <c r="M41" i="2" s="1"/>
  <c r="H41" i="2"/>
  <c r="D41" i="2"/>
  <c r="E41" i="2" s="1"/>
  <c r="C41" i="2"/>
  <c r="B41" i="2"/>
  <c r="AK40" i="2"/>
  <c r="AI40" i="2"/>
  <c r="AH40" i="2"/>
  <c r="AG40" i="2"/>
  <c r="AF40" i="2"/>
  <c r="AE40" i="2"/>
  <c r="Z40" i="2"/>
  <c r="Y40" i="2"/>
  <c r="U40" i="2"/>
  <c r="V40" i="2" s="1"/>
  <c r="T40" i="2"/>
  <c r="Q40" i="2"/>
  <c r="P40" i="2"/>
  <c r="M40" i="2"/>
  <c r="L40" i="2"/>
  <c r="I40" i="2"/>
  <c r="H40" i="2"/>
  <c r="E40" i="2"/>
  <c r="D40" i="2"/>
  <c r="C40" i="2"/>
  <c r="B40" i="2"/>
  <c r="AK39" i="2"/>
  <c r="AI39" i="2"/>
  <c r="AH39" i="2"/>
  <c r="AF39" i="2"/>
  <c r="AE39" i="2"/>
  <c r="T39" i="2"/>
  <c r="U39" i="2" s="1"/>
  <c r="V39" i="2" s="1"/>
  <c r="Q39" i="2"/>
  <c r="P39" i="2"/>
  <c r="L39" i="2"/>
  <c r="M39" i="2" s="1"/>
  <c r="H39" i="2"/>
  <c r="Y39" i="2" s="1"/>
  <c r="D39" i="2"/>
  <c r="E39" i="2" s="1"/>
  <c r="C39" i="2"/>
  <c r="B39" i="2"/>
  <c r="AK38" i="2"/>
  <c r="AI38" i="2"/>
  <c r="AH38" i="2"/>
  <c r="AG38" i="2"/>
  <c r="AF38" i="2"/>
  <c r="AE38" i="2"/>
  <c r="AJ38" i="2" s="1"/>
  <c r="U38" i="2"/>
  <c r="V38" i="2" s="1"/>
  <c r="T38" i="2"/>
  <c r="P38" i="2"/>
  <c r="Q38" i="2" s="1"/>
  <c r="M38" i="2"/>
  <c r="L38" i="2"/>
  <c r="H38" i="2"/>
  <c r="E38" i="2"/>
  <c r="D38" i="2"/>
  <c r="C38" i="2"/>
  <c r="B38" i="2"/>
  <c r="AK37" i="2"/>
  <c r="AI37" i="2"/>
  <c r="AH37" i="2"/>
  <c r="AG37" i="2"/>
  <c r="AF37" i="2"/>
  <c r="AE37" i="2"/>
  <c r="AJ37" i="2" s="1"/>
  <c r="V37" i="2"/>
  <c r="T37" i="2"/>
  <c r="U37" i="2" s="1"/>
  <c r="P37" i="2"/>
  <c r="Q37" i="2" s="1"/>
  <c r="L37" i="2"/>
  <c r="M37" i="2" s="1"/>
  <c r="H37" i="2"/>
  <c r="I37" i="2" s="1"/>
  <c r="D37" i="2"/>
  <c r="C37" i="2"/>
  <c r="B37" i="2"/>
  <c r="AK36" i="2"/>
  <c r="AI36" i="2"/>
  <c r="AH36" i="2"/>
  <c r="AG36" i="2"/>
  <c r="AF36" i="2"/>
  <c r="AE36" i="2"/>
  <c r="V36" i="2"/>
  <c r="U36" i="2"/>
  <c r="Y36" i="2" s="1"/>
  <c r="T36" i="2"/>
  <c r="Q36" i="2"/>
  <c r="P36" i="2"/>
  <c r="M36" i="2"/>
  <c r="L36" i="2"/>
  <c r="I36" i="2"/>
  <c r="H36" i="2"/>
  <c r="E36" i="2"/>
  <c r="Z36" i="2" s="1"/>
  <c r="D36" i="2"/>
  <c r="C36" i="2"/>
  <c r="B36" i="2"/>
  <c r="AK35" i="2"/>
  <c r="AI35" i="2"/>
  <c r="AH35" i="2"/>
  <c r="AG35" i="2"/>
  <c r="AF35" i="2"/>
  <c r="AJ35" i="2" s="1"/>
  <c r="AE35" i="2"/>
  <c r="U35" i="2"/>
  <c r="T35" i="2"/>
  <c r="Q35" i="2"/>
  <c r="P35" i="2"/>
  <c r="M35" i="2"/>
  <c r="L35" i="2"/>
  <c r="I35" i="2"/>
  <c r="H35" i="2"/>
  <c r="E35" i="2"/>
  <c r="D35" i="2"/>
  <c r="C35" i="2"/>
  <c r="B35" i="2"/>
  <c r="AK34" i="2"/>
  <c r="AI34" i="2"/>
  <c r="AH34" i="2"/>
  <c r="AJ34" i="2" s="1"/>
  <c r="AG34" i="2"/>
  <c r="AF34" i="2"/>
  <c r="AE34" i="2"/>
  <c r="T34" i="2"/>
  <c r="U34" i="2" s="1"/>
  <c r="V34" i="2" s="1"/>
  <c r="P34" i="2"/>
  <c r="Q34" i="2" s="1"/>
  <c r="M34" i="2"/>
  <c r="L34" i="2"/>
  <c r="H34" i="2"/>
  <c r="I34" i="2" s="1"/>
  <c r="D34" i="2"/>
  <c r="C34" i="2"/>
  <c r="B34" i="2"/>
  <c r="AK33" i="2"/>
  <c r="AI33" i="2"/>
  <c r="AH33" i="2"/>
  <c r="AG33" i="2"/>
  <c r="AJ33" i="2" s="1"/>
  <c r="AF33" i="2"/>
  <c r="AE33" i="2"/>
  <c r="T33" i="2"/>
  <c r="U33" i="2" s="1"/>
  <c r="V33" i="2" s="1"/>
  <c r="Q33" i="2"/>
  <c r="P33" i="2"/>
  <c r="L33" i="2"/>
  <c r="M33" i="2" s="1"/>
  <c r="I33" i="2"/>
  <c r="H33" i="2"/>
  <c r="D33" i="2"/>
  <c r="E33" i="2" s="1"/>
  <c r="Z33" i="2" s="1"/>
  <c r="C33" i="2"/>
  <c r="B33" i="2"/>
  <c r="AK32" i="2"/>
  <c r="AI32" i="2"/>
  <c r="AH32" i="2"/>
  <c r="AG32" i="2"/>
  <c r="AF32" i="2"/>
  <c r="AE32" i="2"/>
  <c r="Z32" i="2"/>
  <c r="T32" i="2"/>
  <c r="U32" i="2" s="1"/>
  <c r="V32" i="2" s="1"/>
  <c r="P32" i="2"/>
  <c r="Q32" i="2" s="1"/>
  <c r="L32" i="2"/>
  <c r="M32" i="2" s="1"/>
  <c r="H32" i="2"/>
  <c r="I32" i="2" s="1"/>
  <c r="D32" i="2"/>
  <c r="E32" i="2" s="1"/>
  <c r="C32" i="2"/>
  <c r="B32" i="2"/>
  <c r="AK31" i="2"/>
  <c r="AI31" i="2"/>
  <c r="AH31" i="2"/>
  <c r="AG31" i="2"/>
  <c r="AF31" i="2"/>
  <c r="AE31" i="2"/>
  <c r="Y31" i="2"/>
  <c r="U31" i="2"/>
  <c r="V31" i="2" s="1"/>
  <c r="T31" i="2"/>
  <c r="Q31" i="2"/>
  <c r="P31" i="2"/>
  <c r="M31" i="2"/>
  <c r="L31" i="2"/>
  <c r="I31" i="2"/>
  <c r="H31" i="2"/>
  <c r="E31" i="2"/>
  <c r="D31" i="2"/>
  <c r="C31" i="2"/>
  <c r="B31" i="2"/>
  <c r="AK30" i="2"/>
  <c r="AI30" i="2"/>
  <c r="AH30" i="2"/>
  <c r="AG30" i="2"/>
  <c r="AF30" i="2"/>
  <c r="AJ30" i="2" s="1"/>
  <c r="AE30" i="2"/>
  <c r="Y30" i="2"/>
  <c r="V30" i="2"/>
  <c r="T30" i="2"/>
  <c r="U30" i="2" s="1"/>
  <c r="P30" i="2"/>
  <c r="Q30" i="2" s="1"/>
  <c r="L30" i="2"/>
  <c r="M30" i="2" s="1"/>
  <c r="I30" i="2"/>
  <c r="H30" i="2"/>
  <c r="D30" i="2"/>
  <c r="E30" i="2" s="1"/>
  <c r="C30" i="2"/>
  <c r="B30" i="2"/>
  <c r="AK29" i="2"/>
  <c r="AI29" i="2"/>
  <c r="AH29" i="2"/>
  <c r="AG29" i="2"/>
  <c r="AF29" i="2"/>
  <c r="AE29" i="2"/>
  <c r="AJ29" i="2" s="1"/>
  <c r="U29" i="2"/>
  <c r="V29" i="2" s="1"/>
  <c r="T29" i="2"/>
  <c r="P29" i="2"/>
  <c r="Q29" i="2" s="1"/>
  <c r="M29" i="2"/>
  <c r="L29" i="2"/>
  <c r="H29" i="2"/>
  <c r="E29" i="2"/>
  <c r="D29" i="2"/>
  <c r="C29" i="2"/>
  <c r="B29" i="2"/>
  <c r="AK28" i="2"/>
  <c r="AJ28" i="2"/>
  <c r="AI28" i="2"/>
  <c r="AH28" i="2"/>
  <c r="AG28" i="2"/>
  <c r="AF28" i="2"/>
  <c r="AE28" i="2"/>
  <c r="T28" i="2"/>
  <c r="U28" i="2" s="1"/>
  <c r="V28" i="2" s="1"/>
  <c r="P28" i="2"/>
  <c r="Q28" i="2" s="1"/>
  <c r="L28" i="2"/>
  <c r="M28" i="2" s="1"/>
  <c r="H28" i="2"/>
  <c r="I28" i="2" s="1"/>
  <c r="D28" i="2"/>
  <c r="C28" i="2"/>
  <c r="B28" i="2"/>
  <c r="AK27" i="2"/>
  <c r="AI27" i="2"/>
  <c r="AH27" i="2"/>
  <c r="AF27" i="2"/>
  <c r="AE27" i="2"/>
  <c r="U27" i="2"/>
  <c r="Y27" i="2" s="1"/>
  <c r="T27" i="2"/>
  <c r="Q27" i="2"/>
  <c r="P27" i="2"/>
  <c r="M27" i="2"/>
  <c r="L27" i="2"/>
  <c r="I27" i="2"/>
  <c r="H27" i="2"/>
  <c r="E27" i="2"/>
  <c r="D27" i="2"/>
  <c r="C27" i="2"/>
  <c r="B27" i="2"/>
  <c r="AK26" i="2"/>
  <c r="AJ26" i="2"/>
  <c r="AI26" i="2"/>
  <c r="AH26" i="2"/>
  <c r="AG26" i="2"/>
  <c r="AF26" i="2"/>
  <c r="AE26" i="2"/>
  <c r="T26" i="2"/>
  <c r="U26" i="2" s="1"/>
  <c r="V26" i="2" s="1"/>
  <c r="P26" i="2"/>
  <c r="Q26" i="2" s="1"/>
  <c r="M26" i="2"/>
  <c r="L26" i="2"/>
  <c r="H26" i="2"/>
  <c r="I26" i="2" s="1"/>
  <c r="D26" i="2"/>
  <c r="C26" i="2"/>
  <c r="B26" i="2"/>
  <c r="AK25" i="2"/>
  <c r="AI25" i="2"/>
  <c r="AJ25" i="2" s="1"/>
  <c r="AH25" i="2"/>
  <c r="AG25" i="2"/>
  <c r="AF25" i="2"/>
  <c r="AE25" i="2"/>
  <c r="T25" i="2"/>
  <c r="U25" i="2" s="1"/>
  <c r="V25" i="2" s="1"/>
  <c r="Q25" i="2"/>
  <c r="P25" i="2"/>
  <c r="L25" i="2"/>
  <c r="M25" i="2" s="1"/>
  <c r="I25" i="2"/>
  <c r="H25" i="2"/>
  <c r="D25" i="2"/>
  <c r="E25" i="2" s="1"/>
  <c r="C25" i="2"/>
  <c r="B25" i="2"/>
  <c r="AK24" i="2"/>
  <c r="AI24" i="2"/>
  <c r="AH24" i="2"/>
  <c r="AG24" i="2"/>
  <c r="AF24" i="2"/>
  <c r="AE24" i="2"/>
  <c r="T24" i="2"/>
  <c r="U24" i="2" s="1"/>
  <c r="V24" i="2" s="1"/>
  <c r="P24" i="2"/>
  <c r="Q24" i="2" s="1"/>
  <c r="L24" i="2"/>
  <c r="M24" i="2" s="1"/>
  <c r="Z24" i="2" s="1"/>
  <c r="H24" i="2"/>
  <c r="I24" i="2" s="1"/>
  <c r="D24" i="2"/>
  <c r="E24" i="2" s="1"/>
  <c r="C24" i="2"/>
  <c r="B24" i="2"/>
  <c r="AK23" i="2"/>
  <c r="AI23" i="2"/>
  <c r="AH23" i="2"/>
  <c r="AG23" i="2"/>
  <c r="AF23" i="2"/>
  <c r="AE23" i="2"/>
  <c r="Z23" i="2"/>
  <c r="U23" i="2"/>
  <c r="V23" i="2" s="1"/>
  <c r="T23" i="2"/>
  <c r="Q23" i="2"/>
  <c r="P23" i="2"/>
  <c r="M23" i="2"/>
  <c r="L23" i="2"/>
  <c r="I23" i="2"/>
  <c r="H23" i="2"/>
  <c r="E23" i="2"/>
  <c r="D23" i="2"/>
  <c r="C23" i="2"/>
  <c r="B23" i="2"/>
  <c r="AK22" i="2"/>
  <c r="AI22" i="2"/>
  <c r="AH22" i="2"/>
  <c r="AG22" i="2"/>
  <c r="AF22" i="2"/>
  <c r="AJ22" i="2" s="1"/>
  <c r="AE22" i="2"/>
  <c r="V22" i="2"/>
  <c r="T22" i="2"/>
  <c r="U22" i="2" s="1"/>
  <c r="Q22" i="2"/>
  <c r="P22" i="2"/>
  <c r="L22" i="2"/>
  <c r="M22" i="2" s="1"/>
  <c r="H22" i="2"/>
  <c r="I22" i="2" s="1"/>
  <c r="D22" i="2"/>
  <c r="E22" i="2" s="1"/>
  <c r="C22" i="2"/>
  <c r="B22" i="2"/>
  <c r="AK21" i="2"/>
  <c r="AI21" i="2"/>
  <c r="AH21" i="2"/>
  <c r="AG21" i="2"/>
  <c r="AF21" i="2"/>
  <c r="AE21" i="2"/>
  <c r="U21" i="2"/>
  <c r="V21" i="2" s="1"/>
  <c r="T21" i="2"/>
  <c r="P21" i="2"/>
  <c r="Q21" i="2" s="1"/>
  <c r="M21" i="2"/>
  <c r="L21" i="2"/>
  <c r="H21" i="2"/>
  <c r="E21" i="2"/>
  <c r="D21" i="2"/>
  <c r="C21" i="2"/>
  <c r="B21" i="2"/>
  <c r="AK20" i="2"/>
  <c r="AI20" i="2"/>
  <c r="AH20" i="2"/>
  <c r="AJ20" i="2" s="1"/>
  <c r="AG20" i="2"/>
  <c r="AF20" i="2"/>
  <c r="AE20" i="2"/>
  <c r="T20" i="2"/>
  <c r="U20" i="2" s="1"/>
  <c r="V20" i="2" s="1"/>
  <c r="P20" i="2"/>
  <c r="Q20" i="2" s="1"/>
  <c r="L20" i="2"/>
  <c r="M20" i="2" s="1"/>
  <c r="H20" i="2"/>
  <c r="I20" i="2" s="1"/>
  <c r="D20" i="2"/>
  <c r="C20" i="2"/>
  <c r="B20" i="2"/>
  <c r="AK19" i="2"/>
  <c r="AI19" i="2"/>
  <c r="AH19" i="2"/>
  <c r="AG19" i="2"/>
  <c r="AF19" i="2"/>
  <c r="AE19" i="2"/>
  <c r="AJ19" i="2" s="1"/>
  <c r="U19" i="2"/>
  <c r="Y19" i="2" s="1"/>
  <c r="T19" i="2"/>
  <c r="Q19" i="2"/>
  <c r="P19" i="2"/>
  <c r="M19" i="2"/>
  <c r="L19" i="2"/>
  <c r="I19" i="2"/>
  <c r="H19" i="2"/>
  <c r="E19" i="2"/>
  <c r="D19" i="2"/>
  <c r="C19" i="2"/>
  <c r="B19" i="2"/>
  <c r="AK18" i="2"/>
  <c r="AJ18" i="2"/>
  <c r="AI18" i="2"/>
  <c r="AH18" i="2"/>
  <c r="AG18" i="2"/>
  <c r="AF18" i="2"/>
  <c r="AE18" i="2"/>
  <c r="T18" i="2"/>
  <c r="U18" i="2" s="1"/>
  <c r="V18" i="2" s="1"/>
  <c r="P18" i="2"/>
  <c r="Q18" i="2" s="1"/>
  <c r="L18" i="2"/>
  <c r="M18" i="2" s="1"/>
  <c r="H18" i="2"/>
  <c r="I18" i="2" s="1"/>
  <c r="E18" i="2"/>
  <c r="D18" i="2"/>
  <c r="C18" i="2"/>
  <c r="B18" i="2"/>
  <c r="AK17" i="2"/>
  <c r="AJ17" i="2"/>
  <c r="AI17" i="2"/>
  <c r="AH17" i="2"/>
  <c r="AG17" i="2"/>
  <c r="AF17" i="2"/>
  <c r="AE17" i="2"/>
  <c r="T17" i="2"/>
  <c r="U17" i="2" s="1"/>
  <c r="V17" i="2" s="1"/>
  <c r="P17" i="2"/>
  <c r="Q17" i="2" s="1"/>
  <c r="L17" i="2"/>
  <c r="M17" i="2" s="1"/>
  <c r="H17" i="2"/>
  <c r="I17" i="2" s="1"/>
  <c r="D17" i="2"/>
  <c r="C17" i="2"/>
  <c r="B17" i="2"/>
  <c r="AK16" i="2"/>
  <c r="AI16" i="2"/>
  <c r="AH16" i="2"/>
  <c r="AG16" i="2"/>
  <c r="AJ16" i="2" s="1"/>
  <c r="AF16" i="2"/>
  <c r="AE16" i="2"/>
  <c r="T16" i="2"/>
  <c r="U16" i="2" s="1"/>
  <c r="V16" i="2" s="1"/>
  <c r="Q16" i="2"/>
  <c r="P16" i="2"/>
  <c r="L16" i="2"/>
  <c r="M16" i="2" s="1"/>
  <c r="I16" i="2"/>
  <c r="H16" i="2"/>
  <c r="D16" i="2"/>
  <c r="E16" i="2" s="1"/>
  <c r="C16" i="2"/>
  <c r="B16" i="2"/>
  <c r="AK15" i="2"/>
  <c r="AI15" i="2"/>
  <c r="AH15" i="2"/>
  <c r="AF15" i="2"/>
  <c r="AE15" i="2"/>
  <c r="U15" i="2"/>
  <c r="V15" i="2" s="1"/>
  <c r="T15" i="2"/>
  <c r="P15" i="2"/>
  <c r="Q15" i="2" s="1"/>
  <c r="M15" i="2"/>
  <c r="L15" i="2"/>
  <c r="H15" i="2"/>
  <c r="E15" i="2"/>
  <c r="D15" i="2"/>
  <c r="C15" i="2"/>
  <c r="B15" i="2"/>
  <c r="AK14" i="2"/>
  <c r="AI14" i="2"/>
  <c r="AH14" i="2"/>
  <c r="AG14" i="2"/>
  <c r="AF14" i="2"/>
  <c r="AE14" i="2"/>
  <c r="AJ14" i="2" s="1"/>
  <c r="Y14" i="2"/>
  <c r="T14" i="2"/>
  <c r="U14" i="2" s="1"/>
  <c r="V14" i="2" s="1"/>
  <c r="Q14" i="2"/>
  <c r="P14" i="2"/>
  <c r="L14" i="2"/>
  <c r="M14" i="2" s="1"/>
  <c r="I14" i="2"/>
  <c r="H14" i="2"/>
  <c r="D14" i="2"/>
  <c r="E14" i="2" s="1"/>
  <c r="Z14" i="2" s="1"/>
  <c r="C14" i="2"/>
  <c r="B14" i="2"/>
  <c r="AK13" i="2"/>
  <c r="AI13" i="2"/>
  <c r="AH13" i="2"/>
  <c r="AG13" i="2"/>
  <c r="AF13" i="2"/>
  <c r="AE13" i="2"/>
  <c r="AJ13" i="2" s="1"/>
  <c r="T13" i="2"/>
  <c r="U13" i="2" s="1"/>
  <c r="V13" i="2" s="1"/>
  <c r="P13" i="2"/>
  <c r="Q13" i="2" s="1"/>
  <c r="L13" i="2"/>
  <c r="M13" i="2" s="1"/>
  <c r="H13" i="2"/>
  <c r="D13" i="2"/>
  <c r="E13" i="2" s="1"/>
  <c r="C13" i="2"/>
  <c r="B13" i="2"/>
  <c r="AK12" i="2"/>
  <c r="AI12" i="2"/>
  <c r="AH12" i="2"/>
  <c r="AG12" i="2"/>
  <c r="AF12" i="2"/>
  <c r="AE12" i="2"/>
  <c r="AJ12" i="2" s="1"/>
  <c r="U12" i="2"/>
  <c r="V12" i="2" s="1"/>
  <c r="T12" i="2"/>
  <c r="Q12" i="2"/>
  <c r="P12" i="2"/>
  <c r="M12" i="2"/>
  <c r="L12" i="2"/>
  <c r="I12" i="2"/>
  <c r="H12" i="2"/>
  <c r="Y12" i="2" s="1"/>
  <c r="E12" i="2"/>
  <c r="D12" i="2"/>
  <c r="C12" i="2"/>
  <c r="B12" i="2"/>
  <c r="AK11" i="2"/>
  <c r="AJ11" i="2"/>
  <c r="AI11" i="2"/>
  <c r="AH11" i="2"/>
  <c r="AG11" i="2"/>
  <c r="AF11" i="2"/>
  <c r="AE11" i="2"/>
  <c r="V11" i="2"/>
  <c r="T11" i="2"/>
  <c r="U11" i="2" s="1"/>
  <c r="P11" i="2"/>
  <c r="Q11" i="2" s="1"/>
  <c r="L11" i="2"/>
  <c r="M11" i="2" s="1"/>
  <c r="H11" i="2"/>
  <c r="I11" i="2" s="1"/>
  <c r="D11" i="2"/>
  <c r="C11" i="2"/>
  <c r="B11" i="2"/>
  <c r="AK10" i="2"/>
  <c r="AI10" i="2"/>
  <c r="AH10" i="2"/>
  <c r="AG10" i="2"/>
  <c r="AF10" i="2"/>
  <c r="AE10" i="2"/>
  <c r="AJ10" i="2" s="1"/>
  <c r="U10" i="2"/>
  <c r="V10" i="2" s="1"/>
  <c r="T10" i="2"/>
  <c r="P10" i="2"/>
  <c r="Q10" i="2" s="1"/>
  <c r="M10" i="2"/>
  <c r="L10" i="2"/>
  <c r="H10" i="2"/>
  <c r="I10" i="2" s="1"/>
  <c r="E10" i="2"/>
  <c r="D10" i="2"/>
  <c r="C10" i="2"/>
  <c r="B10" i="2"/>
  <c r="AK9" i="2"/>
  <c r="AJ9" i="2"/>
  <c r="AI9" i="2"/>
  <c r="AH9" i="2"/>
  <c r="AG9" i="2"/>
  <c r="AF9" i="2"/>
  <c r="AE9" i="2"/>
  <c r="T9" i="2"/>
  <c r="U9" i="2" s="1"/>
  <c r="V9" i="2" s="1"/>
  <c r="P9" i="2"/>
  <c r="Q9" i="2" s="1"/>
  <c r="L9" i="2"/>
  <c r="M9" i="2" s="1"/>
  <c r="H9" i="2"/>
  <c r="I9" i="2" s="1"/>
  <c r="D9" i="2"/>
  <c r="C9" i="2"/>
  <c r="B9" i="2"/>
  <c r="AK8" i="2"/>
  <c r="AI8" i="2"/>
  <c r="AH8" i="2"/>
  <c r="AG8" i="2"/>
  <c r="AF8" i="2"/>
  <c r="AE8" i="2"/>
  <c r="AJ8" i="2" s="1"/>
  <c r="T8" i="2"/>
  <c r="U8" i="2" s="1"/>
  <c r="V8" i="2" s="1"/>
  <c r="Q8" i="2"/>
  <c r="P8" i="2"/>
  <c r="L8" i="2"/>
  <c r="M8" i="2" s="1"/>
  <c r="I8" i="2"/>
  <c r="H8" i="2"/>
  <c r="D8" i="2"/>
  <c r="E8" i="2" s="1"/>
  <c r="C8" i="2"/>
  <c r="B8" i="2"/>
  <c r="AK7" i="2"/>
  <c r="AI7" i="2"/>
  <c r="AH7" i="2"/>
  <c r="AG7" i="2"/>
  <c r="AF7" i="2"/>
  <c r="AE7" i="2"/>
  <c r="T7" i="2"/>
  <c r="U7" i="2" s="1"/>
  <c r="V7" i="2" s="1"/>
  <c r="P7" i="2"/>
  <c r="Q7" i="2" s="1"/>
  <c r="L7" i="2"/>
  <c r="M7" i="2" s="1"/>
  <c r="H7" i="2"/>
  <c r="D7" i="2"/>
  <c r="E7" i="2" s="1"/>
  <c r="C7" i="2"/>
  <c r="B7" i="2"/>
  <c r="AK6" i="2"/>
  <c r="AI6" i="2"/>
  <c r="AH6" i="2"/>
  <c r="AG6" i="2"/>
  <c r="AF6" i="2"/>
  <c r="AE6" i="2"/>
  <c r="W6" i="2"/>
  <c r="U6" i="2"/>
  <c r="T6" i="2"/>
  <c r="Q6" i="2"/>
  <c r="P6" i="2"/>
  <c r="M6" i="2"/>
  <c r="L6" i="2"/>
  <c r="I6" i="2"/>
  <c r="H6" i="2"/>
  <c r="D6" i="2"/>
  <c r="E6" i="2" s="1"/>
  <c r="C6" i="2"/>
  <c r="B6" i="2"/>
  <c r="AK5" i="2"/>
  <c r="AI5" i="2"/>
  <c r="AH5" i="2"/>
  <c r="AG5" i="2"/>
  <c r="AF5" i="2"/>
  <c r="AJ5" i="2" s="1"/>
  <c r="AE5" i="2"/>
  <c r="X5" i="2"/>
  <c r="W5" i="2"/>
  <c r="T5" i="2"/>
  <c r="U5" i="2" s="1"/>
  <c r="V5" i="2" s="1"/>
  <c r="R5" i="2"/>
  <c r="P5" i="2"/>
  <c r="S5" i="2" s="1"/>
  <c r="L5" i="2"/>
  <c r="J5" i="2"/>
  <c r="H5" i="2"/>
  <c r="K5" i="2" s="1"/>
  <c r="D5" i="2"/>
  <c r="E5" i="2" s="1"/>
  <c r="C5" i="2"/>
  <c r="N5" i="2" s="1"/>
  <c r="B5" i="2"/>
  <c r="AK4" i="2"/>
  <c r="AN4" i="2" s="1"/>
  <c r="AN5" i="2" s="1"/>
  <c r="AN6" i="2" s="1"/>
  <c r="AN7" i="2" s="1"/>
  <c r="AN8" i="2" s="1"/>
  <c r="AN9" i="2" s="1"/>
  <c r="AN10" i="2" s="1"/>
  <c r="AN11" i="2" s="1"/>
  <c r="AN12" i="2" s="1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AN27" i="2" s="1"/>
  <c r="AN28" i="2" s="1"/>
  <c r="AN29" i="2" s="1"/>
  <c r="AN30" i="2" s="1"/>
  <c r="AN31" i="2" s="1"/>
  <c r="AN32" i="2" s="1"/>
  <c r="AN33" i="2" s="1"/>
  <c r="AN34" i="2" s="1"/>
  <c r="AN35" i="2" s="1"/>
  <c r="AN36" i="2" s="1"/>
  <c r="AN37" i="2" s="1"/>
  <c r="AN38" i="2" s="1"/>
  <c r="AN39" i="2" s="1"/>
  <c r="AN40" i="2" s="1"/>
  <c r="AN41" i="2" s="1"/>
  <c r="AN42" i="2" s="1"/>
  <c r="AN43" i="2" s="1"/>
  <c r="AN44" i="2" s="1"/>
  <c r="AN45" i="2" s="1"/>
  <c r="AN46" i="2" s="1"/>
  <c r="AN47" i="2" s="1"/>
  <c r="AN48" i="2" s="1"/>
  <c r="AN49" i="2" s="1"/>
  <c r="AN50" i="2" s="1"/>
  <c r="AN51" i="2" s="1"/>
  <c r="AN52" i="2" s="1"/>
  <c r="AN53" i="2" s="1"/>
  <c r="AN54" i="2" s="1"/>
  <c r="AN55" i="2" s="1"/>
  <c r="AN56" i="2" s="1"/>
  <c r="AN57" i="2" s="1"/>
  <c r="AN58" i="2" s="1"/>
  <c r="AN59" i="2" s="1"/>
  <c r="AN60" i="2" s="1"/>
  <c r="AN61" i="2" s="1"/>
  <c r="AN62" i="2" s="1"/>
  <c r="AN63" i="2" s="1"/>
  <c r="AN64" i="2" s="1"/>
  <c r="AN65" i="2" s="1"/>
  <c r="AN66" i="2" s="1"/>
  <c r="AN67" i="2" s="1"/>
  <c r="AN68" i="2" s="1"/>
  <c r="AN69" i="2" s="1"/>
  <c r="AN70" i="2" s="1"/>
  <c r="AN71" i="2" s="1"/>
  <c r="AN72" i="2" s="1"/>
  <c r="AN73" i="2" s="1"/>
  <c r="AN74" i="2" s="1"/>
  <c r="AN75" i="2" s="1"/>
  <c r="AN76" i="2" s="1"/>
  <c r="AN77" i="2" s="1"/>
  <c r="AN78" i="2" s="1"/>
  <c r="AN79" i="2" s="1"/>
  <c r="AN80" i="2" s="1"/>
  <c r="AN81" i="2" s="1"/>
  <c r="AN82" i="2" s="1"/>
  <c r="AN83" i="2" s="1"/>
  <c r="AN84" i="2" s="1"/>
  <c r="AN85" i="2" s="1"/>
  <c r="AN86" i="2" s="1"/>
  <c r="AN87" i="2" s="1"/>
  <c r="AN88" i="2" s="1"/>
  <c r="AN89" i="2" s="1"/>
  <c r="AN90" i="2" s="1"/>
  <c r="AN91" i="2" s="1"/>
  <c r="AN92" i="2" s="1"/>
  <c r="AN93" i="2" s="1"/>
  <c r="AN94" i="2" s="1"/>
  <c r="AN95" i="2" s="1"/>
  <c r="AN96" i="2" s="1"/>
  <c r="AN97" i="2" s="1"/>
  <c r="AN98" i="2" s="1"/>
  <c r="AN99" i="2" s="1"/>
  <c r="AN100" i="2" s="1"/>
  <c r="AI4" i="2"/>
  <c r="AH4" i="2"/>
  <c r="AG4" i="2"/>
  <c r="AF4" i="2"/>
  <c r="AE4" i="2"/>
  <c r="AE100" i="2" s="1"/>
  <c r="Y4" i="2"/>
  <c r="AB4" i="2" s="1"/>
  <c r="X4" i="2"/>
  <c r="W4" i="2"/>
  <c r="U4" i="2"/>
  <c r="V4" i="2" s="1"/>
  <c r="T4" i="2"/>
  <c r="S4" i="2"/>
  <c r="R4" i="2"/>
  <c r="Q4" i="2"/>
  <c r="P4" i="2"/>
  <c r="O4" i="2"/>
  <c r="N4" i="2"/>
  <c r="M4" i="2"/>
  <c r="L4" i="2"/>
  <c r="K4" i="2"/>
  <c r="J4" i="2"/>
  <c r="I4" i="2"/>
  <c r="H4" i="2"/>
  <c r="E4" i="2"/>
  <c r="D4" i="2"/>
  <c r="C4" i="2"/>
  <c r="F4" i="2" s="1"/>
  <c r="B4" i="2"/>
  <c r="Z4" i="2" l="1"/>
  <c r="AA4" i="2"/>
  <c r="G4" i="2"/>
  <c r="K6" i="2"/>
  <c r="J6" i="2"/>
  <c r="Z6" i="2"/>
  <c r="R6" i="2"/>
  <c r="S6" i="2" s="1"/>
  <c r="O5" i="2"/>
  <c r="X6" i="2"/>
  <c r="Z16" i="2"/>
  <c r="Y21" i="2"/>
  <c r="I21" i="2"/>
  <c r="Y34" i="2"/>
  <c r="E34" i="2"/>
  <c r="Z34" i="2" s="1"/>
  <c r="AF100" i="2"/>
  <c r="I5" i="2"/>
  <c r="Z5" i="2" s="1"/>
  <c r="Q5" i="2"/>
  <c r="Y5" i="2"/>
  <c r="V6" i="2"/>
  <c r="Y8" i="2"/>
  <c r="Y11" i="2"/>
  <c r="E11" i="2"/>
  <c r="Z11" i="2" s="1"/>
  <c r="Y16" i="2"/>
  <c r="Y47" i="2"/>
  <c r="V47" i="2"/>
  <c r="Y6" i="2"/>
  <c r="Y17" i="2"/>
  <c r="E17" i="2"/>
  <c r="Z17" i="2" s="1"/>
  <c r="AI100" i="2"/>
  <c r="AJ4" i="2"/>
  <c r="M5" i="2"/>
  <c r="AJ7" i="2"/>
  <c r="Y10" i="2"/>
  <c r="Y26" i="2"/>
  <c r="E26" i="2"/>
  <c r="Z26" i="2" s="1"/>
  <c r="Y50" i="2"/>
  <c r="Q50" i="2"/>
  <c r="Z50" i="2" s="1"/>
  <c r="Y7" i="2"/>
  <c r="Y100" i="2" s="1"/>
  <c r="I7" i="2"/>
  <c r="Z7" i="2" s="1"/>
  <c r="AK100" i="2"/>
  <c r="AJ6" i="2"/>
  <c r="Z10" i="2"/>
  <c r="Z12" i="2"/>
  <c r="Y13" i="2"/>
  <c r="I13" i="2"/>
  <c r="Z13" i="2" s="1"/>
  <c r="Y15" i="2"/>
  <c r="I15" i="2"/>
  <c r="Z15" i="2" s="1"/>
  <c r="Z18" i="2"/>
  <c r="Y38" i="2"/>
  <c r="I38" i="2"/>
  <c r="AH100" i="2"/>
  <c r="Y9" i="2"/>
  <c r="E9" i="2"/>
  <c r="Z9" i="2" s="1"/>
  <c r="Z8" i="2"/>
  <c r="Z21" i="2"/>
  <c r="Y28" i="2"/>
  <c r="E28" i="2"/>
  <c r="Z28" i="2" s="1"/>
  <c r="Z31" i="2"/>
  <c r="Y18" i="2"/>
  <c r="Z19" i="2"/>
  <c r="Z22" i="2"/>
  <c r="Y23" i="2"/>
  <c r="Z29" i="2"/>
  <c r="Z35" i="2"/>
  <c r="E57" i="2"/>
  <c r="Z57" i="2" s="1"/>
  <c r="Y57" i="2"/>
  <c r="E67" i="2"/>
  <c r="Z67" i="2" s="1"/>
  <c r="Y67" i="2"/>
  <c r="AJ24" i="2"/>
  <c r="Z25" i="2"/>
  <c r="Y29" i="2"/>
  <c r="I29" i="2"/>
  <c r="Z47" i="2"/>
  <c r="Z99" i="2"/>
  <c r="Y20" i="2"/>
  <c r="E20" i="2"/>
  <c r="Z20" i="2" s="1"/>
  <c r="Y22" i="2"/>
  <c r="AJ23" i="2"/>
  <c r="Y25" i="2"/>
  <c r="V27" i="2"/>
  <c r="Y45" i="2"/>
  <c r="E45" i="2"/>
  <c r="Z45" i="2" s="1"/>
  <c r="Z76" i="2"/>
  <c r="AJ32" i="2"/>
  <c r="V35" i="2"/>
  <c r="Y35" i="2"/>
  <c r="V76" i="2"/>
  <c r="V19" i="2"/>
  <c r="Y33" i="2"/>
  <c r="Y51" i="2"/>
  <c r="I51" i="2"/>
  <c r="Z51" i="2" s="1"/>
  <c r="Q64" i="2"/>
  <c r="Y64" i="2"/>
  <c r="Y86" i="2"/>
  <c r="E86" i="2"/>
  <c r="Z86" i="2" s="1"/>
  <c r="AJ21" i="2"/>
  <c r="Z27" i="2"/>
  <c r="Z30" i="2"/>
  <c r="AJ31" i="2"/>
  <c r="Y24" i="2"/>
  <c r="Y32" i="2"/>
  <c r="Y43" i="2"/>
  <c r="AJ46" i="2"/>
  <c r="AJ36" i="2"/>
  <c r="AJ40" i="2"/>
  <c r="Z42" i="2"/>
  <c r="Y46" i="2"/>
  <c r="E52" i="2"/>
  <c r="Z52" i="2" s="1"/>
  <c r="Y52" i="2"/>
  <c r="AJ59" i="2"/>
  <c r="Y37" i="2"/>
  <c r="E37" i="2"/>
  <c r="Z37" i="2" s="1"/>
  <c r="Y42" i="2"/>
  <c r="V44" i="2"/>
  <c r="Z44" i="2" s="1"/>
  <c r="Z46" i="2"/>
  <c r="Y54" i="2"/>
  <c r="Z58" i="2"/>
  <c r="Y82" i="2"/>
  <c r="E82" i="2"/>
  <c r="Z82" i="2" s="1"/>
  <c r="Z38" i="2"/>
  <c r="Y41" i="2"/>
  <c r="I41" i="2"/>
  <c r="Z41" i="2" s="1"/>
  <c r="AJ53" i="2"/>
  <c r="Y78" i="2"/>
  <c r="I78" i="2"/>
  <c r="Z78" i="2" s="1"/>
  <c r="I39" i="2"/>
  <c r="Z39" i="2" s="1"/>
  <c r="Y91" i="2"/>
  <c r="V91" i="2"/>
  <c r="AJ56" i="2"/>
  <c r="Y59" i="2"/>
  <c r="I59" i="2"/>
  <c r="Z59" i="2" s="1"/>
  <c r="Y60" i="2"/>
  <c r="E60" i="2"/>
  <c r="Z60" i="2" s="1"/>
  <c r="Z61" i="2"/>
  <c r="Z64" i="2"/>
  <c r="Z65" i="2"/>
  <c r="AJ66" i="2"/>
  <c r="Z91" i="2"/>
  <c r="Z49" i="2"/>
  <c r="AJ50" i="2"/>
  <c r="Y56" i="2"/>
  <c r="I56" i="2"/>
  <c r="Z56" i="2" s="1"/>
  <c r="AJ65" i="2"/>
  <c r="Z71" i="2"/>
  <c r="I73" i="2"/>
  <c r="Z73" i="2" s="1"/>
  <c r="Y73" i="2"/>
  <c r="AJ73" i="2"/>
  <c r="Y85" i="2"/>
  <c r="E85" i="2"/>
  <c r="Z85" i="2" s="1"/>
  <c r="Y68" i="2"/>
  <c r="E68" i="2"/>
  <c r="Z68" i="2" s="1"/>
  <c r="Z94" i="2"/>
  <c r="Y95" i="2"/>
  <c r="V95" i="2"/>
  <c r="Y55" i="2"/>
  <c r="E55" i="2"/>
  <c r="Z55" i="2" s="1"/>
  <c r="AJ58" i="2"/>
  <c r="Z62" i="2"/>
  <c r="Y63" i="2"/>
  <c r="I63" i="2"/>
  <c r="Y66" i="2"/>
  <c r="Z70" i="2"/>
  <c r="Z95" i="2"/>
  <c r="Y53" i="2"/>
  <c r="AJ54" i="2"/>
  <c r="I66" i="2"/>
  <c r="Z66" i="2" s="1"/>
  <c r="Y71" i="2"/>
  <c r="I71" i="2"/>
  <c r="AJ72" i="2"/>
  <c r="AJ78" i="2"/>
  <c r="Z90" i="2"/>
  <c r="AJ64" i="2"/>
  <c r="Y69" i="2"/>
  <c r="Y61" i="2"/>
  <c r="E69" i="2"/>
  <c r="Z69" i="2" s="1"/>
  <c r="I72" i="2"/>
  <c r="Z72" i="2" s="1"/>
  <c r="AJ76" i="2"/>
  <c r="Y77" i="2"/>
  <c r="E77" i="2"/>
  <c r="Z77" i="2" s="1"/>
  <c r="V79" i="2"/>
  <c r="Z79" i="2" s="1"/>
  <c r="AJ85" i="2"/>
  <c r="AJ97" i="2"/>
  <c r="E98" i="2"/>
  <c r="Z98" i="2" s="1"/>
  <c r="Z63" i="2"/>
  <c r="Y70" i="2"/>
  <c r="AJ74" i="2"/>
  <c r="E81" i="2"/>
  <c r="Z81" i="2" s="1"/>
  <c r="Y81" i="2"/>
  <c r="AJ86" i="2"/>
  <c r="AJ89" i="2"/>
  <c r="Y94" i="2"/>
  <c r="AJ96" i="2"/>
  <c r="E89" i="2"/>
  <c r="Z89" i="2" s="1"/>
  <c r="Y89" i="2"/>
  <c r="Y93" i="2"/>
  <c r="E93" i="2"/>
  <c r="Z93" i="2" s="1"/>
  <c r="E97" i="2"/>
  <c r="Z97" i="2" s="1"/>
  <c r="Y97" i="2"/>
  <c r="AJ80" i="2"/>
  <c r="V83" i="2"/>
  <c r="Z83" i="2" s="1"/>
  <c r="V88" i="2"/>
  <c r="Z88" i="2" s="1"/>
  <c r="AJ79" i="2"/>
  <c r="AJ94" i="2"/>
  <c r="AJ95" i="2"/>
  <c r="Y99" i="2"/>
  <c r="S7" i="2" l="1"/>
  <c r="R7" i="2"/>
  <c r="O6" i="2"/>
  <c r="N6" i="2"/>
  <c r="AD4" i="2"/>
  <c r="AB5" i="2" s="1"/>
  <c r="F5" i="2"/>
  <c r="AA5" i="2" s="1"/>
  <c r="AC5" i="2" s="1"/>
  <c r="AL5" i="2" s="1"/>
  <c r="W7" i="2"/>
  <c r="X7" i="2" s="1"/>
  <c r="J7" i="2"/>
  <c r="K7" i="2" s="1"/>
  <c r="Z100" i="2"/>
  <c r="AC4" i="2"/>
  <c r="W8" i="2" l="1"/>
  <c r="X8" i="2" s="1"/>
  <c r="J8" i="2"/>
  <c r="K8" i="2"/>
  <c r="G5" i="2"/>
  <c r="R8" i="2"/>
  <c r="S8" i="2"/>
  <c r="AL4" i="2"/>
  <c r="N7" i="2"/>
  <c r="O7" i="2" s="1"/>
  <c r="X9" i="2" l="1"/>
  <c r="W9" i="2"/>
  <c r="N8" i="2"/>
  <c r="O8" i="2" s="1"/>
  <c r="AD5" i="2"/>
  <c r="AB6" i="2" s="1"/>
  <c r="F6" i="2"/>
  <c r="AA6" i="2" s="1"/>
  <c r="R9" i="2"/>
  <c r="S9" i="2" s="1"/>
  <c r="J9" i="2"/>
  <c r="K9" i="2" s="1"/>
  <c r="AM4" i="2"/>
  <c r="AM5" i="2" s="1"/>
  <c r="J10" i="2" l="1"/>
  <c r="K10" i="2"/>
  <c r="N9" i="2"/>
  <c r="O9" i="2" s="1"/>
  <c r="R10" i="2"/>
  <c r="S10" i="2" s="1"/>
  <c r="AC6" i="2"/>
  <c r="G6" i="2"/>
  <c r="W10" i="2"/>
  <c r="X10" i="2" s="1"/>
  <c r="R11" i="2" l="1"/>
  <c r="S11" i="2" s="1"/>
  <c r="W11" i="2"/>
  <c r="X11" i="2" s="1"/>
  <c r="N10" i="2"/>
  <c r="O10" i="2" s="1"/>
  <c r="K11" i="2"/>
  <c r="J11" i="2"/>
  <c r="AL6" i="2"/>
  <c r="AD6" i="2"/>
  <c r="AB7" i="2" s="1"/>
  <c r="F7" i="2"/>
  <c r="AA7" i="2" s="1"/>
  <c r="N11" i="2" l="1"/>
  <c r="O11" i="2" s="1"/>
  <c r="W12" i="2"/>
  <c r="X12" i="2" s="1"/>
  <c r="S12" i="2"/>
  <c r="R12" i="2"/>
  <c r="AC7" i="2"/>
  <c r="J12" i="2"/>
  <c r="K12" i="2" s="1"/>
  <c r="G7" i="2"/>
  <c r="AM6" i="2"/>
  <c r="J13" i="2" l="1"/>
  <c r="K13" i="2" s="1"/>
  <c r="W13" i="2"/>
  <c r="X13" i="2"/>
  <c r="N12" i="2"/>
  <c r="O12" i="2"/>
  <c r="AL7" i="2"/>
  <c r="F8" i="2"/>
  <c r="AA8" i="2" s="1"/>
  <c r="AC8" i="2" s="1"/>
  <c r="AL8" i="2" s="1"/>
  <c r="AD7" i="2"/>
  <c r="AB8" i="2" s="1"/>
  <c r="R13" i="2"/>
  <c r="S13" i="2" s="1"/>
  <c r="R14" i="2" l="1"/>
  <c r="S14" i="2" s="1"/>
  <c r="J14" i="2"/>
  <c r="K14" i="2" s="1"/>
  <c r="W14" i="2"/>
  <c r="X14" i="2" s="1"/>
  <c r="G8" i="2"/>
  <c r="N13" i="2"/>
  <c r="O13" i="2" s="1"/>
  <c r="AM7" i="2"/>
  <c r="AM8" i="2" s="1"/>
  <c r="W15" i="2" l="1"/>
  <c r="X15" i="2" s="1"/>
  <c r="J15" i="2"/>
  <c r="K15" i="2" s="1"/>
  <c r="N14" i="2"/>
  <c r="O14" i="2"/>
  <c r="R15" i="2"/>
  <c r="S15" i="2" s="1"/>
  <c r="AD8" i="2"/>
  <c r="AB9" i="2" s="1"/>
  <c r="F9" i="2"/>
  <c r="AA9" i="2" s="1"/>
  <c r="R16" i="2" l="1"/>
  <c r="S16" i="2"/>
  <c r="J16" i="2"/>
  <c r="K16" i="2"/>
  <c r="W16" i="2"/>
  <c r="X16" i="2" s="1"/>
  <c r="O15" i="2"/>
  <c r="N15" i="2"/>
  <c r="AC9" i="2"/>
  <c r="G9" i="2"/>
  <c r="W17" i="2" l="1"/>
  <c r="X17" i="2" s="1"/>
  <c r="J17" i="2"/>
  <c r="K17" i="2" s="1"/>
  <c r="S17" i="2"/>
  <c r="R17" i="2"/>
  <c r="N16" i="2"/>
  <c r="O16" i="2" s="1"/>
  <c r="AD9" i="2"/>
  <c r="AB10" i="2" s="1"/>
  <c r="F10" i="2"/>
  <c r="AA10" i="2" s="1"/>
  <c r="AC10" i="2" s="1"/>
  <c r="AL10" i="2" s="1"/>
  <c r="AL9" i="2"/>
  <c r="N17" i="2" l="1"/>
  <c r="O17" i="2" s="1"/>
  <c r="J18" i="2"/>
  <c r="K18" i="2" s="1"/>
  <c r="W18" i="2"/>
  <c r="X18" i="2" s="1"/>
  <c r="R18" i="2"/>
  <c r="S18" i="2" s="1"/>
  <c r="AM9" i="2"/>
  <c r="AM10" i="2" s="1"/>
  <c r="G10" i="2"/>
  <c r="W19" i="2" l="1"/>
  <c r="X19" i="2" s="1"/>
  <c r="R19" i="2"/>
  <c r="S19" i="2"/>
  <c r="J19" i="2"/>
  <c r="K19" i="2" s="1"/>
  <c r="N18" i="2"/>
  <c r="O18" i="2" s="1"/>
  <c r="AD10" i="2"/>
  <c r="AB11" i="2" s="1"/>
  <c r="F11" i="2"/>
  <c r="AA11" i="2" s="1"/>
  <c r="J20" i="2" l="1"/>
  <c r="K20" i="2" s="1"/>
  <c r="N19" i="2"/>
  <c r="O19" i="2" s="1"/>
  <c r="W20" i="2"/>
  <c r="X20" i="2" s="1"/>
  <c r="R20" i="2"/>
  <c r="S20" i="2" s="1"/>
  <c r="AC11" i="2"/>
  <c r="G11" i="2"/>
  <c r="N20" i="2" l="1"/>
  <c r="O20" i="2" s="1"/>
  <c r="J21" i="2"/>
  <c r="K21" i="2"/>
  <c r="R21" i="2"/>
  <c r="S21" i="2"/>
  <c r="W21" i="2"/>
  <c r="X21" i="2" s="1"/>
  <c r="F12" i="2"/>
  <c r="AA12" i="2" s="1"/>
  <c r="G12" i="2"/>
  <c r="AD11" i="2"/>
  <c r="AB12" i="2" s="1"/>
  <c r="AL11" i="2"/>
  <c r="AM11" i="2" s="1"/>
  <c r="W22" i="2" l="1"/>
  <c r="X22" i="2" s="1"/>
  <c r="N21" i="2"/>
  <c r="O21" i="2" s="1"/>
  <c r="R22" i="2"/>
  <c r="S22" i="2" s="1"/>
  <c r="K22" i="2"/>
  <c r="J22" i="2"/>
  <c r="AD12" i="2"/>
  <c r="AB13" i="2" s="1"/>
  <c r="F13" i="2"/>
  <c r="AA13" i="2" s="1"/>
  <c r="AC13" i="2" s="1"/>
  <c r="AL13" i="2" s="1"/>
  <c r="AC12" i="2"/>
  <c r="AL12" i="2" s="1"/>
  <c r="AM12" i="2" s="1"/>
  <c r="AM13" i="2" s="1"/>
  <c r="N22" i="2" l="1"/>
  <c r="O22" i="2" s="1"/>
  <c r="R23" i="2"/>
  <c r="S23" i="2" s="1"/>
  <c r="X23" i="2"/>
  <c r="W23" i="2"/>
  <c r="K23" i="2"/>
  <c r="J23" i="2"/>
  <c r="G13" i="2"/>
  <c r="R24" i="2" l="1"/>
  <c r="S24" i="2" s="1"/>
  <c r="N23" i="2"/>
  <c r="O23" i="2"/>
  <c r="W24" i="2"/>
  <c r="X24" i="2"/>
  <c r="J24" i="2"/>
  <c r="K24" i="2" s="1"/>
  <c r="F14" i="2"/>
  <c r="AA14" i="2" s="1"/>
  <c r="AD13" i="2"/>
  <c r="AB14" i="2" s="1"/>
  <c r="G14" i="2"/>
  <c r="J25" i="2" l="1"/>
  <c r="K25" i="2"/>
  <c r="R25" i="2"/>
  <c r="S25" i="2"/>
  <c r="N24" i="2"/>
  <c r="O24" i="2" s="1"/>
  <c r="W25" i="2"/>
  <c r="X25" i="2" s="1"/>
  <c r="AD14" i="2"/>
  <c r="AB15" i="2" s="1"/>
  <c r="F15" i="2"/>
  <c r="AA15" i="2" s="1"/>
  <c r="AC15" i="2" s="1"/>
  <c r="AC14" i="2"/>
  <c r="AL14" i="2" s="1"/>
  <c r="AM14" i="2" s="1"/>
  <c r="X26" i="2" l="1"/>
  <c r="W26" i="2"/>
  <c r="N25" i="2"/>
  <c r="O25" i="2" s="1"/>
  <c r="R26" i="2"/>
  <c r="S26" i="2" s="1"/>
  <c r="K26" i="2"/>
  <c r="J26" i="2"/>
  <c r="G15" i="2"/>
  <c r="R27" i="2" l="1"/>
  <c r="S27" i="2" s="1"/>
  <c r="N26" i="2"/>
  <c r="O26" i="2" s="1"/>
  <c r="W27" i="2"/>
  <c r="X27" i="2" s="1"/>
  <c r="AD15" i="2"/>
  <c r="F16" i="2"/>
  <c r="AA16" i="2" s="1"/>
  <c r="J27" i="2"/>
  <c r="K27" i="2" s="1"/>
  <c r="N27" i="2" l="1"/>
  <c r="O27" i="2" s="1"/>
  <c r="J28" i="2"/>
  <c r="K28" i="2" s="1"/>
  <c r="W28" i="2"/>
  <c r="X28" i="2" s="1"/>
  <c r="R28" i="2"/>
  <c r="S28" i="2" s="1"/>
  <c r="G16" i="2"/>
  <c r="AG15" i="2"/>
  <c r="AB16" i="2"/>
  <c r="AC16" i="2"/>
  <c r="AL16" i="2" s="1"/>
  <c r="R29" i="2" l="1"/>
  <c r="S29" i="2" s="1"/>
  <c r="W29" i="2"/>
  <c r="X29" i="2" s="1"/>
  <c r="J29" i="2"/>
  <c r="K29" i="2" s="1"/>
  <c r="N28" i="2"/>
  <c r="O28" i="2" s="1"/>
  <c r="AJ15" i="2"/>
  <c r="AD16" i="2"/>
  <c r="AB17" i="2" s="1"/>
  <c r="F17" i="2"/>
  <c r="AA17" i="2" s="1"/>
  <c r="AC17" i="2" s="1"/>
  <c r="AL17" i="2" s="1"/>
  <c r="J30" i="2" l="1"/>
  <c r="K30" i="2" s="1"/>
  <c r="W30" i="2"/>
  <c r="X30" i="2" s="1"/>
  <c r="N29" i="2"/>
  <c r="O29" i="2"/>
  <c r="S30" i="2"/>
  <c r="R30" i="2"/>
  <c r="G17" i="2"/>
  <c r="AL15" i="2"/>
  <c r="AM15" i="2" s="1"/>
  <c r="AM16" i="2" s="1"/>
  <c r="AM17" i="2" s="1"/>
  <c r="W31" i="2" l="1"/>
  <c r="X31" i="2" s="1"/>
  <c r="J31" i="2"/>
  <c r="K31" i="2" s="1"/>
  <c r="R31" i="2"/>
  <c r="S31" i="2" s="1"/>
  <c r="N30" i="2"/>
  <c r="O30" i="2" s="1"/>
  <c r="AD17" i="2"/>
  <c r="AB18" i="2" s="1"/>
  <c r="F18" i="2"/>
  <c r="AA18" i="2" s="1"/>
  <c r="AC18" i="2" s="1"/>
  <c r="AL18" i="2" s="1"/>
  <c r="AM18" i="2" s="1"/>
  <c r="R32" i="2" l="1"/>
  <c r="S32" i="2" s="1"/>
  <c r="J32" i="2"/>
  <c r="K32" i="2" s="1"/>
  <c r="N31" i="2"/>
  <c r="O31" i="2"/>
  <c r="W32" i="2"/>
  <c r="X32" i="2"/>
  <c r="G18" i="2"/>
  <c r="J33" i="2" l="1"/>
  <c r="K33" i="2" s="1"/>
  <c r="R33" i="2"/>
  <c r="S33" i="2"/>
  <c r="W33" i="2"/>
  <c r="X33" i="2" s="1"/>
  <c r="N32" i="2"/>
  <c r="O32" i="2" s="1"/>
  <c r="AD18" i="2"/>
  <c r="AB19" i="2" s="1"/>
  <c r="F19" i="2"/>
  <c r="AA19" i="2" s="1"/>
  <c r="AC19" i="2" s="1"/>
  <c r="AL19" i="2" s="1"/>
  <c r="AM19" i="2" s="1"/>
  <c r="W34" i="2" l="1"/>
  <c r="X34" i="2" s="1"/>
  <c r="N33" i="2"/>
  <c r="O33" i="2" s="1"/>
  <c r="J34" i="2"/>
  <c r="K34" i="2" s="1"/>
  <c r="R34" i="2"/>
  <c r="S34" i="2" s="1"/>
  <c r="G19" i="2"/>
  <c r="J35" i="2" l="1"/>
  <c r="K35" i="2"/>
  <c r="R35" i="2"/>
  <c r="S35" i="2"/>
  <c r="N34" i="2"/>
  <c r="O34" i="2" s="1"/>
  <c r="W35" i="2"/>
  <c r="X35" i="2"/>
  <c r="F20" i="2"/>
  <c r="AA20" i="2" s="1"/>
  <c r="AD19" i="2"/>
  <c r="AB20" i="2" s="1"/>
  <c r="N35" i="2" l="1"/>
  <c r="O35" i="2" s="1"/>
  <c r="W36" i="2"/>
  <c r="X36" i="2" s="1"/>
  <c r="R36" i="2"/>
  <c r="S36" i="2"/>
  <c r="AC20" i="2"/>
  <c r="AL20" i="2" s="1"/>
  <c r="AM20" i="2" s="1"/>
  <c r="J36" i="2"/>
  <c r="K36" i="2" s="1"/>
  <c r="G20" i="2"/>
  <c r="W37" i="2" l="1"/>
  <c r="X37" i="2" s="1"/>
  <c r="J37" i="2"/>
  <c r="K37" i="2" s="1"/>
  <c r="N36" i="2"/>
  <c r="O36" i="2" s="1"/>
  <c r="R37" i="2"/>
  <c r="S37" i="2" s="1"/>
  <c r="F21" i="2"/>
  <c r="AA21" i="2" s="1"/>
  <c r="AD20" i="2"/>
  <c r="AB21" i="2" s="1"/>
  <c r="G21" i="2"/>
  <c r="S38" i="2" l="1"/>
  <c r="R38" i="2"/>
  <c r="N37" i="2"/>
  <c r="O37" i="2"/>
  <c r="J38" i="2"/>
  <c r="K38" i="2" s="1"/>
  <c r="W38" i="2"/>
  <c r="X38" i="2"/>
  <c r="AD21" i="2"/>
  <c r="AB22" i="2" s="1"/>
  <c r="F22" i="2"/>
  <c r="AA22" i="2" s="1"/>
  <c r="AC22" i="2" s="1"/>
  <c r="AL22" i="2" s="1"/>
  <c r="AC21" i="2"/>
  <c r="AL21" i="2" s="1"/>
  <c r="AM21" i="2" s="1"/>
  <c r="J39" i="2" l="1"/>
  <c r="K39" i="2" s="1"/>
  <c r="AM22" i="2"/>
  <c r="N38" i="2"/>
  <c r="O38" i="2"/>
  <c r="W39" i="2"/>
  <c r="X39" i="2"/>
  <c r="G22" i="2"/>
  <c r="R39" i="2"/>
  <c r="S39" i="2" s="1"/>
  <c r="R40" i="2" l="1"/>
  <c r="S40" i="2" s="1"/>
  <c r="J40" i="2"/>
  <c r="K40" i="2" s="1"/>
  <c r="W40" i="2"/>
  <c r="X40" i="2" s="1"/>
  <c r="F23" i="2"/>
  <c r="AA23" i="2" s="1"/>
  <c r="AD22" i="2"/>
  <c r="AB23" i="2" s="1"/>
  <c r="N39" i="2"/>
  <c r="O39" i="2" s="1"/>
  <c r="N40" i="2" l="1"/>
  <c r="O40" i="2"/>
  <c r="W41" i="2"/>
  <c r="X41" i="2"/>
  <c r="J41" i="2"/>
  <c r="K41" i="2"/>
  <c r="R41" i="2"/>
  <c r="S41" i="2" s="1"/>
  <c r="AC23" i="2"/>
  <c r="AL23" i="2" s="1"/>
  <c r="AM23" i="2" s="1"/>
  <c r="G23" i="2"/>
  <c r="R42" i="2" l="1"/>
  <c r="S42" i="2"/>
  <c r="J42" i="2"/>
  <c r="K42" i="2"/>
  <c r="W42" i="2"/>
  <c r="X42" i="2" s="1"/>
  <c r="G24" i="2"/>
  <c r="AD23" i="2"/>
  <c r="AB24" i="2" s="1"/>
  <c r="F24" i="2"/>
  <c r="AA24" i="2" s="1"/>
  <c r="N41" i="2"/>
  <c r="O41" i="2" s="1"/>
  <c r="W43" i="2" l="1"/>
  <c r="X43" i="2" s="1"/>
  <c r="N42" i="2"/>
  <c r="O42" i="2" s="1"/>
  <c r="AD24" i="2"/>
  <c r="AB25" i="2" s="1"/>
  <c r="F25" i="2"/>
  <c r="AA25" i="2" s="1"/>
  <c r="AC25" i="2" s="1"/>
  <c r="AL25" i="2" s="1"/>
  <c r="S43" i="2"/>
  <c r="R43" i="2"/>
  <c r="J43" i="2"/>
  <c r="K43" i="2" s="1"/>
  <c r="AC24" i="2"/>
  <c r="AL24" i="2" s="1"/>
  <c r="AM24" i="2" s="1"/>
  <c r="N43" i="2" l="1"/>
  <c r="O43" i="2" s="1"/>
  <c r="J44" i="2"/>
  <c r="K44" i="2"/>
  <c r="W44" i="2"/>
  <c r="X44" i="2" s="1"/>
  <c r="R44" i="2"/>
  <c r="S44" i="2"/>
  <c r="AM25" i="2"/>
  <c r="G25" i="2"/>
  <c r="W45" i="2" l="1"/>
  <c r="X45" i="2" s="1"/>
  <c r="N44" i="2"/>
  <c r="O44" i="2" s="1"/>
  <c r="R45" i="2"/>
  <c r="S45" i="2" s="1"/>
  <c r="J45" i="2"/>
  <c r="K45" i="2" s="1"/>
  <c r="AD25" i="2"/>
  <c r="AB26" i="2" s="1"/>
  <c r="F26" i="2"/>
  <c r="AA26" i="2" s="1"/>
  <c r="AC26" i="2" s="1"/>
  <c r="AL26" i="2" s="1"/>
  <c r="AM26" i="2" s="1"/>
  <c r="J46" i="2" l="1"/>
  <c r="K46" i="2" s="1"/>
  <c r="N45" i="2"/>
  <c r="O45" i="2" s="1"/>
  <c r="R46" i="2"/>
  <c r="S46" i="2" s="1"/>
  <c r="X46" i="2"/>
  <c r="W46" i="2"/>
  <c r="G26" i="2"/>
  <c r="R47" i="2" l="1"/>
  <c r="S47" i="2" s="1"/>
  <c r="N46" i="2"/>
  <c r="O46" i="2"/>
  <c r="J47" i="2"/>
  <c r="K47" i="2" s="1"/>
  <c r="G27" i="2"/>
  <c r="AD26" i="2"/>
  <c r="AB27" i="2" s="1"/>
  <c r="F27" i="2"/>
  <c r="AA27" i="2" s="1"/>
  <c r="W47" i="2"/>
  <c r="X47" i="2" s="1"/>
  <c r="W48" i="2" l="1"/>
  <c r="X48" i="2" s="1"/>
  <c r="J48" i="2"/>
  <c r="K48" i="2" s="1"/>
  <c r="R48" i="2"/>
  <c r="S48" i="2" s="1"/>
  <c r="N47" i="2"/>
  <c r="O47" i="2" s="1"/>
  <c r="AD27" i="2"/>
  <c r="F28" i="2"/>
  <c r="AA28" i="2" s="1"/>
  <c r="AC27" i="2"/>
  <c r="R49" i="2" l="1"/>
  <c r="S49" i="2" s="1"/>
  <c r="N48" i="2"/>
  <c r="O48" i="2"/>
  <c r="J49" i="2"/>
  <c r="K49" i="2" s="1"/>
  <c r="W49" i="2"/>
  <c r="X49" i="2" s="1"/>
  <c r="AG27" i="2"/>
  <c r="AB28" i="2"/>
  <c r="AC28" i="2" s="1"/>
  <c r="AL28" i="2" s="1"/>
  <c r="G28" i="2"/>
  <c r="W50" i="2" l="1"/>
  <c r="X50" i="2"/>
  <c r="J50" i="2"/>
  <c r="K50" i="2" s="1"/>
  <c r="R50" i="2"/>
  <c r="S50" i="2" s="1"/>
  <c r="F29" i="2"/>
  <c r="AA29" i="2" s="1"/>
  <c r="AD28" i="2"/>
  <c r="AB29" i="2" s="1"/>
  <c r="N49" i="2"/>
  <c r="O49" i="2" s="1"/>
  <c r="AJ27" i="2"/>
  <c r="N50" i="2" l="1"/>
  <c r="O50" i="2"/>
  <c r="R51" i="2"/>
  <c r="S51" i="2" s="1"/>
  <c r="K51" i="2"/>
  <c r="J51" i="2"/>
  <c r="AC29" i="2"/>
  <c r="AL29" i="2" s="1"/>
  <c r="AL27" i="2"/>
  <c r="AM27" i="2" s="1"/>
  <c r="AM28" i="2" s="1"/>
  <c r="W51" i="2"/>
  <c r="X51" i="2"/>
  <c r="G29" i="2"/>
  <c r="S52" i="2" l="1"/>
  <c r="R52" i="2"/>
  <c r="J52" i="2"/>
  <c r="K52" i="2"/>
  <c r="W52" i="2"/>
  <c r="X52" i="2" s="1"/>
  <c r="O51" i="2"/>
  <c r="N51" i="2"/>
  <c r="G30" i="2"/>
  <c r="AD29" i="2"/>
  <c r="AB30" i="2" s="1"/>
  <c r="F30" i="2"/>
  <c r="AA30" i="2" s="1"/>
  <c r="AC30" i="2" s="1"/>
  <c r="AL30" i="2" s="1"/>
  <c r="AM29" i="2"/>
  <c r="W53" i="2" l="1"/>
  <c r="X53" i="2"/>
  <c r="N52" i="2"/>
  <c r="O52" i="2"/>
  <c r="J53" i="2"/>
  <c r="K53" i="2" s="1"/>
  <c r="AM30" i="2"/>
  <c r="F31" i="2"/>
  <c r="AA31" i="2" s="1"/>
  <c r="AC31" i="2" s="1"/>
  <c r="AL31" i="2" s="1"/>
  <c r="AD30" i="2"/>
  <c r="AB31" i="2" s="1"/>
  <c r="R53" i="2"/>
  <c r="S53" i="2"/>
  <c r="J54" i="2" l="1"/>
  <c r="K54" i="2"/>
  <c r="AM31" i="2"/>
  <c r="N53" i="2"/>
  <c r="O53" i="2" s="1"/>
  <c r="X54" i="2"/>
  <c r="W54" i="2"/>
  <c r="R54" i="2"/>
  <c r="S54" i="2" s="1"/>
  <c r="G31" i="2"/>
  <c r="R55" i="2" l="1"/>
  <c r="S55" i="2" s="1"/>
  <c r="N54" i="2"/>
  <c r="O54" i="2" s="1"/>
  <c r="J55" i="2"/>
  <c r="K55" i="2" s="1"/>
  <c r="W55" i="2"/>
  <c r="X55" i="2" s="1"/>
  <c r="AD31" i="2"/>
  <c r="AB32" i="2" s="1"/>
  <c r="F32" i="2"/>
  <c r="AA32" i="2" s="1"/>
  <c r="N55" i="2" l="1"/>
  <c r="O55" i="2" s="1"/>
  <c r="W56" i="2"/>
  <c r="X56" i="2" s="1"/>
  <c r="J56" i="2"/>
  <c r="K56" i="2"/>
  <c r="R56" i="2"/>
  <c r="S56" i="2"/>
  <c r="AC32" i="2"/>
  <c r="AL32" i="2" s="1"/>
  <c r="AM32" i="2" s="1"/>
  <c r="G32" i="2"/>
  <c r="W57" i="2" l="1"/>
  <c r="X57" i="2"/>
  <c r="N56" i="2"/>
  <c r="O56" i="2"/>
  <c r="R57" i="2"/>
  <c r="S57" i="2" s="1"/>
  <c r="G33" i="2"/>
  <c r="AD32" i="2"/>
  <c r="AB33" i="2" s="1"/>
  <c r="F33" i="2"/>
  <c r="AA33" i="2" s="1"/>
  <c r="K57" i="2"/>
  <c r="J57" i="2"/>
  <c r="R58" i="2" l="1"/>
  <c r="S58" i="2" s="1"/>
  <c r="AD33" i="2"/>
  <c r="AB34" i="2" s="1"/>
  <c r="F34" i="2"/>
  <c r="AA34" i="2" s="1"/>
  <c r="AC34" i="2" s="1"/>
  <c r="AL34" i="2" s="1"/>
  <c r="N57" i="2"/>
  <c r="O57" i="2" s="1"/>
  <c r="K58" i="2"/>
  <c r="J58" i="2"/>
  <c r="W58" i="2"/>
  <c r="X58" i="2" s="1"/>
  <c r="AC33" i="2"/>
  <c r="AL33" i="2" s="1"/>
  <c r="AM33" i="2" s="1"/>
  <c r="N58" i="2" l="1"/>
  <c r="O58" i="2"/>
  <c r="W59" i="2"/>
  <c r="X59" i="2" s="1"/>
  <c r="R59" i="2"/>
  <c r="S59" i="2" s="1"/>
  <c r="J59" i="2"/>
  <c r="K59" i="2" s="1"/>
  <c r="G34" i="2"/>
  <c r="AM34" i="2"/>
  <c r="R60" i="2" l="1"/>
  <c r="S60" i="2"/>
  <c r="J60" i="2"/>
  <c r="K60" i="2"/>
  <c r="W60" i="2"/>
  <c r="X60" i="2"/>
  <c r="O59" i="2"/>
  <c r="N59" i="2"/>
  <c r="AD34" i="2"/>
  <c r="AB35" i="2" s="1"/>
  <c r="F35" i="2"/>
  <c r="AA35" i="2" s="1"/>
  <c r="AC35" i="2" s="1"/>
  <c r="AL35" i="2" s="1"/>
  <c r="AM35" i="2" s="1"/>
  <c r="J61" i="2" l="1"/>
  <c r="K61" i="2"/>
  <c r="N60" i="2"/>
  <c r="O60" i="2"/>
  <c r="W61" i="2"/>
  <c r="X61" i="2" s="1"/>
  <c r="G35" i="2"/>
  <c r="R61" i="2"/>
  <c r="S61" i="2"/>
  <c r="W62" i="2" l="1"/>
  <c r="X62" i="2" s="1"/>
  <c r="AD35" i="2"/>
  <c r="AB36" i="2" s="1"/>
  <c r="F36" i="2"/>
  <c r="AA36" i="2" s="1"/>
  <c r="AC36" i="2" s="1"/>
  <c r="AL36" i="2" s="1"/>
  <c r="AM36" i="2" s="1"/>
  <c r="N61" i="2"/>
  <c r="O61" i="2" s="1"/>
  <c r="K62" i="2"/>
  <c r="J62" i="2"/>
  <c r="R62" i="2"/>
  <c r="S62" i="2" s="1"/>
  <c r="R63" i="2" l="1"/>
  <c r="S63" i="2" s="1"/>
  <c r="N62" i="2"/>
  <c r="O62" i="2"/>
  <c r="W63" i="2"/>
  <c r="X63" i="2" s="1"/>
  <c r="K63" i="2"/>
  <c r="J63" i="2"/>
  <c r="G36" i="2"/>
  <c r="W64" i="2" l="1"/>
  <c r="X64" i="2" s="1"/>
  <c r="S64" i="2"/>
  <c r="R64" i="2"/>
  <c r="N63" i="2"/>
  <c r="O63" i="2"/>
  <c r="J64" i="2"/>
  <c r="K64" i="2" s="1"/>
  <c r="F37" i="2"/>
  <c r="AA37" i="2" s="1"/>
  <c r="AD36" i="2"/>
  <c r="AB37" i="2" s="1"/>
  <c r="J65" i="2" l="1"/>
  <c r="K65" i="2" s="1"/>
  <c r="W65" i="2"/>
  <c r="X65" i="2" s="1"/>
  <c r="R65" i="2"/>
  <c r="S65" i="2" s="1"/>
  <c r="N64" i="2"/>
  <c r="O64" i="2" s="1"/>
  <c r="AC37" i="2"/>
  <c r="AL37" i="2" s="1"/>
  <c r="AM37" i="2" s="1"/>
  <c r="G37" i="2"/>
  <c r="N65" i="2" l="1"/>
  <c r="O65" i="2"/>
  <c r="R66" i="2"/>
  <c r="S66" i="2" s="1"/>
  <c r="W66" i="2"/>
  <c r="X66" i="2" s="1"/>
  <c r="J66" i="2"/>
  <c r="K66" i="2" s="1"/>
  <c r="F38" i="2"/>
  <c r="AA38" i="2" s="1"/>
  <c r="G38" i="2"/>
  <c r="AD37" i="2"/>
  <c r="AB38" i="2" s="1"/>
  <c r="W67" i="2" l="1"/>
  <c r="X67" i="2" s="1"/>
  <c r="J67" i="2"/>
  <c r="K67" i="2" s="1"/>
  <c r="R67" i="2"/>
  <c r="S67" i="2" s="1"/>
  <c r="G39" i="2"/>
  <c r="AD38" i="2"/>
  <c r="AB39" i="2" s="1"/>
  <c r="F39" i="2"/>
  <c r="AA39" i="2" s="1"/>
  <c r="N66" i="2"/>
  <c r="O66" i="2" s="1"/>
  <c r="AC38" i="2"/>
  <c r="AL38" i="2" s="1"/>
  <c r="AM38" i="2" s="1"/>
  <c r="N67" i="2" l="1"/>
  <c r="O67" i="2" s="1"/>
  <c r="J68" i="2"/>
  <c r="K68" i="2" s="1"/>
  <c r="R68" i="2"/>
  <c r="S68" i="2" s="1"/>
  <c r="W68" i="2"/>
  <c r="X68" i="2" s="1"/>
  <c r="F40" i="2"/>
  <c r="AA40" i="2" s="1"/>
  <c r="AD39" i="2"/>
  <c r="AC39" i="2"/>
  <c r="W69" i="2" l="1"/>
  <c r="X69" i="2" s="1"/>
  <c r="R69" i="2"/>
  <c r="S69" i="2"/>
  <c r="J69" i="2"/>
  <c r="K69" i="2"/>
  <c r="N68" i="2"/>
  <c r="O68" i="2" s="1"/>
  <c r="AG39" i="2"/>
  <c r="AB40" i="2"/>
  <c r="AC40" i="2" s="1"/>
  <c r="AL40" i="2" s="1"/>
  <c r="G40" i="2"/>
  <c r="N69" i="2" l="1"/>
  <c r="O69" i="2" s="1"/>
  <c r="W70" i="2"/>
  <c r="X70" i="2" s="1"/>
  <c r="J70" i="2"/>
  <c r="K70" i="2" s="1"/>
  <c r="AJ39" i="2"/>
  <c r="AD40" i="2"/>
  <c r="AB41" i="2" s="1"/>
  <c r="F41" i="2"/>
  <c r="AA41" i="2" s="1"/>
  <c r="S70" i="2"/>
  <c r="R70" i="2"/>
  <c r="J71" i="2" l="1"/>
  <c r="K71" i="2" s="1"/>
  <c r="W71" i="2"/>
  <c r="X71" i="2" s="1"/>
  <c r="N70" i="2"/>
  <c r="O70" i="2" s="1"/>
  <c r="R71" i="2"/>
  <c r="S71" i="2" s="1"/>
  <c r="AL39" i="2"/>
  <c r="AM39" i="2" s="1"/>
  <c r="AM40" i="2" s="1"/>
  <c r="AC41" i="2"/>
  <c r="AL41" i="2" s="1"/>
  <c r="G41" i="2"/>
  <c r="W72" i="2" l="1"/>
  <c r="X72" i="2" s="1"/>
  <c r="R72" i="2"/>
  <c r="S72" i="2" s="1"/>
  <c r="N71" i="2"/>
  <c r="O71" i="2" s="1"/>
  <c r="J72" i="2"/>
  <c r="K72" i="2" s="1"/>
  <c r="AD41" i="2"/>
  <c r="AB42" i="2" s="1"/>
  <c r="F42" i="2"/>
  <c r="AA42" i="2" s="1"/>
  <c r="AC42" i="2" s="1"/>
  <c r="AL42" i="2" s="1"/>
  <c r="AM41" i="2"/>
  <c r="J73" i="2" l="1"/>
  <c r="K73" i="2" s="1"/>
  <c r="N72" i="2"/>
  <c r="O72" i="2"/>
  <c r="S73" i="2"/>
  <c r="R73" i="2"/>
  <c r="W73" i="2"/>
  <c r="X73" i="2"/>
  <c r="AM42" i="2"/>
  <c r="G42" i="2"/>
  <c r="J74" i="2" l="1"/>
  <c r="K74" i="2"/>
  <c r="N73" i="2"/>
  <c r="O73" i="2" s="1"/>
  <c r="AD42" i="2"/>
  <c r="AB43" i="2" s="1"/>
  <c r="F43" i="2"/>
  <c r="AA43" i="2" s="1"/>
  <c r="AC43" i="2" s="1"/>
  <c r="AL43" i="2" s="1"/>
  <c r="AM43" i="2" s="1"/>
  <c r="W74" i="2"/>
  <c r="X74" i="2" s="1"/>
  <c r="R74" i="2"/>
  <c r="S74" i="2"/>
  <c r="W75" i="2" l="1"/>
  <c r="X75" i="2" s="1"/>
  <c r="N74" i="2"/>
  <c r="O74" i="2" s="1"/>
  <c r="G43" i="2"/>
  <c r="J75" i="2"/>
  <c r="K75" i="2" s="1"/>
  <c r="R75" i="2"/>
  <c r="S75" i="2" s="1"/>
  <c r="R76" i="2" l="1"/>
  <c r="S76" i="2" s="1"/>
  <c r="N75" i="2"/>
  <c r="O75" i="2" s="1"/>
  <c r="J76" i="2"/>
  <c r="K76" i="2" s="1"/>
  <c r="W76" i="2"/>
  <c r="X76" i="2" s="1"/>
  <c r="AD43" i="2"/>
  <c r="AB44" i="2" s="1"/>
  <c r="F44" i="2"/>
  <c r="AA44" i="2" s="1"/>
  <c r="AC44" i="2" s="1"/>
  <c r="AL44" i="2" s="1"/>
  <c r="AM44" i="2" s="1"/>
  <c r="W77" i="2" l="1"/>
  <c r="X77" i="2" s="1"/>
  <c r="J77" i="2"/>
  <c r="K77" i="2"/>
  <c r="N76" i="2"/>
  <c r="O76" i="2"/>
  <c r="R77" i="2"/>
  <c r="S77" i="2"/>
  <c r="G44" i="2"/>
  <c r="W78" i="2" l="1"/>
  <c r="X78" i="2" s="1"/>
  <c r="R78" i="2"/>
  <c r="S78" i="2" s="1"/>
  <c r="N77" i="2"/>
  <c r="O77" i="2" s="1"/>
  <c r="J78" i="2"/>
  <c r="K78" i="2" s="1"/>
  <c r="F45" i="2"/>
  <c r="AA45" i="2" s="1"/>
  <c r="AC45" i="2" s="1"/>
  <c r="AL45" i="2" s="1"/>
  <c r="AM45" i="2" s="1"/>
  <c r="AD44" i="2"/>
  <c r="AB45" i="2" s="1"/>
  <c r="J79" i="2" l="1"/>
  <c r="K79" i="2" s="1"/>
  <c r="N78" i="2"/>
  <c r="O78" i="2" s="1"/>
  <c r="R79" i="2"/>
  <c r="S79" i="2" s="1"/>
  <c r="W79" i="2"/>
  <c r="X79" i="2" s="1"/>
  <c r="G45" i="2"/>
  <c r="R80" i="2" l="1"/>
  <c r="S80" i="2" s="1"/>
  <c r="X80" i="2"/>
  <c r="W80" i="2"/>
  <c r="N79" i="2"/>
  <c r="O79" i="2" s="1"/>
  <c r="J80" i="2"/>
  <c r="K80" i="2" s="1"/>
  <c r="F46" i="2"/>
  <c r="AA46" i="2" s="1"/>
  <c r="G46" i="2"/>
  <c r="AD45" i="2"/>
  <c r="AB46" i="2" s="1"/>
  <c r="J81" i="2" l="1"/>
  <c r="K81" i="2"/>
  <c r="N80" i="2"/>
  <c r="O80" i="2" s="1"/>
  <c r="R81" i="2"/>
  <c r="S81" i="2"/>
  <c r="W81" i="2"/>
  <c r="X81" i="2" s="1"/>
  <c r="AD46" i="2"/>
  <c r="AB47" i="2" s="1"/>
  <c r="F47" i="2"/>
  <c r="AA47" i="2" s="1"/>
  <c r="AC47" i="2" s="1"/>
  <c r="AL47" i="2" s="1"/>
  <c r="AC46" i="2"/>
  <c r="AL46" i="2" s="1"/>
  <c r="AM46" i="2" s="1"/>
  <c r="W82" i="2" l="1"/>
  <c r="X82" i="2"/>
  <c r="N81" i="2"/>
  <c r="O81" i="2" s="1"/>
  <c r="K82" i="2"/>
  <c r="J82" i="2"/>
  <c r="R82" i="2"/>
  <c r="S82" i="2" s="1"/>
  <c r="AM47" i="2"/>
  <c r="G47" i="2"/>
  <c r="R83" i="2" l="1"/>
  <c r="S83" i="2" s="1"/>
  <c r="N82" i="2"/>
  <c r="O82" i="2" s="1"/>
  <c r="J83" i="2"/>
  <c r="K83" i="2" s="1"/>
  <c r="W83" i="2"/>
  <c r="X83" i="2" s="1"/>
  <c r="F48" i="2"/>
  <c r="AA48" i="2" s="1"/>
  <c r="AD47" i="2"/>
  <c r="AB48" i="2" s="1"/>
  <c r="G48" i="2"/>
  <c r="N83" i="2" l="1"/>
  <c r="O83" i="2" s="1"/>
  <c r="W84" i="2"/>
  <c r="X84" i="2" s="1"/>
  <c r="J84" i="2"/>
  <c r="K84" i="2" s="1"/>
  <c r="R84" i="2"/>
  <c r="S84" i="2"/>
  <c r="AD48" i="2"/>
  <c r="AB49" i="2" s="1"/>
  <c r="F49" i="2"/>
  <c r="AA49" i="2" s="1"/>
  <c r="AC49" i="2" s="1"/>
  <c r="AL49" i="2" s="1"/>
  <c r="AC48" i="2"/>
  <c r="AL48" i="2" s="1"/>
  <c r="AM48" i="2" s="1"/>
  <c r="AM49" i="2" s="1"/>
  <c r="J85" i="2" l="1"/>
  <c r="K85" i="2"/>
  <c r="W85" i="2"/>
  <c r="X85" i="2" s="1"/>
  <c r="N84" i="2"/>
  <c r="O84" i="2" s="1"/>
  <c r="G49" i="2"/>
  <c r="R85" i="2"/>
  <c r="S85" i="2"/>
  <c r="N85" i="2" l="1"/>
  <c r="O85" i="2"/>
  <c r="W86" i="2"/>
  <c r="X86" i="2" s="1"/>
  <c r="F50" i="2"/>
  <c r="AA50" i="2" s="1"/>
  <c r="AD49" i="2"/>
  <c r="AB50" i="2" s="1"/>
  <c r="G50" i="2"/>
  <c r="S86" i="2"/>
  <c r="R86" i="2"/>
  <c r="J86" i="2"/>
  <c r="K86" i="2" s="1"/>
  <c r="W87" i="2" l="1"/>
  <c r="X87" i="2" s="1"/>
  <c r="J87" i="2"/>
  <c r="K87" i="2" s="1"/>
  <c r="AD50" i="2"/>
  <c r="AB51" i="2" s="1"/>
  <c r="F51" i="2"/>
  <c r="AA51" i="2" s="1"/>
  <c r="O86" i="2"/>
  <c r="N86" i="2"/>
  <c r="R87" i="2"/>
  <c r="S87" i="2" s="1"/>
  <c r="AC50" i="2"/>
  <c r="AL50" i="2" s="1"/>
  <c r="AM50" i="2" s="1"/>
  <c r="R88" i="2" l="1"/>
  <c r="S88" i="2" s="1"/>
  <c r="J88" i="2"/>
  <c r="K88" i="2" s="1"/>
  <c r="W88" i="2"/>
  <c r="X88" i="2" s="1"/>
  <c r="N87" i="2"/>
  <c r="O87" i="2" s="1"/>
  <c r="AC51" i="2"/>
  <c r="G51" i="2"/>
  <c r="J89" i="2" l="1"/>
  <c r="K89" i="2" s="1"/>
  <c r="N88" i="2"/>
  <c r="O88" i="2" s="1"/>
  <c r="W89" i="2"/>
  <c r="X89" i="2" s="1"/>
  <c r="R89" i="2"/>
  <c r="S89" i="2" s="1"/>
  <c r="F52" i="2"/>
  <c r="AA52" i="2" s="1"/>
  <c r="AD51" i="2"/>
  <c r="R90" i="2" l="1"/>
  <c r="S90" i="2" s="1"/>
  <c r="W90" i="2"/>
  <c r="X90" i="2"/>
  <c r="N89" i="2"/>
  <c r="O89" i="2"/>
  <c r="J90" i="2"/>
  <c r="K90" i="2" s="1"/>
  <c r="AG51" i="2"/>
  <c r="AJ51" i="2" s="1"/>
  <c r="AL51" i="2" s="1"/>
  <c r="AM51" i="2" s="1"/>
  <c r="AM52" i="2" s="1"/>
  <c r="AB52" i="2"/>
  <c r="G52" i="2"/>
  <c r="AC52" i="2"/>
  <c r="AL52" i="2" s="1"/>
  <c r="J91" i="2" l="1"/>
  <c r="K91" i="2" s="1"/>
  <c r="R91" i="2"/>
  <c r="S91" i="2" s="1"/>
  <c r="W91" i="2"/>
  <c r="X91" i="2" s="1"/>
  <c r="N90" i="2"/>
  <c r="O90" i="2" s="1"/>
  <c r="AD52" i="2"/>
  <c r="AB53" i="2" s="1"/>
  <c r="F53" i="2"/>
  <c r="AA53" i="2" s="1"/>
  <c r="AC53" i="2" s="1"/>
  <c r="AL53" i="2" s="1"/>
  <c r="AM53" i="2" s="1"/>
  <c r="R92" i="2" l="1"/>
  <c r="S92" i="2"/>
  <c r="N91" i="2"/>
  <c r="O91" i="2" s="1"/>
  <c r="W92" i="2"/>
  <c r="X92" i="2" s="1"/>
  <c r="J92" i="2"/>
  <c r="K92" i="2" s="1"/>
  <c r="G53" i="2"/>
  <c r="W93" i="2" l="1"/>
  <c r="X93" i="2" s="1"/>
  <c r="J93" i="2"/>
  <c r="K93" i="2"/>
  <c r="N92" i="2"/>
  <c r="O92" i="2" s="1"/>
  <c r="G54" i="2"/>
  <c r="AD53" i="2"/>
  <c r="AB54" i="2" s="1"/>
  <c r="F54" i="2"/>
  <c r="AA54" i="2" s="1"/>
  <c r="R93" i="2"/>
  <c r="S93" i="2"/>
  <c r="N93" i="2" l="1"/>
  <c r="O93" i="2"/>
  <c r="W94" i="2"/>
  <c r="X94" i="2"/>
  <c r="F55" i="2"/>
  <c r="AA55" i="2" s="1"/>
  <c r="AD54" i="2"/>
  <c r="AB55" i="2" s="1"/>
  <c r="G55" i="2"/>
  <c r="K94" i="2"/>
  <c r="J94" i="2"/>
  <c r="R94" i="2"/>
  <c r="S94" i="2" s="1"/>
  <c r="AC54" i="2"/>
  <c r="AL54" i="2" s="1"/>
  <c r="AM54" i="2" s="1"/>
  <c r="R95" i="2" l="1"/>
  <c r="S95" i="2" s="1"/>
  <c r="F56" i="2"/>
  <c r="AA56" i="2" s="1"/>
  <c r="AD55" i="2"/>
  <c r="AB56" i="2" s="1"/>
  <c r="G56" i="2"/>
  <c r="W95" i="2"/>
  <c r="X95" i="2" s="1"/>
  <c r="O94" i="2"/>
  <c r="N94" i="2"/>
  <c r="J95" i="2"/>
  <c r="K95" i="2" s="1"/>
  <c r="AC55" i="2"/>
  <c r="AL55" i="2" s="1"/>
  <c r="AM55" i="2" s="1"/>
  <c r="X96" i="2" l="1"/>
  <c r="W96" i="2"/>
  <c r="J96" i="2"/>
  <c r="K96" i="2" s="1"/>
  <c r="R96" i="2"/>
  <c r="S96" i="2" s="1"/>
  <c r="AC56" i="2"/>
  <c r="AL56" i="2" s="1"/>
  <c r="AM56" i="2" s="1"/>
  <c r="AD56" i="2"/>
  <c r="AB57" i="2" s="1"/>
  <c r="F57" i="2"/>
  <c r="AA57" i="2" s="1"/>
  <c r="AC57" i="2" s="1"/>
  <c r="AL57" i="2" s="1"/>
  <c r="N95" i="2"/>
  <c r="O95" i="2" s="1"/>
  <c r="AM57" i="2" l="1"/>
  <c r="N96" i="2"/>
  <c r="O96" i="2" s="1"/>
  <c r="J97" i="2"/>
  <c r="K97" i="2" s="1"/>
  <c r="R97" i="2"/>
  <c r="S97" i="2"/>
  <c r="G57" i="2"/>
  <c r="W97" i="2"/>
  <c r="X97" i="2" s="1"/>
  <c r="W98" i="2" l="1"/>
  <c r="X98" i="2" s="1"/>
  <c r="J98" i="2"/>
  <c r="K98" i="2" s="1"/>
  <c r="N97" i="2"/>
  <c r="O97" i="2"/>
  <c r="R98" i="2"/>
  <c r="S98" i="2" s="1"/>
  <c r="F58" i="2"/>
  <c r="AA58" i="2" s="1"/>
  <c r="AC58" i="2" s="1"/>
  <c r="AL58" i="2" s="1"/>
  <c r="AM58" i="2" s="1"/>
  <c r="AD57" i="2"/>
  <c r="AB58" i="2" s="1"/>
  <c r="X99" i="2" l="1"/>
  <c r="W99" i="2"/>
  <c r="R99" i="2"/>
  <c r="S99" i="2" s="1"/>
  <c r="J99" i="2"/>
  <c r="K99" i="2" s="1"/>
  <c r="N98" i="2"/>
  <c r="O98" i="2" s="1"/>
  <c r="G58" i="2"/>
  <c r="N99" i="2" l="1"/>
  <c r="O99" i="2" s="1"/>
  <c r="AD58" i="2"/>
  <c r="AB59" i="2" s="1"/>
  <c r="F59" i="2"/>
  <c r="AA59" i="2" s="1"/>
  <c r="AC59" i="2" s="1"/>
  <c r="AL59" i="2" s="1"/>
  <c r="AM59" i="2" s="1"/>
  <c r="G59" i="2" l="1"/>
  <c r="F60" i="2" l="1"/>
  <c r="AA60" i="2" s="1"/>
  <c r="AD59" i="2"/>
  <c r="AB60" i="2" s="1"/>
  <c r="G60" i="2"/>
  <c r="AD60" i="2" l="1"/>
  <c r="AB61" i="2" s="1"/>
  <c r="F61" i="2"/>
  <c r="AA61" i="2" s="1"/>
  <c r="AC61" i="2" s="1"/>
  <c r="AL61" i="2" s="1"/>
  <c r="AC60" i="2"/>
  <c r="AL60" i="2" s="1"/>
  <c r="AM60" i="2" s="1"/>
  <c r="AM61" i="2" l="1"/>
  <c r="G61" i="2"/>
  <c r="AD61" i="2" l="1"/>
  <c r="AB62" i="2" s="1"/>
  <c r="F62" i="2"/>
  <c r="AA62" i="2" s="1"/>
  <c r="AC62" i="2" l="1"/>
  <c r="AL62" i="2" s="1"/>
  <c r="AM62" i="2" s="1"/>
  <c r="G62" i="2"/>
  <c r="AD62" i="2" l="1"/>
  <c r="AB63" i="2" s="1"/>
  <c r="F63" i="2"/>
  <c r="AA63" i="2" s="1"/>
  <c r="AC63" i="2" s="1"/>
  <c r="G63" i="2" l="1"/>
  <c r="AD63" i="2" l="1"/>
  <c r="F64" i="2"/>
  <c r="AA64" i="2" s="1"/>
  <c r="AG63" i="2" l="1"/>
  <c r="AJ63" i="2" s="1"/>
  <c r="AL63" i="2" s="1"/>
  <c r="AM63" i="2" s="1"/>
  <c r="AB64" i="2"/>
  <c r="AC64" i="2" s="1"/>
  <c r="AL64" i="2" s="1"/>
  <c r="G64" i="2"/>
  <c r="F65" i="2" l="1"/>
  <c r="AA65" i="2" s="1"/>
  <c r="AD64" i="2"/>
  <c r="AB65" i="2" s="1"/>
  <c r="G65" i="2"/>
  <c r="AM64" i="2"/>
  <c r="AD65" i="2" l="1"/>
  <c r="AB66" i="2" s="1"/>
  <c r="F66" i="2"/>
  <c r="AA66" i="2" s="1"/>
  <c r="AC66" i="2" s="1"/>
  <c r="AL66" i="2" s="1"/>
  <c r="AC65" i="2"/>
  <c r="AL65" i="2" s="1"/>
  <c r="AM65" i="2" s="1"/>
  <c r="AM66" i="2" s="1"/>
  <c r="G66" i="2" l="1"/>
  <c r="AD66" i="2" l="1"/>
  <c r="AB67" i="2" s="1"/>
  <c r="F67" i="2"/>
  <c r="AA67" i="2" s="1"/>
  <c r="AC67" i="2" s="1"/>
  <c r="AL67" i="2" s="1"/>
  <c r="AM67" i="2" s="1"/>
  <c r="G67" i="2" l="1"/>
  <c r="AD67" i="2" l="1"/>
  <c r="AB68" i="2" s="1"/>
  <c r="F68" i="2"/>
  <c r="AA68" i="2" s="1"/>
  <c r="AC68" i="2" s="1"/>
  <c r="AL68" i="2" s="1"/>
  <c r="AM68" i="2" s="1"/>
  <c r="G68" i="2" l="1"/>
  <c r="AD68" i="2" l="1"/>
  <c r="AB69" i="2" s="1"/>
  <c r="F69" i="2"/>
  <c r="AA69" i="2" s="1"/>
  <c r="AC69" i="2" l="1"/>
  <c r="AL69" i="2" s="1"/>
  <c r="AM69" i="2" s="1"/>
  <c r="G69" i="2"/>
  <c r="AD69" i="2" l="1"/>
  <c r="AB70" i="2" s="1"/>
  <c r="F70" i="2"/>
  <c r="AA70" i="2" s="1"/>
  <c r="AC70" i="2" s="1"/>
  <c r="AL70" i="2" s="1"/>
  <c r="AM70" i="2" s="1"/>
  <c r="G70" i="2"/>
  <c r="F71" i="2" l="1"/>
  <c r="AA71" i="2" s="1"/>
  <c r="AD70" i="2"/>
  <c r="AB71" i="2" s="1"/>
  <c r="G71" i="2"/>
  <c r="AD71" i="2" l="1"/>
  <c r="AB72" i="2" s="1"/>
  <c r="G72" i="2"/>
  <c r="F72" i="2"/>
  <c r="AA72" i="2" s="1"/>
  <c r="AC72" i="2" s="1"/>
  <c r="AL72" i="2" s="1"/>
  <c r="AC71" i="2"/>
  <c r="AL71" i="2" s="1"/>
  <c r="AM71" i="2" s="1"/>
  <c r="AM72" i="2" s="1"/>
  <c r="F73" i="2" l="1"/>
  <c r="AA73" i="2" s="1"/>
  <c r="G73" i="2"/>
  <c r="AD72" i="2"/>
  <c r="AB73" i="2" s="1"/>
  <c r="AC73" i="2" l="1"/>
  <c r="AL73" i="2" s="1"/>
  <c r="AM73" i="2" s="1"/>
  <c r="AD73" i="2"/>
  <c r="AB74" i="2" s="1"/>
  <c r="F74" i="2"/>
  <c r="AA74" i="2" s="1"/>
  <c r="AC74" i="2" s="1"/>
  <c r="AL74" i="2" s="1"/>
  <c r="G74" i="2" l="1"/>
  <c r="AM74" i="2"/>
  <c r="AD74" i="2" l="1"/>
  <c r="AB75" i="2" s="1"/>
  <c r="F75" i="2"/>
  <c r="AA75" i="2" s="1"/>
  <c r="AC75" i="2" s="1"/>
  <c r="G75" i="2" l="1"/>
  <c r="AD75" i="2" l="1"/>
  <c r="F76" i="2"/>
  <c r="AA76" i="2" s="1"/>
  <c r="G76" i="2"/>
  <c r="AD76" i="2" l="1"/>
  <c r="AB77" i="2" s="1"/>
  <c r="F77" i="2"/>
  <c r="AA77" i="2" s="1"/>
  <c r="AC77" i="2" s="1"/>
  <c r="AL77" i="2" s="1"/>
  <c r="AG75" i="2"/>
  <c r="AJ75" i="2" s="1"/>
  <c r="AL75" i="2" s="1"/>
  <c r="AM75" i="2" s="1"/>
  <c r="AB76" i="2"/>
  <c r="AC76" i="2" s="1"/>
  <c r="AL76" i="2" s="1"/>
  <c r="AM76" i="2" l="1"/>
  <c r="AM77" i="2" s="1"/>
  <c r="G77" i="2"/>
  <c r="F78" i="2" l="1"/>
  <c r="AA78" i="2" s="1"/>
  <c r="G78" i="2"/>
  <c r="AD77" i="2"/>
  <c r="AB78" i="2" s="1"/>
  <c r="AD78" i="2" l="1"/>
  <c r="AB79" i="2" s="1"/>
  <c r="F79" i="2"/>
  <c r="AA79" i="2" s="1"/>
  <c r="AC79" i="2" s="1"/>
  <c r="AL79" i="2" s="1"/>
  <c r="AC78" i="2"/>
  <c r="AL78" i="2" s="1"/>
  <c r="AM78" i="2" s="1"/>
  <c r="AM79" i="2" s="1"/>
  <c r="G79" i="2" l="1"/>
  <c r="AD79" i="2" l="1"/>
  <c r="AB80" i="2" s="1"/>
  <c r="F80" i="2"/>
  <c r="AA80" i="2" s="1"/>
  <c r="G80" i="2"/>
  <c r="F81" i="2" l="1"/>
  <c r="AA81" i="2" s="1"/>
  <c r="AD80" i="2"/>
  <c r="AB81" i="2" s="1"/>
  <c r="G81" i="2"/>
  <c r="AC80" i="2"/>
  <c r="AL80" i="2" s="1"/>
  <c r="AM80" i="2" s="1"/>
  <c r="AD81" i="2" l="1"/>
  <c r="AB82" i="2" s="1"/>
  <c r="F82" i="2"/>
  <c r="AA82" i="2" s="1"/>
  <c r="AC82" i="2" s="1"/>
  <c r="AL82" i="2" s="1"/>
  <c r="AC81" i="2"/>
  <c r="AL81" i="2" s="1"/>
  <c r="AM81" i="2" s="1"/>
  <c r="AM82" i="2" s="1"/>
  <c r="G82" i="2" l="1"/>
  <c r="AD82" i="2" l="1"/>
  <c r="AB83" i="2" s="1"/>
  <c r="F83" i="2"/>
  <c r="AA83" i="2" s="1"/>
  <c r="AC83" i="2" l="1"/>
  <c r="AL83" i="2" s="1"/>
  <c r="AM83" i="2" s="1"/>
  <c r="G83" i="2"/>
  <c r="F84" i="2" l="1"/>
  <c r="AA84" i="2" s="1"/>
  <c r="AD83" i="2"/>
  <c r="AB84" i="2" s="1"/>
  <c r="AC84" i="2" l="1"/>
  <c r="AL84" i="2" s="1"/>
  <c r="AM84" i="2" s="1"/>
  <c r="G84" i="2"/>
  <c r="F85" i="2" l="1"/>
  <c r="AA85" i="2" s="1"/>
  <c r="G85" i="2"/>
  <c r="AD84" i="2"/>
  <c r="AB85" i="2" s="1"/>
  <c r="AD85" i="2" l="1"/>
  <c r="AB86" i="2" s="1"/>
  <c r="F86" i="2"/>
  <c r="AA86" i="2" s="1"/>
  <c r="AC86" i="2" s="1"/>
  <c r="AL86" i="2" s="1"/>
  <c r="AC85" i="2"/>
  <c r="AL85" i="2" s="1"/>
  <c r="AM85" i="2" s="1"/>
  <c r="AM86" i="2" s="1"/>
  <c r="G86" i="2" l="1"/>
  <c r="AD86" i="2" l="1"/>
  <c r="AB87" i="2" s="1"/>
  <c r="F87" i="2"/>
  <c r="AA87" i="2" s="1"/>
  <c r="AC87" i="2" s="1"/>
  <c r="G87" i="2" l="1"/>
  <c r="AD87" i="2" l="1"/>
  <c r="F88" i="2"/>
  <c r="AA88" i="2" s="1"/>
  <c r="G88" i="2"/>
  <c r="F89" i="2" l="1"/>
  <c r="AA89" i="2" s="1"/>
  <c r="G89" i="2"/>
  <c r="AD88" i="2"/>
  <c r="AB89" i="2" s="1"/>
  <c r="AG87" i="2"/>
  <c r="AJ87" i="2" s="1"/>
  <c r="AL87" i="2" s="1"/>
  <c r="AM87" i="2" s="1"/>
  <c r="AB88" i="2"/>
  <c r="AC88" i="2" s="1"/>
  <c r="AL88" i="2" s="1"/>
  <c r="AM88" i="2" l="1"/>
  <c r="AD89" i="2"/>
  <c r="AB90" i="2" s="1"/>
  <c r="F90" i="2"/>
  <c r="AA90" i="2" s="1"/>
  <c r="AC89" i="2"/>
  <c r="AL89" i="2" s="1"/>
  <c r="AC90" i="2" l="1"/>
  <c r="AL90" i="2" s="1"/>
  <c r="G90" i="2"/>
  <c r="AM89" i="2"/>
  <c r="AM90" i="2" s="1"/>
  <c r="AD90" i="2" l="1"/>
  <c r="AB91" i="2" s="1"/>
  <c r="F91" i="2"/>
  <c r="AA91" i="2" s="1"/>
  <c r="AC91" i="2" l="1"/>
  <c r="AL91" i="2" s="1"/>
  <c r="AM91" i="2" s="1"/>
  <c r="G91" i="2"/>
  <c r="AD91" i="2" l="1"/>
  <c r="AB92" i="2" s="1"/>
  <c r="F92" i="2"/>
  <c r="AA92" i="2" s="1"/>
  <c r="AC92" i="2" s="1"/>
  <c r="AL92" i="2" s="1"/>
  <c r="AM92" i="2" s="1"/>
  <c r="G92" i="2" l="1"/>
  <c r="F93" i="2" l="1"/>
  <c r="AA93" i="2" s="1"/>
  <c r="G93" i="2"/>
  <c r="AD92" i="2"/>
  <c r="AB93" i="2" s="1"/>
  <c r="AD93" i="2" l="1"/>
  <c r="AB94" i="2" s="1"/>
  <c r="F94" i="2"/>
  <c r="AA94" i="2" s="1"/>
  <c r="AC94" i="2" s="1"/>
  <c r="AL94" i="2" s="1"/>
  <c r="AC93" i="2"/>
  <c r="AL93" i="2" s="1"/>
  <c r="AM93" i="2" s="1"/>
  <c r="AM94" i="2" l="1"/>
  <c r="G94" i="2"/>
  <c r="AD94" i="2" l="1"/>
  <c r="AB95" i="2" s="1"/>
  <c r="F95" i="2"/>
  <c r="AA95" i="2" s="1"/>
  <c r="AC95" i="2" s="1"/>
  <c r="AL95" i="2" s="1"/>
  <c r="AM95" i="2" s="1"/>
  <c r="G95" i="2" l="1"/>
  <c r="F96" i="2" l="1"/>
  <c r="AA96" i="2" s="1"/>
  <c r="AD95" i="2"/>
  <c r="AB96" i="2" s="1"/>
  <c r="G96" i="2"/>
  <c r="F97" i="2" l="1"/>
  <c r="AA97" i="2" s="1"/>
  <c r="G97" i="2"/>
  <c r="AD96" i="2"/>
  <c r="AB97" i="2" s="1"/>
  <c r="AC96" i="2"/>
  <c r="AL96" i="2" s="1"/>
  <c r="AM96" i="2" s="1"/>
  <c r="AD97" i="2" l="1"/>
  <c r="AB98" i="2" s="1"/>
  <c r="F98" i="2"/>
  <c r="AA98" i="2" s="1"/>
  <c r="AC97" i="2"/>
  <c r="AL97" i="2" s="1"/>
  <c r="AM97" i="2" s="1"/>
  <c r="AC98" i="2" l="1"/>
  <c r="AL98" i="2" s="1"/>
  <c r="AM98" i="2" s="1"/>
  <c r="G98" i="2"/>
  <c r="AD98" i="2" l="1"/>
  <c r="AB99" i="2" s="1"/>
  <c r="AB100" i="2" s="1"/>
  <c r="F99" i="2"/>
  <c r="AA99" i="2" s="1"/>
  <c r="AC99" i="2" l="1"/>
  <c r="AA100" i="2"/>
  <c r="G99" i="2"/>
  <c r="AD99" i="2" s="1"/>
  <c r="AG99" i="2" l="1"/>
  <c r="AD100" i="2"/>
  <c r="AC100" i="2"/>
  <c r="AJ99" i="2" l="1"/>
  <c r="AG100" i="2"/>
  <c r="AJ100" i="2" l="1"/>
  <c r="AL99" i="2"/>
  <c r="AL100" i="2" l="1"/>
  <c r="AM99" i="2"/>
  <c r="AM100" i="2" s="1"/>
</calcChain>
</file>

<file path=xl/sharedStrings.xml><?xml version="1.0" encoding="utf-8"?>
<sst xmlns="http://schemas.openxmlformats.org/spreadsheetml/2006/main" count="153" uniqueCount="134">
  <si>
    <t>BitWealth (Pty) Ltd — Cashflow Model Variables</t>
  </si>
  <si>
    <t>v4.0  ·  96-Month Forecast (8 Years)  ·  Adjust YELLOW cells  ·  Forecast tab auto-recalculates  ·  FSP: CAEP (fixed cost)</t>
  </si>
  <si>
    <t>RETURN &amp; PERFORMANCE ASSUMPTIONS</t>
  </si>
  <si>
    <t>Annual portfolio return — Years 1–3 (p.a.)</t>
  </si>
  <si>
    <t>60% p.a. BTC bull cycle (months 1 → y4_start-1); divided by 12 for monthly</t>
  </si>
  <si>
    <t>Annual portfolio return — Year 4 (p.a.)</t>
  </si>
  <si>
    <t>10% moderate/consolidation (months y4_start → y5_start-1)</t>
  </si>
  <si>
    <t>Year 4 starts (model month #)</t>
  </si>
  <si>
    <t>Month 37 = July 2029</t>
  </si>
  <si>
    <t>Year 5 starts (model month #)</t>
  </si>
  <si>
    <t>Month 49 = July 2030 — start of next BTC halving cycle</t>
  </si>
  <si>
    <t>Annual portfolio return — Years 5–7 (p.a.)</t>
  </si>
  <si>
    <t>Bull cycle (months y5_start → y8_start-1). Default 50% — adjust for conservative scenario</t>
  </si>
  <si>
    <t>Year 8 starts (model month #)</t>
  </si>
  <si>
    <t>Month 85 = July 2033 — final bear/consolidation year</t>
  </si>
  <si>
    <t>Annual portfolio return — Year 8 (p.a.)</t>
  </si>
  <si>
    <t>Final year bear/consolidation. Mirrors Y4 assumption. Change to 0% for severe bear</t>
  </si>
  <si>
    <t>Performance fee crystallisation period (months)</t>
  </si>
  <si>
    <t>12 = annual crystallisation (simplified to monthly accrual in formulas)</t>
  </si>
  <si>
    <t>Monthly liquidity buffer provision (R)</t>
  </si>
  <si>
    <t>Set aside in Y1-3 AND Y5-7 (bull years). Not provisioned in Y4 and Y8 (bear years). Reserve Fund Bal tracks cumulative total</t>
  </si>
  <si>
    <t>EXCHANGE FEE SHARE REVENUE  (VALR revenue-share deal)</t>
  </si>
  <si>
    <t>VALR exchange fee rate per trade</t>
  </si>
  <si>
    <t>0.1% default. Covers ZAR/USDT, USDT/BTC, and USDT/USDPC conversions. Adjust if VALR rate changes</t>
  </si>
  <si>
    <t>BitWealth share of exchange fees</t>
  </si>
  <si>
    <t>50% — as negotiated with VALR. Applied to both AUM-trading and new-contribution revenue streams</t>
  </si>
  <si>
    <t>% of total AUM traded per month (rebalancing/DCA)</t>
  </si>
  <si>
    <t>25% default: a quarter of existing AUM is traded/rebalanced each month. AUM revenue = prev_AUM × trade_pct × fee_rate × share</t>
  </si>
  <si>
    <t>FSP COSTS — CAEP (fixed cost model)</t>
  </si>
  <si>
    <t>CAEP onboarding fee (once-off, Month 1)</t>
  </si>
  <si>
    <t>Juristic Representative appointment; non-recurring</t>
  </si>
  <si>
    <t>CAEP hosting — Months 1–3 (per month)</t>
  </si>
  <si>
    <t>CAEP hosting — Months 4–6 (per month)</t>
  </si>
  <si>
    <t>CAEP hosting — Month 7+ (per month, steady-state)</t>
  </si>
  <si>
    <t>Negotiate a contractual cap; dominant cost driver</t>
  </si>
  <si>
    <t>CAEP hosting annual inflation rate</t>
  </si>
  <si>
    <t>6% p.a. default. Compounds year-on-year from Year 2 on all hosting tiers (Year 1 = base rate)</t>
  </si>
  <si>
    <t>CAEP AUM fee (% of AUM, billed annually)</t>
  </si>
  <si>
    <t>0.25% p.a.; charged in months 12, 24, 36 … 96 on end-of-month AUM</t>
  </si>
  <si>
    <t>Software &amp; infrastructure (monthly)</t>
  </si>
  <si>
    <t>Cloud, Supabase, VALR API, domain etc.</t>
  </si>
  <si>
    <t>Company secretarial (annual, months 12/24/36 …)</t>
  </si>
  <si>
    <t>CIPC annual return + company secretary</t>
  </si>
  <si>
    <t>CLIENT 1 (Founding — preferential 2.5% perf fee)</t>
  </si>
  <si>
    <t>Start month</t>
  </si>
  <si>
    <t>Month 1 = June 2026</t>
  </si>
  <si>
    <t>Initial lump sum (R)</t>
  </si>
  <si>
    <t>Monthly contribution (R)</t>
  </si>
  <si>
    <t>Platform fee rate</t>
  </si>
  <si>
    <t>0.75%</t>
  </si>
  <si>
    <t>Performance fee rate</t>
  </si>
  <si>
    <t>2.5% preferential</t>
  </si>
  <si>
    <t>CLIENT 2 (Founding)</t>
  </si>
  <si>
    <t>Month 2 = July 2026</t>
  </si>
  <si>
    <t>Standard 10%</t>
  </si>
  <si>
    <t>CLIENT 3 (Founding — large lump sum, no monthly contributions)</t>
  </si>
  <si>
    <t>0.75% platform fee = R37 500 on day 1</t>
  </si>
  <si>
    <t>No monthly contributions</t>
  </si>
  <si>
    <t>CLIENT 4 (Founding — preferential 2.5% perf fee)</t>
  </si>
  <si>
    <t>NEW CLIENT ACQUISITION (rolling monthly ramp)</t>
  </si>
  <si>
    <t>Maximum cohort batches to model</t>
  </si>
  <si>
    <t>94 batches × 1 per month from month 3 → new clients joining every month through month 96</t>
  </si>
  <si>
    <t>First cohort — start month</t>
  </si>
  <si>
    <t>Month 3 = August 2026</t>
  </si>
  <si>
    <t>Cohort interval (months)</t>
  </si>
  <si>
    <t>1 = monthly. Change to 3 for quarterly onboarding</t>
  </si>
  <si>
    <t>Clients per cohort batch</t>
  </si>
  <si>
    <t>Change to 2+ to onboard multiple clients per interval; scales contributions &amp; lump sums</t>
  </si>
  <si>
    <t>New client lump sum (R, per client)</t>
  </si>
  <si>
    <t>Per client on join month; multiply by nc_per_cohort for batch total</t>
  </si>
  <si>
    <t>New client monthly contribution (R, per client)</t>
  </si>
  <si>
    <t>Per client per month; total = active_clients × this value</t>
  </si>
  <si>
    <t>New client platform fee rate</t>
  </si>
  <si>
    <t>Standard 0.75%</t>
  </si>
  <si>
    <t>New client performance fee rate</t>
  </si>
  <si>
    <t>FORECAST PARAMETERS</t>
  </si>
  <si>
    <t>Forecast months</t>
  </si>
  <si>
    <t>96 = 8 full years</t>
  </si>
  <si>
    <t>Model start year</t>
  </si>
  <si>
    <t>Calendar year of Month 1</t>
  </si>
  <si>
    <t>Model start calendar month (1=Jan … 12=Dec)</t>
  </si>
  <si>
    <t>6 = June</t>
  </si>
  <si>
    <t>★ Yellow cells are editable — Forecast tab auto-recalculates.  RETURNS: 3-tier: 60% p.a. Y1-3 → 10% Y4 → 50% Y5-8 (next BTC cycle; all adjustable).  EXCHANGE FEE: BitWealth earns 50% of VALR's 0.1% fee on each monthly contribution (ZAR/USDT + USDT/BTC + USDT/USDPC).  Adjust exch_fee_rate and exch_fee_share as needed.  PERF FEE: simplified monthly accrual (AUM × monthly_return × perf_rate); approximates annual crystallisation.  CAEP AUM fee: 0.25% billed annually on end-of-month AUM.</t>
  </si>
  <si>
    <t>BitWealth (Pty) Ltd — 96-Month Cashflow Forecast v4.0  ·  FSP: CAEP  ·  All formulas auto-update when VARIABLES sheet changes</t>
  </si>
  <si>
    <t>PERIOD</t>
  </si>
  <si>
    <t>CLIENT DETAIL  (hidden — click + to expand)</t>
  </si>
  <si>
    <t>REVENUE</t>
  </si>
  <si>
    <t>TOTAL AUM</t>
  </si>
  <si>
    <t>COSTS</t>
  </si>
  <si>
    <t>RESERVE</t>
  </si>
  <si>
    <t>CASHFLOW</t>
  </si>
  <si>
    <t>Month
#</t>
  </si>
  <si>
    <t>Month</t>
  </si>
  <si>
    <t>Monthly
Return %</t>
  </si>
  <si>
    <t>C1
Contrib</t>
  </si>
  <si>
    <t>C1
Plat</t>
  </si>
  <si>
    <t>C1
Perf</t>
  </si>
  <si>
    <t>C1
AUM</t>
  </si>
  <si>
    <t>C2
Contrib</t>
  </si>
  <si>
    <t>C2
Plat</t>
  </si>
  <si>
    <t>C2
Perf</t>
  </si>
  <si>
    <t>C2
AUM</t>
  </si>
  <si>
    <t>C3
Contrib</t>
  </si>
  <si>
    <t>C3
Plat</t>
  </si>
  <si>
    <t>C3
Perf</t>
  </si>
  <si>
    <t>C3
AUM</t>
  </si>
  <si>
    <t>C4
Contrib</t>
  </si>
  <si>
    <t>C4
Plat</t>
  </si>
  <si>
    <t>C4
Perf</t>
  </si>
  <si>
    <t>C4
AUM</t>
  </si>
  <si>
    <t>NC
Clients</t>
  </si>
  <si>
    <t>NC
Contrib</t>
  </si>
  <si>
    <t>NC
Plat</t>
  </si>
  <si>
    <t>NC
Perf</t>
  </si>
  <si>
    <t>NC
AUM</t>
  </si>
  <si>
    <t>Total
Contrib</t>
  </si>
  <si>
    <t>Total
Plat Fee</t>
  </si>
  <si>
    <t>Total
Perf Fee</t>
  </si>
  <si>
    <t>Exchange
Fee Rev</t>
  </si>
  <si>
    <t>TOTAL
REVENUE</t>
  </si>
  <si>
    <t>TOTAL
AUM</t>
  </si>
  <si>
    <t>CAEP
Onboard</t>
  </si>
  <si>
    <t>CAEP
Hosting</t>
  </si>
  <si>
    <t>CAEP
AUM Fee</t>
  </si>
  <si>
    <t>Software</t>
  </si>
  <si>
    <t>Co Sec</t>
  </si>
  <si>
    <t>TOTAL
COSTS</t>
  </si>
  <si>
    <t>Reserve
Provision</t>
  </si>
  <si>
    <t>NET CASH
(after reserve)</t>
  </si>
  <si>
    <t>CUMULATIVE
CASH</t>
  </si>
  <si>
    <t>Reserve
Fund Bal</t>
  </si>
  <si>
    <t>TOTAL / FINAL (96 months)</t>
  </si>
  <si>
    <t>NOTES:  ① Expand group D:X (click + above column D) to view per-client detail.  ② Performance fee = simplified monthly accrual (AUM × monthly_return × perf_rate).  ③ Exchange fee revenue = (prev_AUM × 25% traded × 0.1% fee × 50% share) + (contributions × 0.1% × 50% share).    Both rates adjustable in Variables. Covers ZAR/USDT, USDT/BTC, USDT/USDPC conversions.  ④ Returns: 4-tier: 60% Y1-3 → 10% Y4 (bear) → 50% Y5-7 → 10% Y8 (bear); all adjustable in Variables.  ⑤ Reserve provision accumulates in BULL years only (Y1-3 and Y5-7); no provision in Y4 and Y8 (bear years).    no automated drawdown — compare Reserve Fund Bal vs Cumulative Cash to assess Y4 coverage.  ⑥ CAEP costs: R57.5k onboarding (M1), tiered hosting R23k/34.5k/46k per month, 0.25% AUM fee annually.</t>
  </si>
  <si>
    <t>BitWealth (Pty) Ltd — 96-Month Visual Summary  ·  FSP: CAEP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</si>
</sst>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;[Red]\(\R\ #,##0\)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A1A1A"/>
      <name val="Calibri"/>
    </font>
    <font>
      <b/>
      <sz val="11"/>
      <color rgb="FFFFFFFF"/>
      <name val="Calibri"/>
    </font>
    <font>
      <sz val="11"/>
      <color rgb="FF1A1A1A"/>
      <name val="Calibri"/>
    </font>
    <font>
      <b/>
      <sz val="11"/>
      <color rgb="FF1A1A1A"/>
      <name val="Calibri"/>
    </font>
    <font>
      <i/>
      <sz val="9"/>
      <color rgb="FF555555"/>
      <name val="Calibri"/>
    </font>
    <font>
      <i/>
      <sz val="9"/>
      <color rgb="FF1A1A1A"/>
      <name val="Calibri"/>
    </font>
    <font>
      <b/>
      <sz val="14"/>
      <color rgb="FFFFFFFF"/>
      <name val="Calibri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  <font>
      <sz val="9"/>
      <color rgb="FF1A1A1A"/>
      <name val="Calibri"/>
      <family val="2"/>
    </font>
    <font>
      <i/>
      <sz val="9"/>
      <color rgb="FF555555"/>
      <name val="Calibri"/>
      <family val="2"/>
    </font>
    <font>
      <b/>
      <sz val="9"/>
      <color rgb="FF1A1A1A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9A227"/>
      </patternFill>
    </fill>
    <fill>
      <patternFill patternType="solid">
        <fgColor rgb="FFF5EBC8"/>
      </patternFill>
    </fill>
    <fill>
      <patternFill patternType="solid">
        <fgColor rgb="FF006064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B71C1C"/>
      </patternFill>
    </fill>
    <fill>
      <patternFill patternType="solid">
        <fgColor rgb="FF37474F"/>
      </patternFill>
    </fill>
    <fill>
      <patternFill patternType="solid">
        <fgColor rgb="FF1A1A1A"/>
      </patternFill>
    </fill>
    <fill>
      <patternFill patternType="solid">
        <fgColor rgb="FF6D4C41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10" fontId="5" fillId="6" borderId="2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3" fillId="1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0" fontId="10" fillId="0" borderId="0" xfId="0" applyFont="1"/>
    <xf numFmtId="0" fontId="9" fillId="11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10" fontId="12" fillId="7" borderId="1" xfId="0" applyNumberFormat="1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right" vertical="center"/>
    </xf>
    <xf numFmtId="1" fontId="11" fillId="7" borderId="1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right" vertical="center"/>
    </xf>
    <xf numFmtId="164" fontId="13" fillId="14" borderId="1" xfId="0" applyNumberFormat="1" applyFont="1" applyFill="1" applyBorder="1" applyAlignment="1">
      <alignment horizontal="right" vertical="center"/>
    </xf>
    <xf numFmtId="164" fontId="13" fillId="15" borderId="1" xfId="0" applyNumberFormat="1" applyFont="1" applyFill="1" applyBorder="1" applyAlignment="1">
      <alignment horizontal="right" vertical="center"/>
    </xf>
    <xf numFmtId="164" fontId="11" fillId="16" borderId="1" xfId="0" applyNumberFormat="1" applyFont="1" applyFill="1" applyBorder="1" applyAlignment="1">
      <alignment horizontal="right" vertical="center"/>
    </xf>
    <xf numFmtId="164" fontId="13" fillId="7" borderId="1" xfId="0" applyNumberFormat="1" applyFont="1" applyFill="1" applyBorder="1" applyAlignment="1">
      <alignment horizontal="right" vertical="center"/>
    </xf>
    <xf numFmtId="164" fontId="13" fillId="16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/>
    </xf>
    <xf numFmtId="10" fontId="12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right" vertical="center"/>
    </xf>
    <xf numFmtId="1" fontId="11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164" fontId="13" fillId="3" borderId="1" xfId="0" applyNumberFormat="1" applyFont="1" applyFill="1" applyBorder="1" applyAlignment="1">
      <alignment horizontal="right" vertical="center"/>
    </xf>
    <xf numFmtId="0" fontId="1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Total AUM Growth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FORECAST'!$AD$3</c:f>
              <c:strCache>
                <c:ptCount val="1"/>
                <c:pt idx="0">
                  <c:v>TOTAL
AUM</c:v>
                </c:pt>
              </c:strCache>
            </c:strRef>
          </c:tx>
          <c:spPr>
            <a:ln w="25000">
              <a:solidFill>
                <a:srgbClr val="C9A227"/>
              </a:solidFill>
              <a:prstDash val="solid"/>
            </a:ln>
          </c:spPr>
          <c:marker>
            <c:symbol val="none"/>
          </c:marker>
          <c:cat>
            <c:strRef>
              <c:f>'MONTHLY FORECAST'!$B$4:$B$99</c:f>
              <c:strCache>
                <c:ptCount val="96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  <c:pt idx="48">
                  <c:v>Jun-30</c:v>
                </c:pt>
                <c:pt idx="49">
                  <c:v>Jul-30</c:v>
                </c:pt>
                <c:pt idx="50">
                  <c:v>Aug-30</c:v>
                </c:pt>
                <c:pt idx="51">
                  <c:v>Sept-30</c:v>
                </c:pt>
                <c:pt idx="52">
                  <c:v>Oct-30</c:v>
                </c:pt>
                <c:pt idx="53">
                  <c:v>Nov-30</c:v>
                </c:pt>
                <c:pt idx="54">
                  <c:v>Dec-30</c:v>
                </c:pt>
                <c:pt idx="55">
                  <c:v>Jan-31</c:v>
                </c:pt>
                <c:pt idx="56">
                  <c:v>Feb-31</c:v>
                </c:pt>
                <c:pt idx="57">
                  <c:v>Mar-31</c:v>
                </c:pt>
                <c:pt idx="58">
                  <c:v>Apr-31</c:v>
                </c:pt>
                <c:pt idx="59">
                  <c:v>May-31</c:v>
                </c:pt>
                <c:pt idx="60">
                  <c:v>Jun-31</c:v>
                </c:pt>
                <c:pt idx="61">
                  <c:v>Jul-31</c:v>
                </c:pt>
                <c:pt idx="62">
                  <c:v>Aug-31</c:v>
                </c:pt>
                <c:pt idx="63">
                  <c:v>Sept-31</c:v>
                </c:pt>
                <c:pt idx="64">
                  <c:v>Oct-31</c:v>
                </c:pt>
                <c:pt idx="65">
                  <c:v>Nov-31</c:v>
                </c:pt>
                <c:pt idx="66">
                  <c:v>Dec-31</c:v>
                </c:pt>
                <c:pt idx="67">
                  <c:v>Jan-32</c:v>
                </c:pt>
                <c:pt idx="68">
                  <c:v>Feb-32</c:v>
                </c:pt>
                <c:pt idx="69">
                  <c:v>Mar-32</c:v>
                </c:pt>
                <c:pt idx="70">
                  <c:v>Apr-32</c:v>
                </c:pt>
                <c:pt idx="71">
                  <c:v>May-32</c:v>
                </c:pt>
                <c:pt idx="72">
                  <c:v>Jun-32</c:v>
                </c:pt>
                <c:pt idx="73">
                  <c:v>Jul-32</c:v>
                </c:pt>
                <c:pt idx="74">
                  <c:v>Aug-32</c:v>
                </c:pt>
                <c:pt idx="75">
                  <c:v>Sept-32</c:v>
                </c:pt>
                <c:pt idx="76">
                  <c:v>Oct-32</c:v>
                </c:pt>
                <c:pt idx="77">
                  <c:v>Nov-32</c:v>
                </c:pt>
                <c:pt idx="78">
                  <c:v>Dec-32</c:v>
                </c:pt>
                <c:pt idx="79">
                  <c:v>Jan-33</c:v>
                </c:pt>
                <c:pt idx="80">
                  <c:v>Feb-33</c:v>
                </c:pt>
                <c:pt idx="81">
                  <c:v>Mar-33</c:v>
                </c:pt>
                <c:pt idx="82">
                  <c:v>Apr-33</c:v>
                </c:pt>
                <c:pt idx="83">
                  <c:v>May-33</c:v>
                </c:pt>
                <c:pt idx="84">
                  <c:v>Jun-33</c:v>
                </c:pt>
                <c:pt idx="85">
                  <c:v>Jul-33</c:v>
                </c:pt>
                <c:pt idx="86">
                  <c:v>Aug-33</c:v>
                </c:pt>
                <c:pt idx="87">
                  <c:v>Sept-33</c:v>
                </c:pt>
                <c:pt idx="88">
                  <c:v>Oct-33</c:v>
                </c:pt>
                <c:pt idx="89">
                  <c:v>Nov-33</c:v>
                </c:pt>
                <c:pt idx="90">
                  <c:v>Dec-33</c:v>
                </c:pt>
                <c:pt idx="91">
                  <c:v>Jan-34</c:v>
                </c:pt>
                <c:pt idx="92">
                  <c:v>Feb-34</c:v>
                </c:pt>
                <c:pt idx="93">
                  <c:v>Mar-34</c:v>
                </c:pt>
                <c:pt idx="94">
                  <c:v>Apr-34</c:v>
                </c:pt>
                <c:pt idx="95">
                  <c:v>May-34</c:v>
                </c:pt>
              </c:strCache>
            </c:strRef>
          </c:cat>
          <c:val>
            <c:numRef>
              <c:f>'MONTHLY FORECAST'!$AD$4:$AD$99</c:f>
              <c:numCache>
                <c:formatCode>\R\ #\ ##0;[Red]\(\R\ #\ ##0\)</c:formatCode>
                <c:ptCount val="96"/>
                <c:pt idx="0">
                  <c:v>524375</c:v>
                </c:pt>
                <c:pt idx="1">
                  <c:v>6047463.28125</c:v>
                </c:pt>
                <c:pt idx="2">
                  <c:v>6652526.6162109375</c:v>
                </c:pt>
                <c:pt idx="3">
                  <c:v>7291050.7350012213</c:v>
                </c:pt>
                <c:pt idx="4">
                  <c:v>7964590.5096637793</c:v>
                </c:pt>
                <c:pt idx="5">
                  <c:v>8674773.1769010462</c:v>
                </c:pt>
                <c:pt idx="6">
                  <c:v>9423301.7112612296</c:v>
                </c:pt>
                <c:pt idx="7">
                  <c:v>10211958.355810855</c:v>
                </c:pt>
                <c:pt idx="8">
                  <c:v>11042608.317657929</c:v>
                </c:pt>
                <c:pt idx="9">
                  <c:v>11917203.636035109</c:v>
                </c:pt>
                <c:pt idx="10">
                  <c:v>12837787.231013281</c:v>
                </c:pt>
                <c:pt idx="11">
                  <c:v>13806497.141294109</c:v>
                </c:pt>
                <c:pt idx="12">
                  <c:v>14825570.959925728</c:v>
                </c:pt>
                <c:pt idx="13">
                  <c:v>15897350.477200346</c:v>
                </c:pt>
                <c:pt idx="14">
                  <c:v>17024286.54042612</c:v>
                </c:pt>
                <c:pt idx="15">
                  <c:v>18208944.140719958</c:v>
                </c:pt>
                <c:pt idx="16">
                  <c:v>19454007.737443283</c:v>
                </c:pt>
                <c:pt idx="17">
                  <c:v>20762286.831400715</c:v>
                </c:pt>
                <c:pt idx="18">
                  <c:v>22136721.798442636</c:v>
                </c:pt>
                <c:pt idx="19">
                  <c:v>23580389.995658357</c:v>
                </c:pt>
                <c:pt idx="20">
                  <c:v>25096512.152917713</c:v>
                </c:pt>
                <c:pt idx="21">
                  <c:v>26688459.063117161</c:v>
                </c:pt>
                <c:pt idx="22">
                  <c:v>28359758.585112344</c:v>
                </c:pt>
                <c:pt idx="23">
                  <c:v>30114102.973974865</c:v>
                </c:pt>
                <c:pt idx="24">
                  <c:v>31955356.553897146</c:v>
                </c:pt>
                <c:pt idx="25">
                  <c:v>33887563.749788001</c:v>
                </c:pt>
                <c:pt idx="26">
                  <c:v>35914957.494353503</c:v>
                </c:pt>
                <c:pt idx="27">
                  <c:v>38041968.028245926</c:v>
                </c:pt>
                <c:pt idx="28">
                  <c:v>40273232.111687519</c:v>
                </c:pt>
                <c:pt idx="29">
                  <c:v>42613602.666839801</c:v>
                </c:pt>
                <c:pt idx="30">
                  <c:v>45068158.871092588</c:v>
                </c:pt>
                <c:pt idx="31">
                  <c:v>47642216.722393699</c:v>
                </c:pt>
                <c:pt idx="32">
                  <c:v>50341340.09873084</c:v>
                </c:pt>
                <c:pt idx="33">
                  <c:v>53171352.334914826</c:v>
                </c:pt>
                <c:pt idx="34">
                  <c:v>56138348.340899467</c:v>
                </c:pt>
                <c:pt idx="35">
                  <c:v>59248707.287010461</c:v>
                </c:pt>
                <c:pt idx="36">
                  <c:v>60196273.719616465</c:v>
                </c:pt>
                <c:pt idx="37">
                  <c:v>61156240.22994414</c:v>
                </c:pt>
                <c:pt idx="38">
                  <c:v>62128701.897190891</c:v>
                </c:pt>
                <c:pt idx="39">
                  <c:v>63113754.53053686</c:v>
                </c:pt>
                <c:pt idx="40">
                  <c:v>64111494.674757004</c:v>
                </c:pt>
                <c:pt idx="41">
                  <c:v>65122019.615876377</c:v>
                </c:pt>
                <c:pt idx="42">
                  <c:v>66145427.386868998</c:v>
                </c:pt>
                <c:pt idx="43">
                  <c:v>67181816.77340053</c:v>
                </c:pt>
                <c:pt idx="44">
                  <c:v>68231287.319615245</c:v>
                </c:pt>
                <c:pt idx="45">
                  <c:v>69293939.333967432</c:v>
                </c:pt>
                <c:pt idx="46">
                  <c:v>70369873.895097822</c:v>
                </c:pt>
                <c:pt idx="47">
                  <c:v>71459192.857755229</c:v>
                </c:pt>
                <c:pt idx="48">
                  <c:v>74793222.862797439</c:v>
                </c:pt>
                <c:pt idx="49">
                  <c:v>78261764.449426815</c:v>
                </c:pt>
                <c:pt idx="50">
                  <c:v>81870036.406431586</c:v>
                </c:pt>
                <c:pt idx="51">
                  <c:v>85623460.320486411</c:v>
                </c:pt>
                <c:pt idx="52">
                  <c:v>89527668.469238862</c:v>
                </c:pt>
                <c:pt idx="53">
                  <c:v>93588512.022093087</c:v>
                </c:pt>
                <c:pt idx="54">
                  <c:v>97812069.560705468</c:v>
                </c:pt>
                <c:pt idx="55">
                  <c:v>102204655.93167578</c:v>
                </c:pt>
                <c:pt idx="56">
                  <c:v>106772831.44440675</c:v>
                </c:pt>
                <c:pt idx="57">
                  <c:v>111523411.42761141</c:v>
                </c:pt>
                <c:pt idx="58">
                  <c:v>116463476.15847537</c:v>
                </c:pt>
                <c:pt idx="59">
                  <c:v>121600381.17902879</c:v>
                </c:pt>
                <c:pt idx="60">
                  <c:v>126941768.01485282</c:v>
                </c:pt>
                <c:pt idx="61">
                  <c:v>132495575.31183563</c:v>
                </c:pt>
                <c:pt idx="62">
                  <c:v>138270050.40731013</c:v>
                </c:pt>
                <c:pt idx="63">
                  <c:v>144273761.35254189</c:v>
                </c:pt>
                <c:pt idx="64">
                  <c:v>150515609.40420252</c:v>
                </c:pt>
                <c:pt idx="65">
                  <c:v>157004842.00315118</c:v>
                </c:pt>
                <c:pt idx="66">
                  <c:v>163751066.25956595</c:v>
                </c:pt>
                <c:pt idx="67">
                  <c:v>170764262.96421146</c:v>
                </c:pt>
                <c:pt idx="68">
                  <c:v>178054801.14640257</c:v>
                </c:pt>
                <c:pt idx="69">
                  <c:v>185633453.20003033</c:v>
                </c:pt>
                <c:pt idx="70">
                  <c:v>193511410.59985128</c:v>
                </c:pt>
                <c:pt idx="71">
                  <c:v>201700300.23111135</c:v>
                </c:pt>
                <c:pt idx="72">
                  <c:v>210212201.35647786</c:v>
                </c:pt>
                <c:pt idx="73">
                  <c:v>219059663.24519283</c:v>
                </c:pt>
                <c:pt idx="74">
                  <c:v>228255723.49033463</c:v>
                </c:pt>
                <c:pt idx="75">
                  <c:v>237813927.04109055</c:v>
                </c:pt>
                <c:pt idx="76">
                  <c:v>247748345.97799444</c:v>
                </c:pt>
                <c:pt idx="77">
                  <c:v>258073600.06017977</c:v>
                </c:pt>
                <c:pt idx="78">
                  <c:v>268804878.074835</c:v>
                </c:pt>
                <c:pt idx="79">
                  <c:v>279957960.02023101</c:v>
                </c:pt>
                <c:pt idx="80">
                  <c:v>291549240.15491897</c:v>
                </c:pt>
                <c:pt idx="81">
                  <c:v>303595750.94697356</c:v>
                </c:pt>
                <c:pt idx="82">
                  <c:v>316115187.95848393</c:v>
                </c:pt>
                <c:pt idx="83">
                  <c:v>329125935.70187277</c:v>
                </c:pt>
                <c:pt idx="84">
                  <c:v>332410167.46270984</c:v>
                </c:pt>
                <c:pt idx="85">
                  <c:v>335724899.42841572</c:v>
                </c:pt>
                <c:pt idx="86">
                  <c:v>339070367.10213095</c:v>
                </c:pt>
                <c:pt idx="87">
                  <c:v>342446807.80812657</c:v>
                </c:pt>
                <c:pt idx="88">
                  <c:v>345854460.70590812</c:v>
                </c:pt>
                <c:pt idx="89">
                  <c:v>349293566.80442917</c:v>
                </c:pt>
                <c:pt idx="90">
                  <c:v>352764368.97641534</c:v>
                </c:pt>
                <c:pt idx="91">
                  <c:v>356267111.97279918</c:v>
                </c:pt>
                <c:pt idx="92">
                  <c:v>359802042.43726695</c:v>
                </c:pt>
                <c:pt idx="93">
                  <c:v>363369408.92091876</c:v>
                </c:pt>
                <c:pt idx="94">
                  <c:v>366969461.89704156</c:v>
                </c:pt>
                <c:pt idx="95">
                  <c:v>370602453.7759977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F0-4679-8ED9-E0A8AC11F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Monthly Revenue vs Costs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FORECAST'!$AC$3</c:f>
              <c:strCache>
                <c:ptCount val="1"/>
                <c:pt idx="0">
                  <c:v>TOTAL
REVENUE</c:v>
                </c:pt>
              </c:strCache>
            </c:strRef>
          </c:tx>
          <c:spPr>
            <a:ln w="20000">
              <a:solidFill>
                <a:srgbClr val="1B5E20"/>
              </a:solidFill>
              <a:prstDash val="solid"/>
            </a:ln>
          </c:spPr>
          <c:marker>
            <c:symbol val="none"/>
          </c:marker>
          <c:cat>
            <c:strRef>
              <c:f>'MONTHLY FORECAST'!$B$4:$B$99</c:f>
              <c:strCache>
                <c:ptCount val="96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  <c:pt idx="48">
                  <c:v>Jun-30</c:v>
                </c:pt>
                <c:pt idx="49">
                  <c:v>Jul-30</c:v>
                </c:pt>
                <c:pt idx="50">
                  <c:v>Aug-30</c:v>
                </c:pt>
                <c:pt idx="51">
                  <c:v>Sept-30</c:v>
                </c:pt>
                <c:pt idx="52">
                  <c:v>Oct-30</c:v>
                </c:pt>
                <c:pt idx="53">
                  <c:v>Nov-30</c:v>
                </c:pt>
                <c:pt idx="54">
                  <c:v>Dec-30</c:v>
                </c:pt>
                <c:pt idx="55">
                  <c:v>Jan-31</c:v>
                </c:pt>
                <c:pt idx="56">
                  <c:v>Feb-31</c:v>
                </c:pt>
                <c:pt idx="57">
                  <c:v>Mar-31</c:v>
                </c:pt>
                <c:pt idx="58">
                  <c:v>Apr-31</c:v>
                </c:pt>
                <c:pt idx="59">
                  <c:v>May-31</c:v>
                </c:pt>
                <c:pt idx="60">
                  <c:v>Jun-31</c:v>
                </c:pt>
                <c:pt idx="61">
                  <c:v>Jul-31</c:v>
                </c:pt>
                <c:pt idx="62">
                  <c:v>Aug-31</c:v>
                </c:pt>
                <c:pt idx="63">
                  <c:v>Sept-31</c:v>
                </c:pt>
                <c:pt idx="64">
                  <c:v>Oct-31</c:v>
                </c:pt>
                <c:pt idx="65">
                  <c:v>Nov-31</c:v>
                </c:pt>
                <c:pt idx="66">
                  <c:v>Dec-31</c:v>
                </c:pt>
                <c:pt idx="67">
                  <c:v>Jan-32</c:v>
                </c:pt>
                <c:pt idx="68">
                  <c:v>Feb-32</c:v>
                </c:pt>
                <c:pt idx="69">
                  <c:v>Mar-32</c:v>
                </c:pt>
                <c:pt idx="70">
                  <c:v>Apr-32</c:v>
                </c:pt>
                <c:pt idx="71">
                  <c:v>May-32</c:v>
                </c:pt>
                <c:pt idx="72">
                  <c:v>Jun-32</c:v>
                </c:pt>
                <c:pt idx="73">
                  <c:v>Jul-32</c:v>
                </c:pt>
                <c:pt idx="74">
                  <c:v>Aug-32</c:v>
                </c:pt>
                <c:pt idx="75">
                  <c:v>Sept-32</c:v>
                </c:pt>
                <c:pt idx="76">
                  <c:v>Oct-32</c:v>
                </c:pt>
                <c:pt idx="77">
                  <c:v>Nov-32</c:v>
                </c:pt>
                <c:pt idx="78">
                  <c:v>Dec-32</c:v>
                </c:pt>
                <c:pt idx="79">
                  <c:v>Jan-33</c:v>
                </c:pt>
                <c:pt idx="80">
                  <c:v>Feb-33</c:v>
                </c:pt>
                <c:pt idx="81">
                  <c:v>Mar-33</c:v>
                </c:pt>
                <c:pt idx="82">
                  <c:v>Apr-33</c:v>
                </c:pt>
                <c:pt idx="83">
                  <c:v>May-33</c:v>
                </c:pt>
                <c:pt idx="84">
                  <c:v>Jun-33</c:v>
                </c:pt>
                <c:pt idx="85">
                  <c:v>Jul-33</c:v>
                </c:pt>
                <c:pt idx="86">
                  <c:v>Aug-33</c:v>
                </c:pt>
                <c:pt idx="87">
                  <c:v>Sept-33</c:v>
                </c:pt>
                <c:pt idx="88">
                  <c:v>Oct-33</c:v>
                </c:pt>
                <c:pt idx="89">
                  <c:v>Nov-33</c:v>
                </c:pt>
                <c:pt idx="90">
                  <c:v>Dec-33</c:v>
                </c:pt>
                <c:pt idx="91">
                  <c:v>Jan-34</c:v>
                </c:pt>
                <c:pt idx="92">
                  <c:v>Feb-34</c:v>
                </c:pt>
                <c:pt idx="93">
                  <c:v>Mar-34</c:v>
                </c:pt>
                <c:pt idx="94">
                  <c:v>Apr-34</c:v>
                </c:pt>
                <c:pt idx="95">
                  <c:v>May-34</c:v>
                </c:pt>
              </c:strCache>
            </c:strRef>
          </c:cat>
          <c:val>
            <c:numRef>
              <c:f>'MONTHLY FORECAST'!$AC$4:$AC$99</c:f>
              <c:numCache>
                <c:formatCode>\R\ #\ ##0;[Red]\(\R\ #\ ##0\)</c:formatCode>
                <c:ptCount val="96"/>
                <c:pt idx="0">
                  <c:v>4625</c:v>
                </c:pt>
                <c:pt idx="1">
                  <c:v>68276.015625</c:v>
                </c:pt>
                <c:pt idx="2">
                  <c:v>31335.762011718751</c:v>
                </c:pt>
                <c:pt idx="3">
                  <c:v>33493.777847290039</c:v>
                </c:pt>
                <c:pt idx="4">
                  <c:v>35774.14342937668</c:v>
                </c:pt>
                <c:pt idx="5">
                  <c:v>38182.43205963145</c:v>
                </c:pt>
                <c:pt idx="6">
                  <c:v>40724.471131980652</c:v>
                </c:pt>
                <c:pt idx="7">
                  <c:v>43406.353727344285</c:v>
                </c:pt>
                <c:pt idx="8">
                  <c:v>46234.450737946223</c:v>
                </c:pt>
                <c:pt idx="9">
                  <c:v>49215.423545427751</c:v>
                </c:pt>
                <c:pt idx="10">
                  <c:v>52356.237278085522</c:v>
                </c:pt>
                <c:pt idx="11">
                  <c:v>55664.174673714704</c:v>
                </c:pt>
                <c:pt idx="12">
                  <c:v>59146.850575749049</c:v>
                </c:pt>
                <c:pt idx="13">
                  <c:v>62812.227091658664</c:v>
                </c:pt>
                <c:pt idx="14">
                  <c:v>66668.629443890488</c:v>
                </c:pt>
                <c:pt idx="15">
                  <c:v>70724.762545024234</c:v>
                </c:pt>
                <c:pt idx="16">
                  <c:v>74989.728330265483</c:v>
                </c:pt>
                <c:pt idx="17">
                  <c:v>79473.043881914971</c:v>
                </c:pt>
                <c:pt idx="18">
                  <c:v>84184.660382038317</c:v>
                </c:pt>
                <c:pt idx="19">
                  <c:v>89134.982931219769</c:v>
                </c:pt>
                <c:pt idx="20">
                  <c:v>94334.891273017623</c:v>
                </c:pt>
                <c:pt idx="21">
                  <c:v>99795.76146555366</c:v>
                </c:pt>
                <c:pt idx="22">
                  <c:v>105529.48854356607</c:v>
                </c:pt>
                <c:pt idx="23">
                  <c:v>111548.51021623952</c:v>
                </c:pt>
                <c:pt idx="24">
                  <c:v>117865.83164820247</c:v>
                </c:pt>
                <c:pt idx="25">
                  <c:v>124495.05137325001</c:v>
                </c:pt>
                <c:pt idx="26">
                  <c:v>131450.3883926238</c:v>
                </c:pt>
                <c:pt idx="27">
                  <c:v>138746.7105120513</c:v>
                </c:pt>
                <c:pt idx="28">
                  <c:v>146399.56397423259</c:v>
                </c:pt>
                <c:pt idx="29">
                  <c:v>154425.20444605753</c:v>
                </c:pt>
                <c:pt idx="30">
                  <c:v>162840.62942255381</c:v>
                </c:pt>
                <c:pt idx="31">
                  <c:v>171663.61211240565</c:v>
                </c:pt>
                <c:pt idx="32">
                  <c:v>180912.73687285406</c:v>
                </c:pt>
                <c:pt idx="33">
                  <c:v>190607.43626489799</c:v>
                </c:pt>
                <c:pt idx="34">
                  <c:v>200768.02980296241</c:v>
                </c:pt>
                <c:pt idx="35">
                  <c:v>211415.76447660173</c:v>
                </c:pt>
                <c:pt idx="36">
                  <c:v>46500.549863289969</c:v>
                </c:pt>
                <c:pt idx="37">
                  <c:v>47196.97155074912</c:v>
                </c:pt>
                <c:pt idx="38">
                  <c:v>47903.198031523258</c:v>
                </c:pt>
                <c:pt idx="39">
                  <c:v>48619.30353443374</c:v>
                </c:pt>
                <c:pt idx="40">
                  <c:v>49345.362850647674</c:v>
                </c:pt>
                <c:pt idx="41">
                  <c:v>50081.451337941231</c:v>
                </c:pt>
                <c:pt idx="42">
                  <c:v>50827.644924995358</c:v>
                </c:pt>
                <c:pt idx="43">
                  <c:v>51584.020115724008</c:v>
                </c:pt>
                <c:pt idx="44">
                  <c:v>52350.653993635264</c:v>
                </c:pt>
                <c:pt idx="45">
                  <c:v>53127.624226225606</c:v>
                </c:pt>
                <c:pt idx="46">
                  <c:v>53915.009069407315</c:v>
                </c:pt>
                <c:pt idx="47">
                  <c:v>54712.887371969751</c:v>
                </c:pt>
                <c:pt idx="48">
                  <c:v>224437.09647149366</c:v>
                </c:pt>
                <c:pt idx="49">
                  <c:v>234508.51884503046</c:v>
                </c:pt>
                <c:pt idx="50">
                  <c:v>244982.61561087266</c:v>
                </c:pt>
                <c:pt idx="51">
                  <c:v>255874.69076395684</c:v>
                </c:pt>
                <c:pt idx="52">
                  <c:v>267200.63047455449</c:v>
                </c:pt>
                <c:pt idx="53">
                  <c:v>278976.92525604024</c:v>
                </c:pt>
                <c:pt idx="54">
                  <c:v>291220.69297760911</c:v>
                </c:pt>
                <c:pt idx="55">
                  <c:v>303949.70275418402</c:v>
                </c:pt>
                <c:pt idx="56">
                  <c:v>317182.39974698378</c:v>
                </c:pt>
                <c:pt idx="57">
                  <c:v>330937.9309095043</c:v>
                </c:pt>
                <c:pt idx="58">
                  <c:v>345236.17171499005</c:v>
                </c:pt>
                <c:pt idx="59">
                  <c:v>360097.75390285213</c:v>
                </c:pt>
                <c:pt idx="60">
                  <c:v>375544.0942829214</c:v>
                </c:pt>
                <c:pt idx="61">
                  <c:v>391597.42463790986</c:v>
                </c:pt>
                <c:pt idx="62">
                  <c:v>408280.82276599493</c:v>
                </c:pt>
                <c:pt idx="63">
                  <c:v>425618.24470704718</c:v>
                </c:pt>
                <c:pt idx="64">
                  <c:v>443634.55819767877</c:v>
                </c:pt>
                <c:pt idx="65">
                  <c:v>462355.57740202209</c:v>
                </c:pt>
                <c:pt idx="66">
                  <c:v>481808.09896693757</c:v>
                </c:pt>
                <c:pt idx="67">
                  <c:v>502019.93945221032</c:v>
                </c:pt>
                <c:pt idx="68">
                  <c:v>523019.97418823204</c:v>
                </c:pt>
                <c:pt idx="69">
                  <c:v>544838.1776156628</c:v>
                </c:pt>
                <c:pt idx="70">
                  <c:v>567505.66516366077</c:v>
                </c:pt>
                <c:pt idx="71">
                  <c:v>591054.73672542127</c:v>
                </c:pt>
                <c:pt idx="72">
                  <c:v>615518.92179201788</c:v>
                </c:pt>
                <c:pt idx="73">
                  <c:v>640933.02630786854</c:v>
                </c:pt>
                <c:pt idx="74">
                  <c:v>667333.18131356814</c:v>
                </c:pt>
                <c:pt idx="75">
                  <c:v>694756.89344434883</c:v>
                </c:pt>
                <c:pt idx="76">
                  <c:v>723243.09735502489</c:v>
                </c:pt>
                <c:pt idx="77">
                  <c:v>752832.21014501189</c:v>
                </c:pt>
                <c:pt idx="78">
                  <c:v>783566.18785979552</c:v>
                </c:pt>
                <c:pt idx="79">
                  <c:v>815488.58414816961</c:v>
                </c:pt>
                <c:pt idx="80">
                  <c:v>848644.61115758051</c:v>
                </c:pt>
                <c:pt idx="81">
                  <c:v>883081.20275307412</c:v>
                </c:pt>
                <c:pt idx="82">
                  <c:v>918847.08014860039</c:v>
                </c:pt>
                <c:pt idx="83">
                  <c:v>955992.82004283823</c:v>
                </c:pt>
                <c:pt idx="84">
                  <c:v>236466.77864123022</c:v>
                </c:pt>
                <c:pt idx="85">
                  <c:v>238827.36741623047</c:v>
                </c:pt>
                <c:pt idx="86">
                  <c:v>241210.43395009736</c:v>
                </c:pt>
                <c:pt idx="87">
                  <c:v>243616.14907655717</c:v>
                </c:pt>
                <c:pt idx="88">
                  <c:v>246044.68492887454</c:v>
                </c:pt>
                <c:pt idx="89">
                  <c:v>248496.21494974795</c:v>
                </c:pt>
                <c:pt idx="90">
                  <c:v>250970.91390127997</c:v>
                </c:pt>
                <c:pt idx="91">
                  <c:v>253468.95787502392</c:v>
                </c:pt>
                <c:pt idx="92">
                  <c:v>255990.52430210682</c:v>
                </c:pt>
                <c:pt idx="93">
                  <c:v>258535.79196342995</c:v>
                </c:pt>
                <c:pt idx="94">
                  <c:v>261104.94099994638</c:v>
                </c:pt>
                <c:pt idx="95">
                  <c:v>263698.15292301791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6C-4AF6-B405-6A1C429FBB98}"/>
            </c:ext>
          </c:extLst>
        </c:ser>
        <c:ser>
          <c:idx val="1"/>
          <c:order val="1"/>
          <c:tx>
            <c:strRef>
              <c:f>'MONTHLY FORECAST'!$AJ$3</c:f>
              <c:strCache>
                <c:ptCount val="1"/>
                <c:pt idx="0">
                  <c:v>TOTAL
COSTS</c:v>
                </c:pt>
              </c:strCache>
            </c:strRef>
          </c:tx>
          <c:spPr>
            <a:ln w="20000">
              <a:solidFill>
                <a:srgbClr val="B71C1C"/>
              </a:solidFill>
              <a:prstDash val="solid"/>
            </a:ln>
          </c:spPr>
          <c:marker>
            <c:symbol val="none"/>
          </c:marker>
          <c:cat>
            <c:strRef>
              <c:f>'MONTHLY FORECAST'!$B$4:$B$99</c:f>
              <c:strCache>
                <c:ptCount val="96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  <c:pt idx="48">
                  <c:v>Jun-30</c:v>
                </c:pt>
                <c:pt idx="49">
                  <c:v>Jul-30</c:v>
                </c:pt>
                <c:pt idx="50">
                  <c:v>Aug-30</c:v>
                </c:pt>
                <c:pt idx="51">
                  <c:v>Sept-30</c:v>
                </c:pt>
                <c:pt idx="52">
                  <c:v>Oct-30</c:v>
                </c:pt>
                <c:pt idx="53">
                  <c:v>Nov-30</c:v>
                </c:pt>
                <c:pt idx="54">
                  <c:v>Dec-30</c:v>
                </c:pt>
                <c:pt idx="55">
                  <c:v>Jan-31</c:v>
                </c:pt>
                <c:pt idx="56">
                  <c:v>Feb-31</c:v>
                </c:pt>
                <c:pt idx="57">
                  <c:v>Mar-31</c:v>
                </c:pt>
                <c:pt idx="58">
                  <c:v>Apr-31</c:v>
                </c:pt>
                <c:pt idx="59">
                  <c:v>May-31</c:v>
                </c:pt>
                <c:pt idx="60">
                  <c:v>Jun-31</c:v>
                </c:pt>
                <c:pt idx="61">
                  <c:v>Jul-31</c:v>
                </c:pt>
                <c:pt idx="62">
                  <c:v>Aug-31</c:v>
                </c:pt>
                <c:pt idx="63">
                  <c:v>Sept-31</c:v>
                </c:pt>
                <c:pt idx="64">
                  <c:v>Oct-31</c:v>
                </c:pt>
                <c:pt idx="65">
                  <c:v>Nov-31</c:v>
                </c:pt>
                <c:pt idx="66">
                  <c:v>Dec-31</c:v>
                </c:pt>
                <c:pt idx="67">
                  <c:v>Jan-32</c:v>
                </c:pt>
                <c:pt idx="68">
                  <c:v>Feb-32</c:v>
                </c:pt>
                <c:pt idx="69">
                  <c:v>Mar-32</c:v>
                </c:pt>
                <c:pt idx="70">
                  <c:v>Apr-32</c:v>
                </c:pt>
                <c:pt idx="71">
                  <c:v>May-32</c:v>
                </c:pt>
                <c:pt idx="72">
                  <c:v>Jun-32</c:v>
                </c:pt>
                <c:pt idx="73">
                  <c:v>Jul-32</c:v>
                </c:pt>
                <c:pt idx="74">
                  <c:v>Aug-32</c:v>
                </c:pt>
                <c:pt idx="75">
                  <c:v>Sept-32</c:v>
                </c:pt>
                <c:pt idx="76">
                  <c:v>Oct-32</c:v>
                </c:pt>
                <c:pt idx="77">
                  <c:v>Nov-32</c:v>
                </c:pt>
                <c:pt idx="78">
                  <c:v>Dec-32</c:v>
                </c:pt>
                <c:pt idx="79">
                  <c:v>Jan-33</c:v>
                </c:pt>
                <c:pt idx="80">
                  <c:v>Feb-33</c:v>
                </c:pt>
                <c:pt idx="81">
                  <c:v>Mar-33</c:v>
                </c:pt>
                <c:pt idx="82">
                  <c:v>Apr-33</c:v>
                </c:pt>
                <c:pt idx="83">
                  <c:v>May-33</c:v>
                </c:pt>
                <c:pt idx="84">
                  <c:v>Jun-33</c:v>
                </c:pt>
                <c:pt idx="85">
                  <c:v>Jul-33</c:v>
                </c:pt>
                <c:pt idx="86">
                  <c:v>Aug-33</c:v>
                </c:pt>
                <c:pt idx="87">
                  <c:v>Sept-33</c:v>
                </c:pt>
                <c:pt idx="88">
                  <c:v>Oct-33</c:v>
                </c:pt>
                <c:pt idx="89">
                  <c:v>Nov-33</c:v>
                </c:pt>
                <c:pt idx="90">
                  <c:v>Dec-33</c:v>
                </c:pt>
                <c:pt idx="91">
                  <c:v>Jan-34</c:v>
                </c:pt>
                <c:pt idx="92">
                  <c:v>Feb-34</c:v>
                </c:pt>
                <c:pt idx="93">
                  <c:v>Mar-34</c:v>
                </c:pt>
                <c:pt idx="94">
                  <c:v>Apr-34</c:v>
                </c:pt>
                <c:pt idx="95">
                  <c:v>May-34</c:v>
                </c:pt>
              </c:strCache>
            </c:strRef>
          </c:cat>
          <c:val>
            <c:numRef>
              <c:f>'MONTHLY FORECAST'!$AJ$4:$AJ$99</c:f>
              <c:numCache>
                <c:formatCode>\R\ #\ ##0;[Red]\(\R\ #\ ##0\)</c:formatCode>
                <c:ptCount val="96"/>
                <c:pt idx="0">
                  <c:v>85500</c:v>
                </c:pt>
                <c:pt idx="1">
                  <c:v>28000</c:v>
                </c:pt>
                <c:pt idx="2">
                  <c:v>28000</c:v>
                </c:pt>
                <c:pt idx="3">
                  <c:v>39500</c:v>
                </c:pt>
                <c:pt idx="4">
                  <c:v>39500</c:v>
                </c:pt>
                <c:pt idx="5">
                  <c:v>39500</c:v>
                </c:pt>
                <c:pt idx="6">
                  <c:v>51000</c:v>
                </c:pt>
                <c:pt idx="7">
                  <c:v>51000</c:v>
                </c:pt>
                <c:pt idx="8">
                  <c:v>51000</c:v>
                </c:pt>
                <c:pt idx="9">
                  <c:v>51000</c:v>
                </c:pt>
                <c:pt idx="10">
                  <c:v>51000</c:v>
                </c:pt>
                <c:pt idx="11">
                  <c:v>88516.242853235279</c:v>
                </c:pt>
                <c:pt idx="12">
                  <c:v>53760</c:v>
                </c:pt>
                <c:pt idx="13">
                  <c:v>53760</c:v>
                </c:pt>
                <c:pt idx="14">
                  <c:v>53760</c:v>
                </c:pt>
                <c:pt idx="15">
                  <c:v>53760</c:v>
                </c:pt>
                <c:pt idx="16">
                  <c:v>53760</c:v>
                </c:pt>
                <c:pt idx="17">
                  <c:v>53760</c:v>
                </c:pt>
                <c:pt idx="18">
                  <c:v>53760</c:v>
                </c:pt>
                <c:pt idx="19">
                  <c:v>53760</c:v>
                </c:pt>
                <c:pt idx="20">
                  <c:v>53760</c:v>
                </c:pt>
                <c:pt idx="21">
                  <c:v>53760</c:v>
                </c:pt>
                <c:pt idx="22">
                  <c:v>53760</c:v>
                </c:pt>
                <c:pt idx="23">
                  <c:v>132045.25743493717</c:v>
                </c:pt>
                <c:pt idx="24">
                  <c:v>56685.600000000006</c:v>
                </c:pt>
                <c:pt idx="25">
                  <c:v>56685.600000000006</c:v>
                </c:pt>
                <c:pt idx="26">
                  <c:v>56685.600000000006</c:v>
                </c:pt>
                <c:pt idx="27">
                  <c:v>56685.600000000006</c:v>
                </c:pt>
                <c:pt idx="28">
                  <c:v>56685.600000000006</c:v>
                </c:pt>
                <c:pt idx="29">
                  <c:v>56685.600000000006</c:v>
                </c:pt>
                <c:pt idx="30">
                  <c:v>56685.600000000006</c:v>
                </c:pt>
                <c:pt idx="31">
                  <c:v>56685.600000000006</c:v>
                </c:pt>
                <c:pt idx="32">
                  <c:v>56685.600000000006</c:v>
                </c:pt>
                <c:pt idx="33">
                  <c:v>56685.600000000006</c:v>
                </c:pt>
                <c:pt idx="34">
                  <c:v>56685.600000000006</c:v>
                </c:pt>
                <c:pt idx="35">
                  <c:v>207807.36821752615</c:v>
                </c:pt>
                <c:pt idx="36">
                  <c:v>59786.736000000012</c:v>
                </c:pt>
                <c:pt idx="37">
                  <c:v>59786.736000000012</c:v>
                </c:pt>
                <c:pt idx="38">
                  <c:v>59786.736000000012</c:v>
                </c:pt>
                <c:pt idx="39">
                  <c:v>59786.736000000012</c:v>
                </c:pt>
                <c:pt idx="40">
                  <c:v>59786.736000000012</c:v>
                </c:pt>
                <c:pt idx="41">
                  <c:v>59786.736000000012</c:v>
                </c:pt>
                <c:pt idx="42">
                  <c:v>59786.736000000012</c:v>
                </c:pt>
                <c:pt idx="43">
                  <c:v>59786.736000000012</c:v>
                </c:pt>
                <c:pt idx="44">
                  <c:v>59786.736000000012</c:v>
                </c:pt>
                <c:pt idx="45">
                  <c:v>59786.736000000012</c:v>
                </c:pt>
                <c:pt idx="46">
                  <c:v>59786.736000000012</c:v>
                </c:pt>
                <c:pt idx="47">
                  <c:v>241434.71814438808</c:v>
                </c:pt>
                <c:pt idx="48">
                  <c:v>63073.940160000013</c:v>
                </c:pt>
                <c:pt idx="49">
                  <c:v>63073.940160000013</c:v>
                </c:pt>
                <c:pt idx="50">
                  <c:v>63073.940160000013</c:v>
                </c:pt>
                <c:pt idx="51">
                  <c:v>63073.940160000013</c:v>
                </c:pt>
                <c:pt idx="52">
                  <c:v>63073.940160000013</c:v>
                </c:pt>
                <c:pt idx="53">
                  <c:v>63073.940160000013</c:v>
                </c:pt>
                <c:pt idx="54">
                  <c:v>63073.940160000013</c:v>
                </c:pt>
                <c:pt idx="55">
                  <c:v>63073.940160000013</c:v>
                </c:pt>
                <c:pt idx="56">
                  <c:v>63073.940160000013</c:v>
                </c:pt>
                <c:pt idx="57">
                  <c:v>63073.940160000013</c:v>
                </c:pt>
                <c:pt idx="58">
                  <c:v>63073.940160000013</c:v>
                </c:pt>
                <c:pt idx="59">
                  <c:v>370074.89310757199</c:v>
                </c:pt>
                <c:pt idx="60">
                  <c:v>66558.376569600019</c:v>
                </c:pt>
                <c:pt idx="61">
                  <c:v>66558.376569600019</c:v>
                </c:pt>
                <c:pt idx="62">
                  <c:v>66558.376569600019</c:v>
                </c:pt>
                <c:pt idx="63">
                  <c:v>66558.376569600019</c:v>
                </c:pt>
                <c:pt idx="64">
                  <c:v>66558.376569600019</c:v>
                </c:pt>
                <c:pt idx="65">
                  <c:v>66558.376569600019</c:v>
                </c:pt>
                <c:pt idx="66">
                  <c:v>66558.376569600019</c:v>
                </c:pt>
                <c:pt idx="67">
                  <c:v>66558.376569600019</c:v>
                </c:pt>
                <c:pt idx="68">
                  <c:v>66558.376569600019</c:v>
                </c:pt>
                <c:pt idx="69">
                  <c:v>66558.376569600019</c:v>
                </c:pt>
                <c:pt idx="70">
                  <c:v>66558.376569600019</c:v>
                </c:pt>
                <c:pt idx="71">
                  <c:v>573809.1271473784</c:v>
                </c:pt>
                <c:pt idx="72">
                  <c:v>70251.87916377603</c:v>
                </c:pt>
                <c:pt idx="73">
                  <c:v>70251.87916377603</c:v>
                </c:pt>
                <c:pt idx="74">
                  <c:v>70251.87916377603</c:v>
                </c:pt>
                <c:pt idx="75">
                  <c:v>70251.87916377603</c:v>
                </c:pt>
                <c:pt idx="76">
                  <c:v>70251.87916377603</c:v>
                </c:pt>
                <c:pt idx="77">
                  <c:v>70251.87916377603</c:v>
                </c:pt>
                <c:pt idx="78">
                  <c:v>70251.87916377603</c:v>
                </c:pt>
                <c:pt idx="79">
                  <c:v>70251.87916377603</c:v>
                </c:pt>
                <c:pt idx="80">
                  <c:v>70251.87916377603</c:v>
                </c:pt>
                <c:pt idx="81">
                  <c:v>70251.87916377603</c:v>
                </c:pt>
                <c:pt idx="82">
                  <c:v>70251.87916377603</c:v>
                </c:pt>
                <c:pt idx="83">
                  <c:v>896066.71841845801</c:v>
                </c:pt>
                <c:pt idx="84">
                  <c:v>74166.9919136026</c:v>
                </c:pt>
                <c:pt idx="85">
                  <c:v>74166.9919136026</c:v>
                </c:pt>
                <c:pt idx="86">
                  <c:v>74166.9919136026</c:v>
                </c:pt>
                <c:pt idx="87">
                  <c:v>74166.9919136026</c:v>
                </c:pt>
                <c:pt idx="88">
                  <c:v>74166.9919136026</c:v>
                </c:pt>
                <c:pt idx="89">
                  <c:v>74166.9919136026</c:v>
                </c:pt>
                <c:pt idx="90">
                  <c:v>74166.9919136026</c:v>
                </c:pt>
                <c:pt idx="91">
                  <c:v>74166.9919136026</c:v>
                </c:pt>
                <c:pt idx="92">
                  <c:v>74166.9919136026</c:v>
                </c:pt>
                <c:pt idx="93">
                  <c:v>74166.9919136026</c:v>
                </c:pt>
                <c:pt idx="94">
                  <c:v>74166.9919136026</c:v>
                </c:pt>
                <c:pt idx="95">
                  <c:v>1003673.1263535968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6C-4AF6-B405-6A1C429FB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Cumulative Cashflow &amp; Reserve Fund (ZAR)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FORECAST'!$AM$3</c:f>
              <c:strCache>
                <c:ptCount val="1"/>
                <c:pt idx="0">
                  <c:v>CUMULATIVE
CASH</c:v>
                </c:pt>
              </c:strCache>
            </c:strRef>
          </c:tx>
          <c:spPr>
            <a:ln w="20000">
              <a:solidFill>
                <a:srgbClr val="006064"/>
              </a:solidFill>
              <a:prstDash val="solid"/>
            </a:ln>
          </c:spPr>
          <c:marker>
            <c:symbol val="none"/>
          </c:marker>
          <c:cat>
            <c:strRef>
              <c:f>'MONTHLY FORECAST'!$B$4:$B$99</c:f>
              <c:strCache>
                <c:ptCount val="96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  <c:pt idx="48">
                  <c:v>Jun-30</c:v>
                </c:pt>
                <c:pt idx="49">
                  <c:v>Jul-30</c:v>
                </c:pt>
                <c:pt idx="50">
                  <c:v>Aug-30</c:v>
                </c:pt>
                <c:pt idx="51">
                  <c:v>Sept-30</c:v>
                </c:pt>
                <c:pt idx="52">
                  <c:v>Oct-30</c:v>
                </c:pt>
                <c:pt idx="53">
                  <c:v>Nov-30</c:v>
                </c:pt>
                <c:pt idx="54">
                  <c:v>Dec-30</c:v>
                </c:pt>
                <c:pt idx="55">
                  <c:v>Jan-31</c:v>
                </c:pt>
                <c:pt idx="56">
                  <c:v>Feb-31</c:v>
                </c:pt>
                <c:pt idx="57">
                  <c:v>Mar-31</c:v>
                </c:pt>
                <c:pt idx="58">
                  <c:v>Apr-31</c:v>
                </c:pt>
                <c:pt idx="59">
                  <c:v>May-31</c:v>
                </c:pt>
                <c:pt idx="60">
                  <c:v>Jun-31</c:v>
                </c:pt>
                <c:pt idx="61">
                  <c:v>Jul-31</c:v>
                </c:pt>
                <c:pt idx="62">
                  <c:v>Aug-31</c:v>
                </c:pt>
                <c:pt idx="63">
                  <c:v>Sept-31</c:v>
                </c:pt>
                <c:pt idx="64">
                  <c:v>Oct-31</c:v>
                </c:pt>
                <c:pt idx="65">
                  <c:v>Nov-31</c:v>
                </c:pt>
                <c:pt idx="66">
                  <c:v>Dec-31</c:v>
                </c:pt>
                <c:pt idx="67">
                  <c:v>Jan-32</c:v>
                </c:pt>
                <c:pt idx="68">
                  <c:v>Feb-32</c:v>
                </c:pt>
                <c:pt idx="69">
                  <c:v>Mar-32</c:v>
                </c:pt>
                <c:pt idx="70">
                  <c:v>Apr-32</c:v>
                </c:pt>
                <c:pt idx="71">
                  <c:v>May-32</c:v>
                </c:pt>
                <c:pt idx="72">
                  <c:v>Jun-32</c:v>
                </c:pt>
                <c:pt idx="73">
                  <c:v>Jul-32</c:v>
                </c:pt>
                <c:pt idx="74">
                  <c:v>Aug-32</c:v>
                </c:pt>
                <c:pt idx="75">
                  <c:v>Sept-32</c:v>
                </c:pt>
                <c:pt idx="76">
                  <c:v>Oct-32</c:v>
                </c:pt>
                <c:pt idx="77">
                  <c:v>Nov-32</c:v>
                </c:pt>
                <c:pt idx="78">
                  <c:v>Dec-32</c:v>
                </c:pt>
                <c:pt idx="79">
                  <c:v>Jan-33</c:v>
                </c:pt>
                <c:pt idx="80">
                  <c:v>Feb-33</c:v>
                </c:pt>
                <c:pt idx="81">
                  <c:v>Mar-33</c:v>
                </c:pt>
                <c:pt idx="82">
                  <c:v>Apr-33</c:v>
                </c:pt>
                <c:pt idx="83">
                  <c:v>May-33</c:v>
                </c:pt>
                <c:pt idx="84">
                  <c:v>Jun-33</c:v>
                </c:pt>
                <c:pt idx="85">
                  <c:v>Jul-33</c:v>
                </c:pt>
                <c:pt idx="86">
                  <c:v>Aug-33</c:v>
                </c:pt>
                <c:pt idx="87">
                  <c:v>Sept-33</c:v>
                </c:pt>
                <c:pt idx="88">
                  <c:v>Oct-33</c:v>
                </c:pt>
                <c:pt idx="89">
                  <c:v>Nov-33</c:v>
                </c:pt>
                <c:pt idx="90">
                  <c:v>Dec-33</c:v>
                </c:pt>
                <c:pt idx="91">
                  <c:v>Jan-34</c:v>
                </c:pt>
                <c:pt idx="92">
                  <c:v>Feb-34</c:v>
                </c:pt>
                <c:pt idx="93">
                  <c:v>Mar-34</c:v>
                </c:pt>
                <c:pt idx="94">
                  <c:v>Apr-34</c:v>
                </c:pt>
                <c:pt idx="95">
                  <c:v>May-34</c:v>
                </c:pt>
              </c:strCache>
            </c:strRef>
          </c:cat>
          <c:val>
            <c:numRef>
              <c:f>'MONTHLY FORECAST'!$AM$4:$AM$99</c:f>
              <c:numCache>
                <c:formatCode>\R\ #\ ##0;[Red]\(\R\ #\ ##0\)</c:formatCode>
                <c:ptCount val="96"/>
                <c:pt idx="0">
                  <c:v>-80875</c:v>
                </c:pt>
                <c:pt idx="1">
                  <c:v>-40598.984375</c:v>
                </c:pt>
                <c:pt idx="2">
                  <c:v>-37263.222363281253</c:v>
                </c:pt>
                <c:pt idx="3">
                  <c:v>-43269.444515991214</c:v>
                </c:pt>
                <c:pt idx="4">
                  <c:v>-46995.301086614534</c:v>
                </c:pt>
                <c:pt idx="5">
                  <c:v>-48312.869026983084</c:v>
                </c:pt>
                <c:pt idx="6">
                  <c:v>-58588.397895002432</c:v>
                </c:pt>
                <c:pt idx="7">
                  <c:v>-66182.044167658139</c:v>
                </c:pt>
                <c:pt idx="8">
                  <c:v>-70947.593429711909</c:v>
                </c:pt>
                <c:pt idx="9">
                  <c:v>-72732.169884284158</c:v>
                </c:pt>
                <c:pt idx="10">
                  <c:v>-71375.932606198636</c:v>
                </c:pt>
                <c:pt idx="11">
                  <c:v>-104228.00078571921</c:v>
                </c:pt>
                <c:pt idx="12">
                  <c:v>-98841.150209970161</c:v>
                </c:pt>
                <c:pt idx="13">
                  <c:v>-89788.923118311504</c:v>
                </c:pt>
                <c:pt idx="14">
                  <c:v>-76880.293674421016</c:v>
                </c:pt>
                <c:pt idx="15">
                  <c:v>-59915.531129396782</c:v>
                </c:pt>
                <c:pt idx="16">
                  <c:v>-38685.802799131299</c:v>
                </c:pt>
                <c:pt idx="17">
                  <c:v>-12972.758917216328</c:v>
                </c:pt>
                <c:pt idx="18">
                  <c:v>17451.901464821989</c:v>
                </c:pt>
                <c:pt idx="19">
                  <c:v>52826.884396041758</c:v>
                </c:pt>
                <c:pt idx="20">
                  <c:v>93401.775669059381</c:v>
                </c:pt>
                <c:pt idx="21">
                  <c:v>139437.53713461303</c:v>
                </c:pt>
                <c:pt idx="22">
                  <c:v>191207.02567817911</c:v>
                </c:pt>
                <c:pt idx="23">
                  <c:v>170710.27845948146</c:v>
                </c:pt>
                <c:pt idx="24">
                  <c:v>231890.51010768392</c:v>
                </c:pt>
                <c:pt idx="25">
                  <c:v>299699.96148093394</c:v>
                </c:pt>
                <c:pt idx="26">
                  <c:v>374464.74987355771</c:v>
                </c:pt>
                <c:pt idx="27">
                  <c:v>456525.86038560898</c:v>
                </c:pt>
                <c:pt idx="28">
                  <c:v>546239.82435984153</c:v>
                </c:pt>
                <c:pt idx="29">
                  <c:v>643979.42880589911</c:v>
                </c:pt>
                <c:pt idx="30">
                  <c:v>750134.45822845295</c:v>
                </c:pt>
                <c:pt idx="31">
                  <c:v>865112.47034085856</c:v>
                </c:pt>
                <c:pt idx="32">
                  <c:v>989339.60721371265</c:v>
                </c:pt>
                <c:pt idx="33">
                  <c:v>1123261.4434786106</c:v>
                </c:pt>
                <c:pt idx="34">
                  <c:v>1267343.8732815729</c:v>
                </c:pt>
                <c:pt idx="35">
                  <c:v>1270952.2695406484</c:v>
                </c:pt>
                <c:pt idx="36">
                  <c:v>1257666.0834039384</c:v>
                </c:pt>
                <c:pt idx="37">
                  <c:v>1245076.3189546876</c:v>
                </c:pt>
                <c:pt idx="38">
                  <c:v>1233192.7809862108</c:v>
                </c:pt>
                <c:pt idx="39">
                  <c:v>1222025.3485206445</c:v>
                </c:pt>
                <c:pt idx="40">
                  <c:v>1211583.9753712921</c:v>
                </c:pt>
                <c:pt idx="41">
                  <c:v>1201878.6907092333</c:v>
                </c:pt>
                <c:pt idx="42">
                  <c:v>1192919.5996342287</c:v>
                </c:pt>
                <c:pt idx="43">
                  <c:v>1184716.8837499528</c:v>
                </c:pt>
                <c:pt idx="44">
                  <c:v>1177280.8017435879</c:v>
                </c:pt>
                <c:pt idx="45">
                  <c:v>1170621.6899698135</c:v>
                </c:pt>
                <c:pt idx="46">
                  <c:v>1164749.9630392208</c:v>
                </c:pt>
                <c:pt idx="47">
                  <c:v>978028.13226680248</c:v>
                </c:pt>
                <c:pt idx="48">
                  <c:v>1139391.2885782961</c:v>
                </c:pt>
                <c:pt idx="49">
                  <c:v>1310825.8672633264</c:v>
                </c:pt>
                <c:pt idx="50">
                  <c:v>1492734.5427141991</c:v>
                </c:pt>
                <c:pt idx="51">
                  <c:v>1685535.2933181559</c:v>
                </c:pt>
                <c:pt idx="52">
                  <c:v>1889661.9836327103</c:v>
                </c:pt>
                <c:pt idx="53">
                  <c:v>2105564.9687287505</c:v>
                </c:pt>
                <c:pt idx="54">
                  <c:v>2333711.7215463594</c:v>
                </c:pt>
                <c:pt idx="55">
                  <c:v>2574587.4841405433</c:v>
                </c:pt>
                <c:pt idx="56">
                  <c:v>2828695.9437275268</c:v>
                </c:pt>
                <c:pt idx="57">
                  <c:v>3096559.9344770312</c:v>
                </c:pt>
                <c:pt idx="58">
                  <c:v>3378722.1660320214</c:v>
                </c:pt>
                <c:pt idx="59">
                  <c:v>3368745.0268273014</c:v>
                </c:pt>
                <c:pt idx="60">
                  <c:v>3677730.7445406229</c:v>
                </c:pt>
                <c:pt idx="61">
                  <c:v>4002769.7926089326</c:v>
                </c:pt>
                <c:pt idx="62">
                  <c:v>4344492.2388053276</c:v>
                </c:pt>
                <c:pt idx="63">
                  <c:v>4703552.1069427747</c:v>
                </c:pt>
                <c:pt idx="64">
                  <c:v>5080628.2885708539</c:v>
                </c:pt>
                <c:pt idx="65">
                  <c:v>5476425.4894032758</c:v>
                </c:pt>
                <c:pt idx="66">
                  <c:v>5891675.2118006134</c:v>
                </c:pt>
                <c:pt idx="67">
                  <c:v>6327136.774683224</c:v>
                </c:pt>
                <c:pt idx="68">
                  <c:v>6783598.3723018561</c:v>
                </c:pt>
                <c:pt idx="69">
                  <c:v>7261878.1733479192</c:v>
                </c:pt>
                <c:pt idx="70">
                  <c:v>7762825.4619419798</c:v>
                </c:pt>
                <c:pt idx="71">
                  <c:v>7780071.071520023</c:v>
                </c:pt>
                <c:pt idx="72">
                  <c:v>8325338.1141482648</c:v>
                </c:pt>
                <c:pt idx="73">
                  <c:v>8896019.261292357</c:v>
                </c:pt>
                <c:pt idx="74">
                  <c:v>9493100.5634421483</c:v>
                </c:pt>
                <c:pt idx="75">
                  <c:v>10117605.577722721</c:v>
                </c:pt>
                <c:pt idx="76">
                  <c:v>10770596.79591397</c:v>
                </c:pt>
                <c:pt idx="77">
                  <c:v>11453177.126895206</c:v>
                </c:pt>
                <c:pt idx="78">
                  <c:v>12166491.435591225</c:v>
                </c:pt>
                <c:pt idx="79">
                  <c:v>12911728.140575618</c:v>
                </c:pt>
                <c:pt idx="80">
                  <c:v>13690120.872569421</c:v>
                </c:pt>
                <c:pt idx="81">
                  <c:v>14502950.19615872</c:v>
                </c:pt>
                <c:pt idx="82">
                  <c:v>15351545.397143545</c:v>
                </c:pt>
                <c:pt idx="83">
                  <c:v>15411471.498767925</c:v>
                </c:pt>
                <c:pt idx="84">
                  <c:v>15573771.285495553</c:v>
                </c:pt>
                <c:pt idx="85">
                  <c:v>15738431.660998181</c:v>
                </c:pt>
                <c:pt idx="86">
                  <c:v>15905475.103034675</c:v>
                </c:pt>
                <c:pt idx="87">
                  <c:v>16074924.26019763</c:v>
                </c:pt>
                <c:pt idx="88">
                  <c:v>16246801.953212902</c:v>
                </c:pt>
                <c:pt idx="89">
                  <c:v>16421131.176249048</c:v>
                </c:pt>
                <c:pt idx="90">
                  <c:v>16597935.098236725</c:v>
                </c:pt>
                <c:pt idx="91">
                  <c:v>16777237.064198148</c:v>
                </c:pt>
                <c:pt idx="92">
                  <c:v>16959060.596586652</c:v>
                </c:pt>
                <c:pt idx="93">
                  <c:v>17143429.396636479</c:v>
                </c:pt>
                <c:pt idx="94">
                  <c:v>17330367.345722821</c:v>
                </c:pt>
                <c:pt idx="95">
                  <c:v>16590392.372292241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03-4529-8824-C5F47C4FBCC5}"/>
            </c:ext>
          </c:extLst>
        </c:ser>
        <c:ser>
          <c:idx val="1"/>
          <c:order val="1"/>
          <c:tx>
            <c:strRef>
              <c:f>'MONTHLY FORECAST'!$AN$3</c:f>
              <c:strCache>
                <c:ptCount val="1"/>
                <c:pt idx="0">
                  <c:v>Reserve
Fund Bal</c:v>
                </c:pt>
              </c:strCache>
            </c:strRef>
          </c:tx>
          <c:spPr>
            <a:ln w="20000">
              <a:solidFill>
                <a:srgbClr val="BF360C"/>
              </a:solidFill>
              <a:prstDash val="solid"/>
            </a:ln>
          </c:spPr>
          <c:marker>
            <c:symbol val="none"/>
          </c:marker>
          <c:cat>
            <c:strRef>
              <c:f>'MONTHLY FORECAST'!$B$4:$B$99</c:f>
              <c:strCache>
                <c:ptCount val="96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Sept-26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  <c:pt idx="12">
                  <c:v>Jun-27</c:v>
                </c:pt>
                <c:pt idx="13">
                  <c:v>Jul-27</c:v>
                </c:pt>
                <c:pt idx="14">
                  <c:v>Aug-27</c:v>
                </c:pt>
                <c:pt idx="15">
                  <c:v>Sept-27</c:v>
                </c:pt>
                <c:pt idx="16">
                  <c:v>Oct-27</c:v>
                </c:pt>
                <c:pt idx="17">
                  <c:v>Nov-27</c:v>
                </c:pt>
                <c:pt idx="18">
                  <c:v>Dec-27</c:v>
                </c:pt>
                <c:pt idx="19">
                  <c:v>Jan-28</c:v>
                </c:pt>
                <c:pt idx="20">
                  <c:v>Feb-28</c:v>
                </c:pt>
                <c:pt idx="21">
                  <c:v>Mar-28</c:v>
                </c:pt>
                <c:pt idx="22">
                  <c:v>Apr-28</c:v>
                </c:pt>
                <c:pt idx="23">
                  <c:v>May-28</c:v>
                </c:pt>
                <c:pt idx="24">
                  <c:v>Jun-28</c:v>
                </c:pt>
                <c:pt idx="25">
                  <c:v>Jul-28</c:v>
                </c:pt>
                <c:pt idx="26">
                  <c:v>Aug-28</c:v>
                </c:pt>
                <c:pt idx="27">
                  <c:v>Sept-28</c:v>
                </c:pt>
                <c:pt idx="28">
                  <c:v>Oct-28</c:v>
                </c:pt>
                <c:pt idx="29">
                  <c:v>Nov-28</c:v>
                </c:pt>
                <c:pt idx="30">
                  <c:v>Dec-28</c:v>
                </c:pt>
                <c:pt idx="31">
                  <c:v>Jan-29</c:v>
                </c:pt>
                <c:pt idx="32">
                  <c:v>Feb-29</c:v>
                </c:pt>
                <c:pt idx="33">
                  <c:v>Mar-29</c:v>
                </c:pt>
                <c:pt idx="34">
                  <c:v>Apr-29</c:v>
                </c:pt>
                <c:pt idx="35">
                  <c:v>May-29</c:v>
                </c:pt>
                <c:pt idx="36">
                  <c:v>Jun-29</c:v>
                </c:pt>
                <c:pt idx="37">
                  <c:v>Jul-29</c:v>
                </c:pt>
                <c:pt idx="38">
                  <c:v>Aug-29</c:v>
                </c:pt>
                <c:pt idx="39">
                  <c:v>Sept-29</c:v>
                </c:pt>
                <c:pt idx="40">
                  <c:v>Oct-29</c:v>
                </c:pt>
                <c:pt idx="41">
                  <c:v>Nov-29</c:v>
                </c:pt>
                <c:pt idx="42">
                  <c:v>Dec-29</c:v>
                </c:pt>
                <c:pt idx="43">
                  <c:v>Jan-30</c:v>
                </c:pt>
                <c:pt idx="44">
                  <c:v>Feb-30</c:v>
                </c:pt>
                <c:pt idx="45">
                  <c:v>Mar-30</c:v>
                </c:pt>
                <c:pt idx="46">
                  <c:v>Apr-30</c:v>
                </c:pt>
                <c:pt idx="47">
                  <c:v>May-30</c:v>
                </c:pt>
                <c:pt idx="48">
                  <c:v>Jun-30</c:v>
                </c:pt>
                <c:pt idx="49">
                  <c:v>Jul-30</c:v>
                </c:pt>
                <c:pt idx="50">
                  <c:v>Aug-30</c:v>
                </c:pt>
                <c:pt idx="51">
                  <c:v>Sept-30</c:v>
                </c:pt>
                <c:pt idx="52">
                  <c:v>Oct-30</c:v>
                </c:pt>
                <c:pt idx="53">
                  <c:v>Nov-30</c:v>
                </c:pt>
                <c:pt idx="54">
                  <c:v>Dec-30</c:v>
                </c:pt>
                <c:pt idx="55">
                  <c:v>Jan-31</c:v>
                </c:pt>
                <c:pt idx="56">
                  <c:v>Feb-31</c:v>
                </c:pt>
                <c:pt idx="57">
                  <c:v>Mar-31</c:v>
                </c:pt>
                <c:pt idx="58">
                  <c:v>Apr-31</c:v>
                </c:pt>
                <c:pt idx="59">
                  <c:v>May-31</c:v>
                </c:pt>
                <c:pt idx="60">
                  <c:v>Jun-31</c:v>
                </c:pt>
                <c:pt idx="61">
                  <c:v>Jul-31</c:v>
                </c:pt>
                <c:pt idx="62">
                  <c:v>Aug-31</c:v>
                </c:pt>
                <c:pt idx="63">
                  <c:v>Sept-31</c:v>
                </c:pt>
                <c:pt idx="64">
                  <c:v>Oct-31</c:v>
                </c:pt>
                <c:pt idx="65">
                  <c:v>Nov-31</c:v>
                </c:pt>
                <c:pt idx="66">
                  <c:v>Dec-31</c:v>
                </c:pt>
                <c:pt idx="67">
                  <c:v>Jan-32</c:v>
                </c:pt>
                <c:pt idx="68">
                  <c:v>Feb-32</c:v>
                </c:pt>
                <c:pt idx="69">
                  <c:v>Mar-32</c:v>
                </c:pt>
                <c:pt idx="70">
                  <c:v>Apr-32</c:v>
                </c:pt>
                <c:pt idx="71">
                  <c:v>May-32</c:v>
                </c:pt>
                <c:pt idx="72">
                  <c:v>Jun-32</c:v>
                </c:pt>
                <c:pt idx="73">
                  <c:v>Jul-32</c:v>
                </c:pt>
                <c:pt idx="74">
                  <c:v>Aug-32</c:v>
                </c:pt>
                <c:pt idx="75">
                  <c:v>Sept-32</c:v>
                </c:pt>
                <c:pt idx="76">
                  <c:v>Oct-32</c:v>
                </c:pt>
                <c:pt idx="77">
                  <c:v>Nov-32</c:v>
                </c:pt>
                <c:pt idx="78">
                  <c:v>Dec-32</c:v>
                </c:pt>
                <c:pt idx="79">
                  <c:v>Jan-33</c:v>
                </c:pt>
                <c:pt idx="80">
                  <c:v>Feb-33</c:v>
                </c:pt>
                <c:pt idx="81">
                  <c:v>Mar-33</c:v>
                </c:pt>
                <c:pt idx="82">
                  <c:v>Apr-33</c:v>
                </c:pt>
                <c:pt idx="83">
                  <c:v>May-33</c:v>
                </c:pt>
                <c:pt idx="84">
                  <c:v>Jun-33</c:v>
                </c:pt>
                <c:pt idx="85">
                  <c:v>Jul-33</c:v>
                </c:pt>
                <c:pt idx="86">
                  <c:v>Aug-33</c:v>
                </c:pt>
                <c:pt idx="87">
                  <c:v>Sept-33</c:v>
                </c:pt>
                <c:pt idx="88">
                  <c:v>Oct-33</c:v>
                </c:pt>
                <c:pt idx="89">
                  <c:v>Nov-33</c:v>
                </c:pt>
                <c:pt idx="90">
                  <c:v>Dec-33</c:v>
                </c:pt>
                <c:pt idx="91">
                  <c:v>Jan-34</c:v>
                </c:pt>
                <c:pt idx="92">
                  <c:v>Feb-34</c:v>
                </c:pt>
                <c:pt idx="93">
                  <c:v>Mar-34</c:v>
                </c:pt>
                <c:pt idx="94">
                  <c:v>Apr-34</c:v>
                </c:pt>
                <c:pt idx="95">
                  <c:v>May-34</c:v>
                </c:pt>
              </c:strCache>
            </c:strRef>
          </c:cat>
          <c:val>
            <c:numRef>
              <c:f>'MONTHLY FORECAST'!$AN$4:$AN$99</c:f>
              <c:numCache>
                <c:formatCode>\R\ #\ ##0;[Red]\(\R\ #\ ##0\)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03-4529-8824-C5F47C4FB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ZAR</a:t>
                </a:r>
              </a:p>
            </c:rich>
          </c:tx>
          <c:overlay val="1"/>
        </c:title>
        <c:numFmt formatCode="\R\ #\ ##0;[Red]\(\R\ #\ 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8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1080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1080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</sheetPr>
  <dimension ref="A1:C74"/>
  <sheetViews>
    <sheetView showGridLines="0" topLeftCell="A19" workbookViewId="0">
      <selection activeCell="B14" sqref="B14"/>
    </sheetView>
  </sheetViews>
  <sheetFormatPr defaultRowHeight="15" x14ac:dyDescent="0.25"/>
  <cols>
    <col min="1" max="1" width="55" customWidth="1"/>
    <col min="2" max="2" width="22" customWidth="1"/>
    <col min="3" max="3" width="45" customWidth="1"/>
  </cols>
  <sheetData>
    <row r="1" spans="1:3" ht="30" customHeight="1" x14ac:dyDescent="0.25">
      <c r="A1" s="11" t="s">
        <v>0</v>
      </c>
      <c r="B1" s="9"/>
      <c r="C1" s="9"/>
    </row>
    <row r="2" spans="1:3" x14ac:dyDescent="0.25">
      <c r="A2" s="16" t="s">
        <v>1</v>
      </c>
      <c r="B2" s="9"/>
      <c r="C2" s="9"/>
    </row>
    <row r="4" spans="1:3" ht="18" customHeight="1" x14ac:dyDescent="0.25">
      <c r="A4" s="14" t="s">
        <v>2</v>
      </c>
      <c r="B4" s="9"/>
      <c r="C4" s="9"/>
    </row>
    <row r="5" spans="1:3" x14ac:dyDescent="0.25">
      <c r="A5" s="1" t="s">
        <v>3</v>
      </c>
      <c r="B5" s="2">
        <v>0.6</v>
      </c>
      <c r="C5" s="3" t="s">
        <v>4</v>
      </c>
    </row>
    <row r="6" spans="1:3" x14ac:dyDescent="0.25">
      <c r="A6" s="1" t="s">
        <v>5</v>
      </c>
      <c r="B6" s="2">
        <v>0.1</v>
      </c>
      <c r="C6" s="3" t="s">
        <v>6</v>
      </c>
    </row>
    <row r="7" spans="1:3" x14ac:dyDescent="0.25">
      <c r="A7" s="1" t="s">
        <v>7</v>
      </c>
      <c r="B7" s="4">
        <v>37</v>
      </c>
      <c r="C7" s="3" t="s">
        <v>8</v>
      </c>
    </row>
    <row r="8" spans="1:3" x14ac:dyDescent="0.25">
      <c r="A8" s="1" t="s">
        <v>9</v>
      </c>
      <c r="B8" s="4">
        <v>49</v>
      </c>
      <c r="C8" s="3" t="s">
        <v>10</v>
      </c>
    </row>
    <row r="9" spans="1:3" x14ac:dyDescent="0.25">
      <c r="A9" s="1" t="s">
        <v>11</v>
      </c>
      <c r="B9" s="2">
        <v>0.5</v>
      </c>
      <c r="C9" s="3" t="s">
        <v>12</v>
      </c>
    </row>
    <row r="10" spans="1:3" x14ac:dyDescent="0.25">
      <c r="A10" s="1" t="s">
        <v>13</v>
      </c>
      <c r="B10" s="4">
        <v>85</v>
      </c>
      <c r="C10" s="3" t="s">
        <v>14</v>
      </c>
    </row>
    <row r="11" spans="1:3" x14ac:dyDescent="0.25">
      <c r="A11" s="1" t="s">
        <v>15</v>
      </c>
      <c r="B11" s="2">
        <v>0.1</v>
      </c>
      <c r="C11" s="3" t="s">
        <v>16</v>
      </c>
    </row>
    <row r="12" spans="1:3" x14ac:dyDescent="0.25">
      <c r="A12" s="1" t="s">
        <v>17</v>
      </c>
      <c r="B12" s="4">
        <v>12</v>
      </c>
      <c r="C12" s="3" t="s">
        <v>18</v>
      </c>
    </row>
    <row r="13" spans="1:3" x14ac:dyDescent="0.25">
      <c r="A13" s="1" t="s">
        <v>19</v>
      </c>
      <c r="B13" s="5">
        <v>0</v>
      </c>
      <c r="C13" s="3" t="s">
        <v>20</v>
      </c>
    </row>
    <row r="15" spans="1:3" ht="18" customHeight="1" x14ac:dyDescent="0.25">
      <c r="A15" s="12" t="s">
        <v>21</v>
      </c>
      <c r="B15" s="9"/>
      <c r="C15" s="9"/>
    </row>
    <row r="16" spans="1:3" x14ac:dyDescent="0.25">
      <c r="A16" s="1" t="s">
        <v>22</v>
      </c>
      <c r="B16" s="2">
        <v>1E-3</v>
      </c>
      <c r="C16" s="3" t="s">
        <v>23</v>
      </c>
    </row>
    <row r="17" spans="1:3" x14ac:dyDescent="0.25">
      <c r="A17" s="1" t="s">
        <v>24</v>
      </c>
      <c r="B17" s="2">
        <v>0.5</v>
      </c>
      <c r="C17" s="3" t="s">
        <v>25</v>
      </c>
    </row>
    <row r="18" spans="1:3" x14ac:dyDescent="0.25">
      <c r="A18" s="1" t="s">
        <v>26</v>
      </c>
      <c r="B18" s="2">
        <v>0.25</v>
      </c>
      <c r="C18" s="3" t="s">
        <v>27</v>
      </c>
    </row>
    <row r="20" spans="1:3" ht="18" customHeight="1" x14ac:dyDescent="0.25">
      <c r="A20" s="15" t="s">
        <v>28</v>
      </c>
      <c r="B20" s="9"/>
      <c r="C20" s="9"/>
    </row>
    <row r="21" spans="1:3" x14ac:dyDescent="0.25">
      <c r="A21" s="1" t="s">
        <v>29</v>
      </c>
      <c r="B21" s="6">
        <v>57500</v>
      </c>
      <c r="C21" s="3" t="s">
        <v>30</v>
      </c>
    </row>
    <row r="22" spans="1:3" x14ac:dyDescent="0.25">
      <c r="A22" s="1" t="s">
        <v>31</v>
      </c>
      <c r="B22" s="5">
        <v>23000</v>
      </c>
      <c r="C22" s="3"/>
    </row>
    <row r="23" spans="1:3" x14ac:dyDescent="0.25">
      <c r="A23" s="1" t="s">
        <v>32</v>
      </c>
      <c r="B23" s="5">
        <v>34500</v>
      </c>
      <c r="C23" s="3"/>
    </row>
    <row r="24" spans="1:3" x14ac:dyDescent="0.25">
      <c r="A24" s="1" t="s">
        <v>33</v>
      </c>
      <c r="B24" s="5">
        <v>46000</v>
      </c>
      <c r="C24" s="3" t="s">
        <v>34</v>
      </c>
    </row>
    <row r="25" spans="1:3" x14ac:dyDescent="0.25">
      <c r="A25" s="1" t="s">
        <v>35</v>
      </c>
      <c r="B25" s="2">
        <v>0.06</v>
      </c>
      <c r="C25" s="3" t="s">
        <v>36</v>
      </c>
    </row>
    <row r="26" spans="1:3" x14ac:dyDescent="0.25">
      <c r="A26" s="1" t="s">
        <v>37</v>
      </c>
      <c r="B26" s="2">
        <v>2.5000000000000001E-3</v>
      </c>
      <c r="C26" s="3" t="s">
        <v>38</v>
      </c>
    </row>
    <row r="27" spans="1:3" x14ac:dyDescent="0.25">
      <c r="A27" s="1" t="s">
        <v>39</v>
      </c>
      <c r="B27" s="5">
        <v>5000</v>
      </c>
      <c r="C27" s="3" t="s">
        <v>40</v>
      </c>
    </row>
    <row r="28" spans="1:3" x14ac:dyDescent="0.25">
      <c r="A28" s="1" t="s">
        <v>41</v>
      </c>
      <c r="B28" s="5">
        <v>3000</v>
      </c>
      <c r="C28" s="3" t="s">
        <v>42</v>
      </c>
    </row>
    <row r="30" spans="1:3" ht="18" customHeight="1" x14ac:dyDescent="0.25">
      <c r="A30" s="10" t="s">
        <v>43</v>
      </c>
      <c r="B30" s="9"/>
      <c r="C30" s="9"/>
    </row>
    <row r="31" spans="1:3" x14ac:dyDescent="0.25">
      <c r="A31" s="1" t="s">
        <v>44</v>
      </c>
      <c r="B31" s="4">
        <v>1</v>
      </c>
      <c r="C31" s="3" t="s">
        <v>45</v>
      </c>
    </row>
    <row r="32" spans="1:3" x14ac:dyDescent="0.25">
      <c r="A32" s="1" t="s">
        <v>46</v>
      </c>
      <c r="B32" s="5">
        <v>300000</v>
      </c>
      <c r="C32" s="3"/>
    </row>
    <row r="33" spans="1:3" x14ac:dyDescent="0.25">
      <c r="A33" s="1" t="s">
        <v>47</v>
      </c>
      <c r="B33" s="5">
        <v>200000</v>
      </c>
      <c r="C33" s="3"/>
    </row>
    <row r="34" spans="1:3" x14ac:dyDescent="0.25">
      <c r="A34" s="1" t="s">
        <v>48</v>
      </c>
      <c r="B34" s="2">
        <v>7.4999999999999997E-3</v>
      </c>
      <c r="C34" s="3" t="s">
        <v>49</v>
      </c>
    </row>
    <row r="35" spans="1:3" x14ac:dyDescent="0.25">
      <c r="A35" s="1" t="s">
        <v>50</v>
      </c>
      <c r="B35" s="2">
        <v>2.5000000000000001E-2</v>
      </c>
      <c r="C35" s="3" t="s">
        <v>51</v>
      </c>
    </row>
    <row r="37" spans="1:3" ht="18" customHeight="1" x14ac:dyDescent="0.25">
      <c r="A37" s="10" t="s">
        <v>52</v>
      </c>
      <c r="B37" s="9"/>
      <c r="C37" s="9"/>
    </row>
    <row r="38" spans="1:3" x14ac:dyDescent="0.25">
      <c r="A38" s="1" t="s">
        <v>44</v>
      </c>
      <c r="B38" s="4">
        <v>2</v>
      </c>
      <c r="C38" s="3" t="s">
        <v>53</v>
      </c>
    </row>
    <row r="39" spans="1:3" x14ac:dyDescent="0.25">
      <c r="A39" s="1" t="s">
        <v>46</v>
      </c>
      <c r="B39" s="4">
        <v>0</v>
      </c>
      <c r="C39" s="3"/>
    </row>
    <row r="40" spans="1:3" x14ac:dyDescent="0.25">
      <c r="A40" s="1" t="s">
        <v>47</v>
      </c>
      <c r="B40" s="5">
        <v>40000</v>
      </c>
      <c r="C40" s="3"/>
    </row>
    <row r="41" spans="1:3" x14ac:dyDescent="0.25">
      <c r="A41" s="1" t="s">
        <v>48</v>
      </c>
      <c r="B41" s="2">
        <v>7.4999999999999997E-3</v>
      </c>
      <c r="C41" s="3"/>
    </row>
    <row r="42" spans="1:3" x14ac:dyDescent="0.25">
      <c r="A42" s="1" t="s">
        <v>50</v>
      </c>
      <c r="B42" s="2">
        <v>0.1</v>
      </c>
      <c r="C42" s="3" t="s">
        <v>54</v>
      </c>
    </row>
    <row r="44" spans="1:3" ht="18" customHeight="1" x14ac:dyDescent="0.25">
      <c r="A44" s="10" t="s">
        <v>55</v>
      </c>
      <c r="B44" s="9"/>
      <c r="C44" s="9"/>
    </row>
    <row r="45" spans="1:3" x14ac:dyDescent="0.25">
      <c r="A45" s="1" t="s">
        <v>44</v>
      </c>
      <c r="B45" s="4">
        <v>2</v>
      </c>
      <c r="C45" s="3" t="s">
        <v>53</v>
      </c>
    </row>
    <row r="46" spans="1:3" x14ac:dyDescent="0.25">
      <c r="A46" s="1" t="s">
        <v>46</v>
      </c>
      <c r="B46" s="5">
        <v>5000000</v>
      </c>
      <c r="C46" s="3" t="s">
        <v>56</v>
      </c>
    </row>
    <row r="47" spans="1:3" x14ac:dyDescent="0.25">
      <c r="A47" s="1" t="s">
        <v>47</v>
      </c>
      <c r="B47" s="4">
        <v>0</v>
      </c>
      <c r="C47" s="3" t="s">
        <v>57</v>
      </c>
    </row>
    <row r="48" spans="1:3" x14ac:dyDescent="0.25">
      <c r="A48" s="1" t="s">
        <v>48</v>
      </c>
      <c r="B48" s="2">
        <v>7.4999999999999997E-3</v>
      </c>
      <c r="C48" s="3"/>
    </row>
    <row r="49" spans="1:3" x14ac:dyDescent="0.25">
      <c r="A49" s="1" t="s">
        <v>50</v>
      </c>
      <c r="B49" s="2">
        <v>0.1</v>
      </c>
      <c r="C49" s="3"/>
    </row>
    <row r="51" spans="1:3" ht="18" customHeight="1" x14ac:dyDescent="0.25">
      <c r="A51" s="10" t="s">
        <v>58</v>
      </c>
      <c r="B51" s="9"/>
      <c r="C51" s="9"/>
    </row>
    <row r="52" spans="1:3" x14ac:dyDescent="0.25">
      <c r="A52" s="1" t="s">
        <v>44</v>
      </c>
      <c r="B52" s="4">
        <v>2</v>
      </c>
      <c r="C52" s="3" t="s">
        <v>53</v>
      </c>
    </row>
    <row r="53" spans="1:3" x14ac:dyDescent="0.25">
      <c r="A53" s="1" t="s">
        <v>46</v>
      </c>
      <c r="B53" s="4">
        <v>0</v>
      </c>
      <c r="C53" s="3"/>
    </row>
    <row r="54" spans="1:3" x14ac:dyDescent="0.25">
      <c r="A54" s="1" t="s">
        <v>47</v>
      </c>
      <c r="B54" s="5">
        <v>20000</v>
      </c>
      <c r="C54" s="3"/>
    </row>
    <row r="55" spans="1:3" x14ac:dyDescent="0.25">
      <c r="A55" s="1" t="s">
        <v>48</v>
      </c>
      <c r="B55" s="2">
        <v>7.4999999999999997E-3</v>
      </c>
      <c r="C55" s="3"/>
    </row>
    <row r="56" spans="1:3" x14ac:dyDescent="0.25">
      <c r="A56" s="1" t="s">
        <v>50</v>
      </c>
      <c r="B56" s="2">
        <v>2.5000000000000001E-2</v>
      </c>
      <c r="C56" s="3" t="s">
        <v>51</v>
      </c>
    </row>
    <row r="58" spans="1:3" ht="18" customHeight="1" x14ac:dyDescent="0.25">
      <c r="A58" s="12" t="s">
        <v>59</v>
      </c>
      <c r="B58" s="9"/>
      <c r="C58" s="9"/>
    </row>
    <row r="59" spans="1:3" x14ac:dyDescent="0.25">
      <c r="A59" s="1" t="s">
        <v>60</v>
      </c>
      <c r="B59" s="4">
        <v>94</v>
      </c>
      <c r="C59" s="3" t="s">
        <v>61</v>
      </c>
    </row>
    <row r="60" spans="1:3" x14ac:dyDescent="0.25">
      <c r="A60" s="1" t="s">
        <v>62</v>
      </c>
      <c r="B60" s="4">
        <v>3</v>
      </c>
      <c r="C60" s="3" t="s">
        <v>63</v>
      </c>
    </row>
    <row r="61" spans="1:3" x14ac:dyDescent="0.25">
      <c r="A61" s="1" t="s">
        <v>64</v>
      </c>
      <c r="B61" s="4">
        <v>1</v>
      </c>
      <c r="C61" s="3" t="s">
        <v>65</v>
      </c>
    </row>
    <row r="62" spans="1:3" x14ac:dyDescent="0.25">
      <c r="A62" s="1" t="s">
        <v>66</v>
      </c>
      <c r="B62" s="4">
        <v>1</v>
      </c>
      <c r="C62" s="3" t="s">
        <v>67</v>
      </c>
    </row>
    <row r="63" spans="1:3" x14ac:dyDescent="0.25">
      <c r="A63" s="1" t="s">
        <v>68</v>
      </c>
      <c r="B63" s="5">
        <v>50000</v>
      </c>
      <c r="C63" s="3" t="s">
        <v>69</v>
      </c>
    </row>
    <row r="64" spans="1:3" x14ac:dyDescent="0.25">
      <c r="A64" s="1" t="s">
        <v>70</v>
      </c>
      <c r="B64" s="5">
        <v>5000</v>
      </c>
      <c r="C64" s="3" t="s">
        <v>71</v>
      </c>
    </row>
    <row r="65" spans="1:3" x14ac:dyDescent="0.25">
      <c r="A65" s="1" t="s">
        <v>72</v>
      </c>
      <c r="B65" s="2">
        <v>7.4999999999999997E-3</v>
      </c>
      <c r="C65" s="3" t="s">
        <v>73</v>
      </c>
    </row>
    <row r="66" spans="1:3" x14ac:dyDescent="0.25">
      <c r="A66" s="1" t="s">
        <v>74</v>
      </c>
      <c r="B66" s="2">
        <v>0.1</v>
      </c>
      <c r="C66" s="3" t="s">
        <v>54</v>
      </c>
    </row>
    <row r="68" spans="1:3" ht="18" customHeight="1" x14ac:dyDescent="0.25">
      <c r="A68" s="8" t="s">
        <v>75</v>
      </c>
      <c r="B68" s="9"/>
      <c r="C68" s="9"/>
    </row>
    <row r="69" spans="1:3" x14ac:dyDescent="0.25">
      <c r="A69" s="1" t="s">
        <v>76</v>
      </c>
      <c r="B69" s="4">
        <v>96</v>
      </c>
      <c r="C69" s="3" t="s">
        <v>77</v>
      </c>
    </row>
    <row r="70" spans="1:3" x14ac:dyDescent="0.25">
      <c r="A70" s="1" t="s">
        <v>78</v>
      </c>
      <c r="B70" s="6">
        <v>2026</v>
      </c>
      <c r="C70" s="3" t="s">
        <v>79</v>
      </c>
    </row>
    <row r="71" spans="1:3" x14ac:dyDescent="0.25">
      <c r="A71" s="1" t="s">
        <v>80</v>
      </c>
      <c r="B71" s="7">
        <v>6</v>
      </c>
      <c r="C71" s="3" t="s">
        <v>81</v>
      </c>
    </row>
    <row r="74" spans="1:3" ht="60" customHeight="1" x14ac:dyDescent="0.25">
      <c r="A74" s="13" t="s">
        <v>82</v>
      </c>
      <c r="B74" s="9"/>
      <c r="C74" s="9"/>
    </row>
  </sheetData>
  <mergeCells count="12">
    <mergeCell ref="A74:C74"/>
    <mergeCell ref="A30:C30"/>
    <mergeCell ref="A15:C15"/>
    <mergeCell ref="A4:C4"/>
    <mergeCell ref="A20:C20"/>
    <mergeCell ref="A51:C51"/>
    <mergeCell ref="A68:C68"/>
    <mergeCell ref="A44:C44"/>
    <mergeCell ref="A1:C1"/>
    <mergeCell ref="A37:C37"/>
    <mergeCell ref="A58:C5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064"/>
  </sheetPr>
  <dimension ref="A1:AN102"/>
  <sheetViews>
    <sheetView showGridLines="0" tabSelected="1" zoomScaleNormal="100" workbookViewId="0">
      <pane xSplit="2" ySplit="3" topLeftCell="Z52" activePane="bottomRight" state="frozen"/>
      <selection pane="topRight"/>
      <selection pane="bottomLeft"/>
      <selection pane="bottomRight" activeCell="AL100" sqref="AL100"/>
    </sheetView>
  </sheetViews>
  <sheetFormatPr defaultRowHeight="12" outlineLevelCol="1" x14ac:dyDescent="0.2"/>
  <cols>
    <col min="1" max="1" width="6" style="20" customWidth="1"/>
    <col min="2" max="2" width="9" style="20" customWidth="1"/>
    <col min="3" max="3" width="8" style="20" customWidth="1"/>
    <col min="4" max="4" width="13" style="20" customWidth="1" outlineLevel="1"/>
    <col min="5" max="6" width="12" style="20" customWidth="1" outlineLevel="1"/>
    <col min="7" max="7" width="15" style="20" customWidth="1" outlineLevel="1"/>
    <col min="8" max="8" width="13" style="20" customWidth="1" outlineLevel="1"/>
    <col min="9" max="10" width="12" style="20" customWidth="1" outlineLevel="1"/>
    <col min="11" max="11" width="15" style="20" customWidth="1" outlineLevel="1"/>
    <col min="12" max="12" width="13" style="20" customWidth="1" outlineLevel="1"/>
    <col min="13" max="14" width="12" style="20" customWidth="1" outlineLevel="1"/>
    <col min="15" max="15" width="15" style="20" customWidth="1" outlineLevel="1"/>
    <col min="16" max="16" width="13" style="20" customWidth="1" outlineLevel="1"/>
    <col min="17" max="18" width="12" style="20" customWidth="1" outlineLevel="1"/>
    <col min="19" max="19" width="15" style="20" customWidth="1" outlineLevel="1"/>
    <col min="20" max="20" width="8" style="20" customWidth="1" outlineLevel="1"/>
    <col min="21" max="21" width="14" style="20" customWidth="1" outlineLevel="1"/>
    <col min="22" max="23" width="12" style="20" customWidth="1" outlineLevel="1"/>
    <col min="24" max="24" width="15" style="20" customWidth="1" outlineLevel="1"/>
    <col min="25" max="28" width="14" style="20" customWidth="1"/>
    <col min="29" max="29" width="15" style="20" customWidth="1"/>
    <col min="30" max="30" width="16" style="20" customWidth="1"/>
    <col min="31" max="33" width="14" style="20" customWidth="1"/>
    <col min="34" max="35" width="11" style="20" customWidth="1"/>
    <col min="36" max="36" width="13" style="20" customWidth="1"/>
    <col min="37" max="37" width="14" style="20" customWidth="1"/>
    <col min="38" max="38" width="15" style="20" customWidth="1"/>
    <col min="39" max="40" width="16" style="20" customWidth="1"/>
    <col min="41" max="16384" width="9.140625" style="20"/>
  </cols>
  <sheetData>
    <row r="1" spans="1:40" ht="21.95" customHeight="1" x14ac:dyDescent="0.2">
      <c r="A1" s="18" t="s">
        <v>83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spans="1:40" x14ac:dyDescent="0.2">
      <c r="A2" s="21" t="s">
        <v>84</v>
      </c>
      <c r="B2" s="19"/>
      <c r="C2" s="19"/>
      <c r="D2" s="22" t="s">
        <v>85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23" t="s">
        <v>86</v>
      </c>
      <c r="Z2" s="19"/>
      <c r="AA2" s="19"/>
      <c r="AB2" s="19"/>
      <c r="AC2" s="19"/>
      <c r="AD2" s="24" t="s">
        <v>87</v>
      </c>
      <c r="AE2" s="25" t="s">
        <v>88</v>
      </c>
      <c r="AF2" s="19"/>
      <c r="AG2" s="19"/>
      <c r="AH2" s="19"/>
      <c r="AI2" s="19"/>
      <c r="AJ2" s="19"/>
      <c r="AK2" s="26" t="s">
        <v>89</v>
      </c>
      <c r="AL2" s="24" t="s">
        <v>90</v>
      </c>
      <c r="AM2" s="19"/>
      <c r="AN2" s="19"/>
    </row>
    <row r="3" spans="1:40" ht="51.95" customHeight="1" x14ac:dyDescent="0.2">
      <c r="A3" s="27" t="s">
        <v>91</v>
      </c>
      <c r="B3" s="27" t="s">
        <v>92</v>
      </c>
      <c r="C3" s="27" t="s">
        <v>93</v>
      </c>
      <c r="D3" s="28" t="s">
        <v>94</v>
      </c>
      <c r="E3" s="28" t="s">
        <v>95</v>
      </c>
      <c r="F3" s="28" t="s">
        <v>96</v>
      </c>
      <c r="G3" s="28" t="s">
        <v>97</v>
      </c>
      <c r="H3" s="28" t="s">
        <v>98</v>
      </c>
      <c r="I3" s="28" t="s">
        <v>99</v>
      </c>
      <c r="J3" s="28" t="s">
        <v>100</v>
      </c>
      <c r="K3" s="28" t="s">
        <v>101</v>
      </c>
      <c r="L3" s="28" t="s">
        <v>102</v>
      </c>
      <c r="M3" s="28" t="s">
        <v>103</v>
      </c>
      <c r="N3" s="28" t="s">
        <v>104</v>
      </c>
      <c r="O3" s="28" t="s">
        <v>105</v>
      </c>
      <c r="P3" s="28" t="s">
        <v>106</v>
      </c>
      <c r="Q3" s="28" t="s">
        <v>107</v>
      </c>
      <c r="R3" s="28" t="s">
        <v>108</v>
      </c>
      <c r="S3" s="28" t="s">
        <v>109</v>
      </c>
      <c r="T3" s="28" t="s">
        <v>110</v>
      </c>
      <c r="U3" s="28" t="s">
        <v>111</v>
      </c>
      <c r="V3" s="28" t="s">
        <v>112</v>
      </c>
      <c r="W3" s="28" t="s">
        <v>113</v>
      </c>
      <c r="X3" s="28" t="s">
        <v>114</v>
      </c>
      <c r="Y3" s="29" t="s">
        <v>115</v>
      </c>
      <c r="Z3" s="29" t="s">
        <v>116</v>
      </c>
      <c r="AA3" s="29" t="s">
        <v>117</v>
      </c>
      <c r="AB3" s="29" t="s">
        <v>118</v>
      </c>
      <c r="AC3" s="29" t="s">
        <v>119</v>
      </c>
      <c r="AD3" s="27" t="s">
        <v>120</v>
      </c>
      <c r="AE3" s="30" t="s">
        <v>121</v>
      </c>
      <c r="AF3" s="30" t="s">
        <v>122</v>
      </c>
      <c r="AG3" s="30" t="s">
        <v>123</v>
      </c>
      <c r="AH3" s="30" t="s">
        <v>124</v>
      </c>
      <c r="AI3" s="30" t="s">
        <v>125</v>
      </c>
      <c r="AJ3" s="30" t="s">
        <v>126</v>
      </c>
      <c r="AK3" s="31" t="s">
        <v>127</v>
      </c>
      <c r="AL3" s="27" t="s">
        <v>128</v>
      </c>
      <c r="AM3" s="27" t="s">
        <v>129</v>
      </c>
      <c r="AN3" s="27" t="s">
        <v>130</v>
      </c>
    </row>
    <row r="4" spans="1:40" x14ac:dyDescent="0.2">
      <c r="A4" s="32">
        <v>1</v>
      </c>
      <c r="B4" s="32" t="str">
        <f>TEXT(DATE(VARIABLES!$B$70+INT((VARIABLES!$B$71+$A4-2)/12),MOD(VARIABLES!$B$71+$A4-2,12)+1,1),"mmm-yy")</f>
        <v>Jun-26</v>
      </c>
      <c r="C4" s="33">
        <f>IF($A4&lt;VARIABLES!$B$7,VARIABLES!$B$5/12,IF($A4&lt;VARIABLES!$B$8,VARIABLES!$B$6/12,IF($A4&lt;VARIABLES!$B$10,VARIABLES!$B$9/12,VARIABLES!$B$11/12)))</f>
        <v>4.9999999999999996E-2</v>
      </c>
      <c r="D4" s="34">
        <f>IF($A4&lt;VARIABLES!$B$31,0,IF($A4=VARIABLES!$B$31,VARIABLES!$B$32+VARIABLES!$B$33,VARIABLES!$B$33))</f>
        <v>500000</v>
      </c>
      <c r="E4" s="34">
        <f>D4*VARIABLES!$B$34</f>
        <v>3750</v>
      </c>
      <c r="F4" s="34">
        <f>IF($A4&lt;VARIABLES!$B$31,0,(IF($A4=VARIABLES!$B$31,0,G3)+D4)*C4*VARIABLES!$B$35)</f>
        <v>625</v>
      </c>
      <c r="G4" s="34">
        <f>IF($A4&lt;VARIABLES!$B$31,0,(IF($A4=VARIABLES!$B$31,0,G3)+D4)*(1+C4)-F4)</f>
        <v>524375</v>
      </c>
      <c r="H4" s="34">
        <f>IF($A4&lt;VARIABLES!$B$38,0,IF($A4=VARIABLES!$B$38,VARIABLES!$B$39+VARIABLES!$B$40,VARIABLES!$B$40))</f>
        <v>0</v>
      </c>
      <c r="I4" s="34">
        <f>H4*VARIABLES!$B$41</f>
        <v>0</v>
      </c>
      <c r="J4" s="34">
        <f>IF($A4&lt;VARIABLES!$B$38,0,(IF($A4=VARIABLES!$B$38,0,K3)+H4)*C4*VARIABLES!$B$42)</f>
        <v>0</v>
      </c>
      <c r="K4" s="34">
        <f>IF($A4&lt;VARIABLES!$B$38,0,(IF($A4=VARIABLES!$B$38,0,K3)+H4)*(1+C4)-J4)</f>
        <v>0</v>
      </c>
      <c r="L4" s="34">
        <f>IF($A4&lt;VARIABLES!$B$45,0,IF($A4=VARIABLES!$B$45,VARIABLES!$B$46+VARIABLES!$B$47,VARIABLES!$B$47))</f>
        <v>0</v>
      </c>
      <c r="M4" s="34">
        <f>L4*VARIABLES!$B$48</f>
        <v>0</v>
      </c>
      <c r="N4" s="34">
        <f>IF($A4&lt;VARIABLES!$B$45,0,(IF($A4=VARIABLES!$B$45,0,O3)+L4)*C4*VARIABLES!$B$49)</f>
        <v>0</v>
      </c>
      <c r="O4" s="34">
        <f>IF($A4&lt;VARIABLES!$B$45,0,(IF($A4=VARIABLES!$B$45,0,O3)+L4)*(1+C4)-N4)</f>
        <v>0</v>
      </c>
      <c r="P4" s="34">
        <f>IF($A4&lt;VARIABLES!$B$52,0,IF($A4=VARIABLES!$B$52,VARIABLES!$B$53+VARIABLES!$B$54,VARIABLES!$B$54))</f>
        <v>0</v>
      </c>
      <c r="Q4" s="34">
        <f>P4*VARIABLES!$B$55</f>
        <v>0</v>
      </c>
      <c r="R4" s="34">
        <f>IF($A4&lt;VARIABLES!$B$52,0,(IF($A4=VARIABLES!$B$52,0,S3)+P4)*C4*VARIABLES!$B$56)</f>
        <v>0</v>
      </c>
      <c r="S4" s="34">
        <f>IF($A4&lt;VARIABLES!$B$52,0,(IF($A4=VARIABLES!$B$52,0,S3)+P4)*(1+C4)-R4)</f>
        <v>0</v>
      </c>
      <c r="T4" s="35">
        <f>IF($A4&lt;VARIABLES!$B$60,0,MIN(VARIABLES!$B$59,INT(($A4-VARIABLES!$B$60)/VARIABLES!$B$61)+1)*VARIABLES!$B$62)</f>
        <v>0</v>
      </c>
      <c r="U4" s="34">
        <f>T4*VARIABLES!$B$64+IF(AND($A4&gt;=VARIABLES!$B$60,MOD($A4-VARIABLES!$B$60,VARIABLES!$B$61)=0,INT(($A4-VARIABLES!$B$60)/VARIABLES!$B$61)&lt;VARIABLES!$B$59),VARIABLES!$B$62*VARIABLES!$B$63,0)</f>
        <v>0</v>
      </c>
      <c r="V4" s="34">
        <f>U4*VARIABLES!$B$65</f>
        <v>0</v>
      </c>
      <c r="W4" s="34">
        <f>IF($A4&lt;VARIABLES!$B$60,0,(IF($A4&lt;VARIABLES!$B$60+1,0,X3)+U4)*C4*VARIABLES!$B$66)</f>
        <v>0</v>
      </c>
      <c r="X4" s="34">
        <f>IF($A4&lt;VARIABLES!$B$60,0,(IF($A4&lt;VARIABLES!$B$60+1,0,X3)+U4)*(1+C4)-W4)</f>
        <v>0</v>
      </c>
      <c r="Y4" s="34">
        <f t="shared" ref="Y4:Y35" si="0">D4+H4+L4+P4+U4</f>
        <v>500000</v>
      </c>
      <c r="Z4" s="34">
        <f t="shared" ref="Z4:Z35" si="1">E4+I4+M4+Q4+V4</f>
        <v>3750</v>
      </c>
      <c r="AA4" s="34">
        <f t="shared" ref="AA4:AA35" si="2">F4+J4+N4+R4+W4</f>
        <v>625</v>
      </c>
      <c r="AB4" s="34">
        <f>(IF($A4=1,0,AD3)*VARIABLES!$B$18*VARIABLES!$B$16*VARIABLES!$B$17)+(Y4*VARIABLES!$B$16*VARIABLES!$B$17)</f>
        <v>250</v>
      </c>
      <c r="AC4" s="36">
        <f t="shared" ref="AC4:AC35" si="3">Z4+AA4+AB4</f>
        <v>4625</v>
      </c>
      <c r="AD4" s="37">
        <f t="shared" ref="AD4:AD35" si="4">G4+K4+O4+S4+X4</f>
        <v>524375</v>
      </c>
      <c r="AE4" s="34">
        <f>IF($A4=1,VARIABLES!$B$21,0)</f>
        <v>57500</v>
      </c>
      <c r="AF4" s="34">
        <f>IF($A4&lt;=3,VARIABLES!$B$22,IF($A4&lt;=6,VARIABLES!$B$23,VARIABLES!$B$24))*(1+VARIABLES!$B$25)^INT(($A4-1)/12)</f>
        <v>23000</v>
      </c>
      <c r="AG4" s="34">
        <f>IF(MOD($A4,12)=0,AD4*VARIABLES!$B$26,0)</f>
        <v>0</v>
      </c>
      <c r="AH4" s="34">
        <f>VARIABLES!$B$27</f>
        <v>5000</v>
      </c>
      <c r="AI4" s="34">
        <f>IF(MOD($A4,12)=0,VARIABLES!$B$28,0)</f>
        <v>0</v>
      </c>
      <c r="AJ4" s="38">
        <f t="shared" ref="AJ4:AJ35" si="5">AE4+AF4+AG4+AH4+AI4</f>
        <v>85500</v>
      </c>
      <c r="AK4" s="39">
        <f>IF(OR($A4&lt;VARIABLES!$B$7,AND($A4&gt;=VARIABLES!$B$8,$A4&lt;VARIABLES!$B$10)),VARIABLES!$B$13,0)</f>
        <v>0</v>
      </c>
      <c r="AL4" s="40">
        <f t="shared" ref="AL4:AL35" si="6">AC4-AJ4-AK4</f>
        <v>-80875</v>
      </c>
      <c r="AM4" s="40">
        <f>AL4</f>
        <v>-80875</v>
      </c>
      <c r="AN4" s="41">
        <f>AK4</f>
        <v>0</v>
      </c>
    </row>
    <row r="5" spans="1:40" x14ac:dyDescent="0.2">
      <c r="A5" s="42">
        <v>2</v>
      </c>
      <c r="B5" s="42" t="str">
        <f>TEXT(DATE(VARIABLES!$B$70+INT((VARIABLES!$B$71+$A5-2)/12),MOD(VARIABLES!$B$71+$A5-2,12)+1,1),"mmm-yy")</f>
        <v>Jul-26</v>
      </c>
      <c r="C5" s="43">
        <f>IF($A5&lt;VARIABLES!$B$7,VARIABLES!$B$5/12,IF($A5&lt;VARIABLES!$B$8,VARIABLES!$B$6/12,IF($A5&lt;VARIABLES!$B$10,VARIABLES!$B$9/12,VARIABLES!$B$11/12)))</f>
        <v>4.9999999999999996E-2</v>
      </c>
      <c r="D5" s="44">
        <f>IF($A5&lt;VARIABLES!$B$31,0,IF($A5=VARIABLES!$B$31,VARIABLES!$B$32+VARIABLES!$B$33,VARIABLES!$B$33))</f>
        <v>200000</v>
      </c>
      <c r="E5" s="44">
        <f>D5*VARIABLES!$B$34</f>
        <v>1500</v>
      </c>
      <c r="F5" s="44">
        <f>IF($A5&lt;VARIABLES!$B$31,0,(IF($A5=VARIABLES!$B$31,0,G4)+D5)*C5*VARIABLES!$B$35)</f>
        <v>905.46875</v>
      </c>
      <c r="G5" s="44">
        <f>IF($A5&lt;VARIABLES!$B$31,0,(IF($A5=VARIABLES!$B$31,0,G4)+D5)*(1+C5)-F5)</f>
        <v>759688.28125</v>
      </c>
      <c r="H5" s="44">
        <f>IF($A5&lt;VARIABLES!$B$38,0,IF($A5=VARIABLES!$B$38,VARIABLES!$B$39+VARIABLES!$B$40,VARIABLES!$B$40))</f>
        <v>40000</v>
      </c>
      <c r="I5" s="44">
        <f>H5*VARIABLES!$B$41</f>
        <v>300</v>
      </c>
      <c r="J5" s="44">
        <f>IF($A5&lt;VARIABLES!$B$38,0,(IF($A5=VARIABLES!$B$38,0,K4)+H5)*C5*VARIABLES!$B$42)</f>
        <v>200</v>
      </c>
      <c r="K5" s="44">
        <f>IF($A5&lt;VARIABLES!$B$38,0,(IF($A5=VARIABLES!$B$38,0,K4)+H5)*(1+C5)-J5)</f>
        <v>41800</v>
      </c>
      <c r="L5" s="44">
        <f>IF($A5&lt;VARIABLES!$B$45,0,IF($A5=VARIABLES!$B$45,VARIABLES!$B$46+VARIABLES!$B$47,VARIABLES!$B$47))</f>
        <v>5000000</v>
      </c>
      <c r="M5" s="44">
        <f>L5*VARIABLES!$B$48</f>
        <v>37500</v>
      </c>
      <c r="N5" s="44">
        <f>IF($A5&lt;VARIABLES!$B$45,0,(IF($A5=VARIABLES!$B$45,0,O4)+L5)*C5*VARIABLES!$B$49)</f>
        <v>25000</v>
      </c>
      <c r="O5" s="44">
        <f>IF($A5&lt;VARIABLES!$B$45,0,(IF($A5=VARIABLES!$B$45,0,O4)+L5)*(1+C5)-N5)</f>
        <v>5225000</v>
      </c>
      <c r="P5" s="44">
        <f>IF($A5&lt;VARIABLES!$B$52,0,IF($A5=VARIABLES!$B$52,VARIABLES!$B$53+VARIABLES!$B$54,VARIABLES!$B$54))</f>
        <v>20000</v>
      </c>
      <c r="Q5" s="44">
        <f>P5*VARIABLES!$B$55</f>
        <v>150</v>
      </c>
      <c r="R5" s="44">
        <f>IF($A5&lt;VARIABLES!$B$52,0,(IF($A5=VARIABLES!$B$52,0,S4)+P5)*C5*VARIABLES!$B$56)</f>
        <v>25</v>
      </c>
      <c r="S5" s="44">
        <f>IF($A5&lt;VARIABLES!$B$52,0,(IF($A5=VARIABLES!$B$52,0,S4)+P5)*(1+C5)-R5)</f>
        <v>20975</v>
      </c>
      <c r="T5" s="45">
        <f>IF($A5&lt;VARIABLES!$B$60,0,MIN(VARIABLES!$B$59,INT(($A5-VARIABLES!$B$60)/VARIABLES!$B$61)+1)*VARIABLES!$B$62)</f>
        <v>0</v>
      </c>
      <c r="U5" s="44">
        <f>T5*VARIABLES!$B$64+IF(AND($A5&gt;=VARIABLES!$B$60,MOD($A5-VARIABLES!$B$60,VARIABLES!$B$61)=0,INT(($A5-VARIABLES!$B$60)/VARIABLES!$B$61)&lt;VARIABLES!$B$59),VARIABLES!$B$62*VARIABLES!$B$63,0)</f>
        <v>0</v>
      </c>
      <c r="V5" s="44">
        <f>U5*VARIABLES!$B$65</f>
        <v>0</v>
      </c>
      <c r="W5" s="44">
        <f>IF($A5&lt;VARIABLES!$B$60,0,(IF($A5&lt;VARIABLES!$B$60+1,0,X4)+U5)*C5*VARIABLES!$B$66)</f>
        <v>0</v>
      </c>
      <c r="X5" s="44">
        <f>IF($A5&lt;VARIABLES!$B$60,0,(IF($A5&lt;VARIABLES!$B$60+1,0,X4)+U5)*(1+C5)-W5)</f>
        <v>0</v>
      </c>
      <c r="Y5" s="44">
        <f t="shared" si="0"/>
        <v>5260000</v>
      </c>
      <c r="Z5" s="44">
        <f t="shared" si="1"/>
        <v>39450</v>
      </c>
      <c r="AA5" s="44">
        <f t="shared" si="2"/>
        <v>26130.46875</v>
      </c>
      <c r="AB5" s="44">
        <f>(IF($A5=1,0,AD4)*VARIABLES!$B$18*VARIABLES!$B$16*VARIABLES!$B$17)+(Y5*VARIABLES!$B$16*VARIABLES!$B$17)</f>
        <v>2695.546875</v>
      </c>
      <c r="AC5" s="36">
        <f t="shared" si="3"/>
        <v>68276.015625</v>
      </c>
      <c r="AD5" s="37">
        <f t="shared" si="4"/>
        <v>6047463.28125</v>
      </c>
      <c r="AE5" s="44">
        <f>IF($A5=1,VARIABLES!$B$21,0)</f>
        <v>0</v>
      </c>
      <c r="AF5" s="44">
        <f>IF($A5&lt;=3,VARIABLES!$B$22,IF($A5&lt;=6,VARIABLES!$B$23,VARIABLES!$B$24))*(1+VARIABLES!$B$25)^INT(($A5-1)/12)</f>
        <v>23000</v>
      </c>
      <c r="AG5" s="44">
        <f>IF(MOD($A5,12)=0,AD5*VARIABLES!$B$26,0)</f>
        <v>0</v>
      </c>
      <c r="AH5" s="44">
        <f>VARIABLES!$B$27</f>
        <v>5000</v>
      </c>
      <c r="AI5" s="44">
        <f>IF(MOD($A5,12)=0,VARIABLES!$B$28,0)</f>
        <v>0</v>
      </c>
      <c r="AJ5" s="38">
        <f t="shared" si="5"/>
        <v>28000</v>
      </c>
      <c r="AK5" s="39">
        <f>IF(OR($A5&lt;VARIABLES!$B$7,AND($A5&gt;=VARIABLES!$B$8,$A5&lt;VARIABLES!$B$10)),VARIABLES!$B$13,0)</f>
        <v>0</v>
      </c>
      <c r="AL5" s="46">
        <f t="shared" si="6"/>
        <v>40276.015625</v>
      </c>
      <c r="AM5" s="46">
        <f t="shared" ref="AM5:AM36" si="7">AM4+AL5</f>
        <v>-40598.984375</v>
      </c>
      <c r="AN5" s="41">
        <f t="shared" ref="AN5:AN36" si="8">AN4+AK5</f>
        <v>0</v>
      </c>
    </row>
    <row r="6" spans="1:40" x14ac:dyDescent="0.2">
      <c r="A6" s="32">
        <v>3</v>
      </c>
      <c r="B6" s="32" t="str">
        <f>TEXT(DATE(VARIABLES!$B$70+INT((VARIABLES!$B$71+$A6-2)/12),MOD(VARIABLES!$B$71+$A6-2,12)+1,1),"mmm-yy")</f>
        <v>Aug-26</v>
      </c>
      <c r="C6" s="33">
        <f>IF($A6&lt;VARIABLES!$B$7,VARIABLES!$B$5/12,IF($A6&lt;VARIABLES!$B$8,VARIABLES!$B$6/12,IF($A6&lt;VARIABLES!$B$10,VARIABLES!$B$9/12,VARIABLES!$B$11/12)))</f>
        <v>4.9999999999999996E-2</v>
      </c>
      <c r="D6" s="34">
        <f>IF($A6&lt;VARIABLES!$B$31,0,IF($A6=VARIABLES!$B$31,VARIABLES!$B$32+VARIABLES!$B$33,VARIABLES!$B$33))</f>
        <v>200000</v>
      </c>
      <c r="E6" s="34">
        <f>D6*VARIABLES!$B$34</f>
        <v>1500</v>
      </c>
      <c r="F6" s="34">
        <f>IF($A6&lt;VARIABLES!$B$31,0,(IF($A6=VARIABLES!$B$31,0,G5)+D6)*C6*VARIABLES!$B$35)</f>
        <v>1199.6103515624998</v>
      </c>
      <c r="G6" s="34">
        <f>IF($A6&lt;VARIABLES!$B$31,0,(IF($A6=VARIABLES!$B$31,0,G5)+D6)*(1+C6)-F6)</f>
        <v>1006473.0849609375</v>
      </c>
      <c r="H6" s="34">
        <f>IF($A6&lt;VARIABLES!$B$38,0,IF($A6=VARIABLES!$B$38,VARIABLES!$B$39+VARIABLES!$B$40,VARIABLES!$B$40))</f>
        <v>40000</v>
      </c>
      <c r="I6" s="34">
        <f>H6*VARIABLES!$B$41</f>
        <v>300</v>
      </c>
      <c r="J6" s="34">
        <f>IF($A6&lt;VARIABLES!$B$38,0,(IF($A6=VARIABLES!$B$38,0,K5)+H6)*C6*VARIABLES!$B$42)</f>
        <v>409</v>
      </c>
      <c r="K6" s="34">
        <f>IF($A6&lt;VARIABLES!$B$38,0,(IF($A6=VARIABLES!$B$38,0,K5)+H6)*(1+C6)-J6)</f>
        <v>85481</v>
      </c>
      <c r="L6" s="34">
        <f>IF($A6&lt;VARIABLES!$B$45,0,IF($A6=VARIABLES!$B$45,VARIABLES!$B$46+VARIABLES!$B$47,VARIABLES!$B$47))</f>
        <v>0</v>
      </c>
      <c r="M6" s="34">
        <f>L6*VARIABLES!$B$48</f>
        <v>0</v>
      </c>
      <c r="N6" s="34">
        <f>IF($A6&lt;VARIABLES!$B$45,0,(IF($A6=VARIABLES!$B$45,0,O5)+L6)*C6*VARIABLES!$B$49)</f>
        <v>26125</v>
      </c>
      <c r="O6" s="34">
        <f>IF($A6&lt;VARIABLES!$B$45,0,(IF($A6=VARIABLES!$B$45,0,O5)+L6)*(1+C6)-N6)</f>
        <v>5460125</v>
      </c>
      <c r="P6" s="34">
        <f>IF($A6&lt;VARIABLES!$B$52,0,IF($A6=VARIABLES!$B$52,VARIABLES!$B$53+VARIABLES!$B$54,VARIABLES!$B$54))</f>
        <v>20000</v>
      </c>
      <c r="Q6" s="34">
        <f>P6*VARIABLES!$B$55</f>
        <v>150</v>
      </c>
      <c r="R6" s="34">
        <f>IF($A6&lt;VARIABLES!$B$52,0,(IF($A6=VARIABLES!$B$52,0,S5)+P6)*C6*VARIABLES!$B$56)</f>
        <v>51.21875</v>
      </c>
      <c r="S6" s="34">
        <f>IF($A6&lt;VARIABLES!$B$52,0,(IF($A6=VARIABLES!$B$52,0,S5)+P6)*(1+C6)-R6)</f>
        <v>42972.53125</v>
      </c>
      <c r="T6" s="35">
        <f>IF($A6&lt;VARIABLES!$B$60,0,MIN(VARIABLES!$B$59,INT(($A6-VARIABLES!$B$60)/VARIABLES!$B$61)+1)*VARIABLES!$B$62)</f>
        <v>1</v>
      </c>
      <c r="U6" s="34">
        <f>T6*VARIABLES!$B$64+IF(AND($A6&gt;=VARIABLES!$B$60,MOD($A6-VARIABLES!$B$60,VARIABLES!$B$61)=0,INT(($A6-VARIABLES!$B$60)/VARIABLES!$B$61)&lt;VARIABLES!$B$59),VARIABLES!$B$62*VARIABLES!$B$63,0)</f>
        <v>55000</v>
      </c>
      <c r="V6" s="34">
        <f>U6*VARIABLES!$B$65</f>
        <v>412.5</v>
      </c>
      <c r="W6" s="34">
        <f>IF($A6&lt;VARIABLES!$B$60,0,(IF($A6&lt;VARIABLES!$B$60+1,0,X5)+U6)*C6*VARIABLES!$B$66)</f>
        <v>274.99999999999994</v>
      </c>
      <c r="X6" s="34">
        <f>IF($A6&lt;VARIABLES!$B$60,0,(IF($A6&lt;VARIABLES!$B$60+1,0,X5)+U6)*(1+C6)-W6)</f>
        <v>57475</v>
      </c>
      <c r="Y6" s="34">
        <f t="shared" si="0"/>
        <v>315000</v>
      </c>
      <c r="Z6" s="34">
        <f t="shared" si="1"/>
        <v>2362.5</v>
      </c>
      <c r="AA6" s="34">
        <f t="shared" si="2"/>
        <v>28059.8291015625</v>
      </c>
      <c r="AB6" s="34">
        <f>(IF($A6=1,0,AD5)*VARIABLES!$B$18*VARIABLES!$B$16*VARIABLES!$B$17)+(Y6*VARIABLES!$B$16*VARIABLES!$B$17)</f>
        <v>913.43291015625005</v>
      </c>
      <c r="AC6" s="36">
        <f t="shared" si="3"/>
        <v>31335.762011718751</v>
      </c>
      <c r="AD6" s="37">
        <f t="shared" si="4"/>
        <v>6652526.6162109375</v>
      </c>
      <c r="AE6" s="34">
        <f>IF($A6=1,VARIABLES!$B$21,0)</f>
        <v>0</v>
      </c>
      <c r="AF6" s="34">
        <f>IF($A6&lt;=3,VARIABLES!$B$22,IF($A6&lt;=6,VARIABLES!$B$23,VARIABLES!$B$24))*(1+VARIABLES!$B$25)^INT(($A6-1)/12)</f>
        <v>23000</v>
      </c>
      <c r="AG6" s="34">
        <f>IF(MOD($A6,12)=0,AD6*VARIABLES!$B$26,0)</f>
        <v>0</v>
      </c>
      <c r="AH6" s="34">
        <f>VARIABLES!$B$27</f>
        <v>5000</v>
      </c>
      <c r="AI6" s="34">
        <f>IF(MOD($A6,12)=0,VARIABLES!$B$28,0)</f>
        <v>0</v>
      </c>
      <c r="AJ6" s="38">
        <f t="shared" si="5"/>
        <v>28000</v>
      </c>
      <c r="AK6" s="39">
        <f>IF(OR($A6&lt;VARIABLES!$B$7,AND($A6&gt;=VARIABLES!$B$8,$A6&lt;VARIABLES!$B$10)),VARIABLES!$B$13,0)</f>
        <v>0</v>
      </c>
      <c r="AL6" s="40">
        <f t="shared" si="6"/>
        <v>3335.7620117187507</v>
      </c>
      <c r="AM6" s="40">
        <f t="shared" si="7"/>
        <v>-37263.222363281253</v>
      </c>
      <c r="AN6" s="41">
        <f t="shared" si="8"/>
        <v>0</v>
      </c>
    </row>
    <row r="7" spans="1:40" x14ac:dyDescent="0.2">
      <c r="A7" s="42">
        <v>4</v>
      </c>
      <c r="B7" s="42" t="str">
        <f>TEXT(DATE(VARIABLES!$B$70+INT((VARIABLES!$B$71+$A7-2)/12),MOD(VARIABLES!$B$71+$A7-2,12)+1,1),"mmm-yy")</f>
        <v>Sept-26</v>
      </c>
      <c r="C7" s="43">
        <f>IF($A7&lt;VARIABLES!$B$7,VARIABLES!$B$5/12,IF($A7&lt;VARIABLES!$B$8,VARIABLES!$B$6/12,IF($A7&lt;VARIABLES!$B$10,VARIABLES!$B$9/12,VARIABLES!$B$11/12)))</f>
        <v>4.9999999999999996E-2</v>
      </c>
      <c r="D7" s="44">
        <f>IF($A7&lt;VARIABLES!$B$31,0,IF($A7=VARIABLES!$B$31,VARIABLES!$B$32+VARIABLES!$B$33,VARIABLES!$B$33))</f>
        <v>200000</v>
      </c>
      <c r="E7" s="44">
        <f>D7*VARIABLES!$B$34</f>
        <v>1500</v>
      </c>
      <c r="F7" s="44">
        <f>IF($A7&lt;VARIABLES!$B$31,0,(IF($A7=VARIABLES!$B$31,0,G6)+D7)*C7*VARIABLES!$B$35)</f>
        <v>1508.0913562011719</v>
      </c>
      <c r="G7" s="44">
        <f>IF($A7&lt;VARIABLES!$B$31,0,(IF($A7=VARIABLES!$B$31,0,G6)+D7)*(1+C7)-F7)</f>
        <v>1265288.6478527833</v>
      </c>
      <c r="H7" s="44">
        <f>IF($A7&lt;VARIABLES!$B$38,0,IF($A7=VARIABLES!$B$38,VARIABLES!$B$39+VARIABLES!$B$40,VARIABLES!$B$40))</f>
        <v>40000</v>
      </c>
      <c r="I7" s="44">
        <f>H7*VARIABLES!$B$41</f>
        <v>300</v>
      </c>
      <c r="J7" s="44">
        <f>IF($A7&lt;VARIABLES!$B$38,0,(IF($A7=VARIABLES!$B$38,0,K6)+H7)*C7*VARIABLES!$B$42)</f>
        <v>627.40499999999997</v>
      </c>
      <c r="K7" s="44">
        <f>IF($A7&lt;VARIABLES!$B$38,0,(IF($A7=VARIABLES!$B$38,0,K6)+H7)*(1+C7)-J7)</f>
        <v>131127.64500000002</v>
      </c>
      <c r="L7" s="44">
        <f>IF($A7&lt;VARIABLES!$B$45,0,IF($A7=VARIABLES!$B$45,VARIABLES!$B$46+VARIABLES!$B$47,VARIABLES!$B$47))</f>
        <v>0</v>
      </c>
      <c r="M7" s="44">
        <f>L7*VARIABLES!$B$48</f>
        <v>0</v>
      </c>
      <c r="N7" s="44">
        <f>IF($A7&lt;VARIABLES!$B$45,0,(IF($A7=VARIABLES!$B$45,0,O6)+L7)*C7*VARIABLES!$B$49)</f>
        <v>27300.625</v>
      </c>
      <c r="O7" s="44">
        <f>IF($A7&lt;VARIABLES!$B$45,0,(IF($A7=VARIABLES!$B$45,0,O6)+L7)*(1+C7)-N7)</f>
        <v>5705830.625</v>
      </c>
      <c r="P7" s="44">
        <f>IF($A7&lt;VARIABLES!$B$52,0,IF($A7=VARIABLES!$B$52,VARIABLES!$B$53+VARIABLES!$B$54,VARIABLES!$B$54))</f>
        <v>20000</v>
      </c>
      <c r="Q7" s="44">
        <f>P7*VARIABLES!$B$55</f>
        <v>150</v>
      </c>
      <c r="R7" s="44">
        <f>IF($A7&lt;VARIABLES!$B$52,0,(IF($A7=VARIABLES!$B$52,0,S6)+P7)*C7*VARIABLES!$B$56)</f>
        <v>78.715664062499997</v>
      </c>
      <c r="S7" s="44">
        <f>IF($A7&lt;VARIABLES!$B$52,0,(IF($A7=VARIABLES!$B$52,0,S6)+P7)*(1+C7)-R7)</f>
        <v>66042.442148437505</v>
      </c>
      <c r="T7" s="45">
        <f>IF($A7&lt;VARIABLES!$B$60,0,MIN(VARIABLES!$B$59,INT(($A7-VARIABLES!$B$60)/VARIABLES!$B$61)+1)*VARIABLES!$B$62)</f>
        <v>2</v>
      </c>
      <c r="U7" s="44">
        <f>T7*VARIABLES!$B$64+IF(AND($A7&gt;=VARIABLES!$B$60,MOD($A7-VARIABLES!$B$60,VARIABLES!$B$61)=0,INT(($A7-VARIABLES!$B$60)/VARIABLES!$B$61)&lt;VARIABLES!$B$59),VARIABLES!$B$62*VARIABLES!$B$63,0)</f>
        <v>60000</v>
      </c>
      <c r="V7" s="44">
        <f>U7*VARIABLES!$B$65</f>
        <v>450</v>
      </c>
      <c r="W7" s="44">
        <f>IF($A7&lt;VARIABLES!$B$60,0,(IF($A7&lt;VARIABLES!$B$60+1,0,X6)+U7)*C7*VARIABLES!$B$66)</f>
        <v>587.37499999999989</v>
      </c>
      <c r="X7" s="44">
        <f>IF($A7&lt;VARIABLES!$B$60,0,(IF($A7&lt;VARIABLES!$B$60+1,0,X6)+U7)*(1+C7)-W7)</f>
        <v>122761.375</v>
      </c>
      <c r="Y7" s="44">
        <f t="shared" si="0"/>
        <v>320000</v>
      </c>
      <c r="Z7" s="44">
        <f t="shared" si="1"/>
        <v>2400</v>
      </c>
      <c r="AA7" s="44">
        <f t="shared" si="2"/>
        <v>30102.212020263672</v>
      </c>
      <c r="AB7" s="44">
        <f>(IF($A7=1,0,AD6)*VARIABLES!$B$18*VARIABLES!$B$16*VARIABLES!$B$17)+(Y7*VARIABLES!$B$16*VARIABLES!$B$17)</f>
        <v>991.56582702636717</v>
      </c>
      <c r="AC7" s="36">
        <f t="shared" si="3"/>
        <v>33493.777847290039</v>
      </c>
      <c r="AD7" s="37">
        <f t="shared" si="4"/>
        <v>7291050.7350012213</v>
      </c>
      <c r="AE7" s="44">
        <f>IF($A7=1,VARIABLES!$B$21,0)</f>
        <v>0</v>
      </c>
      <c r="AF7" s="44">
        <f>IF($A7&lt;=3,VARIABLES!$B$22,IF($A7&lt;=6,VARIABLES!$B$23,VARIABLES!$B$24))*(1+VARIABLES!$B$25)^INT(($A7-1)/12)</f>
        <v>34500</v>
      </c>
      <c r="AG7" s="44">
        <f>IF(MOD($A7,12)=0,AD7*VARIABLES!$B$26,0)</f>
        <v>0</v>
      </c>
      <c r="AH7" s="44">
        <f>VARIABLES!$B$27</f>
        <v>5000</v>
      </c>
      <c r="AI7" s="44">
        <f>IF(MOD($A7,12)=0,VARIABLES!$B$28,0)</f>
        <v>0</v>
      </c>
      <c r="AJ7" s="38">
        <f t="shared" si="5"/>
        <v>39500</v>
      </c>
      <c r="AK7" s="39">
        <f>IF(OR($A7&lt;VARIABLES!$B$7,AND($A7&gt;=VARIABLES!$B$8,$A7&lt;VARIABLES!$B$10)),VARIABLES!$B$13,0)</f>
        <v>0</v>
      </c>
      <c r="AL7" s="46">
        <f t="shared" si="6"/>
        <v>-6006.2221527099609</v>
      </c>
      <c r="AM7" s="46">
        <f t="shared" si="7"/>
        <v>-43269.444515991214</v>
      </c>
      <c r="AN7" s="41">
        <f t="shared" si="8"/>
        <v>0</v>
      </c>
    </row>
    <row r="8" spans="1:40" x14ac:dyDescent="0.2">
      <c r="A8" s="32">
        <v>5</v>
      </c>
      <c r="B8" s="32" t="str">
        <f>TEXT(DATE(VARIABLES!$B$70+INT((VARIABLES!$B$71+$A8-2)/12),MOD(VARIABLES!$B$71+$A8-2,12)+1,1),"mmm-yy")</f>
        <v>Oct-26</v>
      </c>
      <c r="C8" s="33">
        <f>IF($A8&lt;VARIABLES!$B$7,VARIABLES!$B$5/12,IF($A8&lt;VARIABLES!$B$8,VARIABLES!$B$6/12,IF($A8&lt;VARIABLES!$B$10,VARIABLES!$B$9/12,VARIABLES!$B$11/12)))</f>
        <v>4.9999999999999996E-2</v>
      </c>
      <c r="D8" s="34">
        <f>IF($A8&lt;VARIABLES!$B$31,0,IF($A8=VARIABLES!$B$31,VARIABLES!$B$32+VARIABLES!$B$33,VARIABLES!$B$33))</f>
        <v>200000</v>
      </c>
      <c r="E8" s="34">
        <f>D8*VARIABLES!$B$34</f>
        <v>1500</v>
      </c>
      <c r="F8" s="34">
        <f>IF($A8&lt;VARIABLES!$B$31,0,(IF($A8=VARIABLES!$B$31,0,G7)+D8)*C8*VARIABLES!$B$35)</f>
        <v>1831.6108098159793</v>
      </c>
      <c r="G8" s="34">
        <f>IF($A8&lt;VARIABLES!$B$31,0,(IF($A8=VARIABLES!$B$31,0,G7)+D8)*(1+C8)-F8)</f>
        <v>1536721.4694356066</v>
      </c>
      <c r="H8" s="34">
        <f>IF($A8&lt;VARIABLES!$B$38,0,IF($A8=VARIABLES!$B$38,VARIABLES!$B$39+VARIABLES!$B$40,VARIABLES!$B$40))</f>
        <v>40000</v>
      </c>
      <c r="I8" s="34">
        <f>H8*VARIABLES!$B$41</f>
        <v>300</v>
      </c>
      <c r="J8" s="34">
        <f>IF($A8&lt;VARIABLES!$B$38,0,(IF($A8=VARIABLES!$B$38,0,K7)+H8)*C8*VARIABLES!$B$42)</f>
        <v>855.63822500000015</v>
      </c>
      <c r="K8" s="34">
        <f>IF($A8&lt;VARIABLES!$B$38,0,(IF($A8=VARIABLES!$B$38,0,K7)+H8)*(1+C8)-J8)</f>
        <v>178828.38902500001</v>
      </c>
      <c r="L8" s="34">
        <f>IF($A8&lt;VARIABLES!$B$45,0,IF($A8=VARIABLES!$B$45,VARIABLES!$B$46+VARIABLES!$B$47,VARIABLES!$B$47))</f>
        <v>0</v>
      </c>
      <c r="M8" s="34">
        <f>L8*VARIABLES!$B$48</f>
        <v>0</v>
      </c>
      <c r="N8" s="34">
        <f>IF($A8&lt;VARIABLES!$B$45,0,(IF($A8=VARIABLES!$B$45,0,O7)+L8)*C8*VARIABLES!$B$49)</f>
        <v>28529.153125000001</v>
      </c>
      <c r="O8" s="34">
        <f>IF($A8&lt;VARIABLES!$B$45,0,(IF($A8=VARIABLES!$B$45,0,O7)+L8)*(1+C8)-N8)</f>
        <v>5962593.0031249998</v>
      </c>
      <c r="P8" s="34">
        <f>IF($A8&lt;VARIABLES!$B$52,0,IF($A8=VARIABLES!$B$52,VARIABLES!$B$53+VARIABLES!$B$54,VARIABLES!$B$54))</f>
        <v>20000</v>
      </c>
      <c r="Q8" s="34">
        <f>P8*VARIABLES!$B$55</f>
        <v>150</v>
      </c>
      <c r="R8" s="34">
        <f>IF($A8&lt;VARIABLES!$B$52,0,(IF($A8=VARIABLES!$B$52,0,S7)+P8)*C8*VARIABLES!$B$56)</f>
        <v>107.55305268554687</v>
      </c>
      <c r="S8" s="34">
        <f>IF($A8&lt;VARIABLES!$B$52,0,(IF($A8=VARIABLES!$B$52,0,S7)+P8)*(1+C8)-R8)</f>
        <v>90237.011203173839</v>
      </c>
      <c r="T8" s="35">
        <f>IF($A8&lt;VARIABLES!$B$60,0,MIN(VARIABLES!$B$59,INT(($A8-VARIABLES!$B$60)/VARIABLES!$B$61)+1)*VARIABLES!$B$62)</f>
        <v>3</v>
      </c>
      <c r="U8" s="34">
        <f>T8*VARIABLES!$B$64+IF(AND($A8&gt;=VARIABLES!$B$60,MOD($A8-VARIABLES!$B$60,VARIABLES!$B$61)=0,INT(($A8-VARIABLES!$B$60)/VARIABLES!$B$61)&lt;VARIABLES!$B$59),VARIABLES!$B$62*VARIABLES!$B$63,0)</f>
        <v>65000</v>
      </c>
      <c r="V8" s="34">
        <f>U8*VARIABLES!$B$65</f>
        <v>487.5</v>
      </c>
      <c r="W8" s="34">
        <f>IF($A8&lt;VARIABLES!$B$60,0,(IF($A8&lt;VARIABLES!$B$60+1,0,X7)+U8)*C8*VARIABLES!$B$66)</f>
        <v>938.80687499999988</v>
      </c>
      <c r="X8" s="34">
        <f>IF($A8&lt;VARIABLES!$B$60,0,(IF($A8&lt;VARIABLES!$B$60+1,0,X7)+U8)*(1+C8)-W8)</f>
        <v>196210.636875</v>
      </c>
      <c r="Y8" s="34">
        <f t="shared" si="0"/>
        <v>325000</v>
      </c>
      <c r="Z8" s="34">
        <f t="shared" si="1"/>
        <v>2437.5</v>
      </c>
      <c r="AA8" s="34">
        <f t="shared" si="2"/>
        <v>32262.762087501527</v>
      </c>
      <c r="AB8" s="34">
        <f>(IF($A8=1,0,AD7)*VARIABLES!$B$18*VARIABLES!$B$16*VARIABLES!$B$17)+(Y8*VARIABLES!$B$16*VARIABLES!$B$17)</f>
        <v>1073.8813418751527</v>
      </c>
      <c r="AC8" s="36">
        <f t="shared" si="3"/>
        <v>35774.14342937668</v>
      </c>
      <c r="AD8" s="37">
        <f t="shared" si="4"/>
        <v>7964590.5096637793</v>
      </c>
      <c r="AE8" s="34">
        <f>IF($A8=1,VARIABLES!$B$21,0)</f>
        <v>0</v>
      </c>
      <c r="AF8" s="34">
        <f>IF($A8&lt;=3,VARIABLES!$B$22,IF($A8&lt;=6,VARIABLES!$B$23,VARIABLES!$B$24))*(1+VARIABLES!$B$25)^INT(($A8-1)/12)</f>
        <v>34500</v>
      </c>
      <c r="AG8" s="34">
        <f>IF(MOD($A8,12)=0,AD8*VARIABLES!$B$26,0)</f>
        <v>0</v>
      </c>
      <c r="AH8" s="34">
        <f>VARIABLES!$B$27</f>
        <v>5000</v>
      </c>
      <c r="AI8" s="34">
        <f>IF(MOD($A8,12)=0,VARIABLES!$B$28,0)</f>
        <v>0</v>
      </c>
      <c r="AJ8" s="38">
        <f t="shared" si="5"/>
        <v>39500</v>
      </c>
      <c r="AK8" s="39">
        <f>IF(OR($A8&lt;VARIABLES!$B$7,AND($A8&gt;=VARIABLES!$B$8,$A8&lt;VARIABLES!$B$10)),VARIABLES!$B$13,0)</f>
        <v>0</v>
      </c>
      <c r="AL8" s="40">
        <f t="shared" si="6"/>
        <v>-3725.8565706233203</v>
      </c>
      <c r="AM8" s="40">
        <f t="shared" si="7"/>
        <v>-46995.301086614534</v>
      </c>
      <c r="AN8" s="41">
        <f t="shared" si="8"/>
        <v>0</v>
      </c>
    </row>
    <row r="9" spans="1:40" x14ac:dyDescent="0.2">
      <c r="A9" s="42">
        <v>6</v>
      </c>
      <c r="B9" s="42" t="str">
        <f>TEXT(DATE(VARIABLES!$B$70+INT((VARIABLES!$B$71+$A9-2)/12),MOD(VARIABLES!$B$71+$A9-2,12)+1,1),"mmm-yy")</f>
        <v>Nov-26</v>
      </c>
      <c r="C9" s="43">
        <f>IF($A9&lt;VARIABLES!$B$7,VARIABLES!$B$5/12,IF($A9&lt;VARIABLES!$B$8,VARIABLES!$B$6/12,IF($A9&lt;VARIABLES!$B$10,VARIABLES!$B$9/12,VARIABLES!$B$11/12)))</f>
        <v>4.9999999999999996E-2</v>
      </c>
      <c r="D9" s="44">
        <f>IF($A9&lt;VARIABLES!$B$31,0,IF($A9=VARIABLES!$B$31,VARIABLES!$B$32+VARIABLES!$B$33,VARIABLES!$B$33))</f>
        <v>200000</v>
      </c>
      <c r="E9" s="44">
        <f>D9*VARIABLES!$B$34</f>
        <v>1500</v>
      </c>
      <c r="F9" s="44">
        <f>IF($A9&lt;VARIABLES!$B$31,0,(IF($A9=VARIABLES!$B$31,0,G8)+D9)*C9*VARIABLES!$B$35)</f>
        <v>2170.9018367945082</v>
      </c>
      <c r="G9" s="44">
        <f>IF($A9&lt;VARIABLES!$B$31,0,(IF($A9=VARIABLES!$B$31,0,G8)+D9)*(1+C9)-F9)</f>
        <v>1821386.6410705924</v>
      </c>
      <c r="H9" s="44">
        <f>IF($A9&lt;VARIABLES!$B$38,0,IF($A9=VARIABLES!$B$38,VARIABLES!$B$39+VARIABLES!$B$40,VARIABLES!$B$40))</f>
        <v>40000</v>
      </c>
      <c r="I9" s="44">
        <f>H9*VARIABLES!$B$41</f>
        <v>300</v>
      </c>
      <c r="J9" s="44">
        <f>IF($A9&lt;VARIABLES!$B$38,0,(IF($A9=VARIABLES!$B$38,0,K8)+H9)*C9*VARIABLES!$B$42)</f>
        <v>1094.1419451250001</v>
      </c>
      <c r="K9" s="44">
        <f>IF($A9&lt;VARIABLES!$B$38,0,(IF($A9=VARIABLES!$B$38,0,K8)+H9)*(1+C9)-J9)</f>
        <v>228675.666531125</v>
      </c>
      <c r="L9" s="44">
        <f>IF($A9&lt;VARIABLES!$B$45,0,IF($A9=VARIABLES!$B$45,VARIABLES!$B$46+VARIABLES!$B$47,VARIABLES!$B$47))</f>
        <v>0</v>
      </c>
      <c r="M9" s="44">
        <f>L9*VARIABLES!$B$48</f>
        <v>0</v>
      </c>
      <c r="N9" s="44">
        <f>IF($A9&lt;VARIABLES!$B$45,0,(IF($A9=VARIABLES!$B$45,0,O8)+L9)*C9*VARIABLES!$B$49)</f>
        <v>29812.965015624999</v>
      </c>
      <c r="O9" s="44">
        <f>IF($A9&lt;VARIABLES!$B$45,0,(IF($A9=VARIABLES!$B$45,0,O8)+L9)*(1+C9)-N9)</f>
        <v>6230909.6882656254</v>
      </c>
      <c r="P9" s="44">
        <f>IF($A9&lt;VARIABLES!$B$52,0,IF($A9=VARIABLES!$B$52,VARIABLES!$B$53+VARIABLES!$B$54,VARIABLES!$B$54))</f>
        <v>20000</v>
      </c>
      <c r="Q9" s="44">
        <f>P9*VARIABLES!$B$55</f>
        <v>150</v>
      </c>
      <c r="R9" s="44">
        <f>IF($A9&lt;VARIABLES!$B$52,0,(IF($A9=VARIABLES!$B$52,0,S8)+P9)*C9*VARIABLES!$B$56)</f>
        <v>137.79626400396728</v>
      </c>
      <c r="S9" s="44">
        <f>IF($A9&lt;VARIABLES!$B$52,0,(IF($A9=VARIABLES!$B$52,0,S8)+P9)*(1+C9)-R9)</f>
        <v>115611.06549932857</v>
      </c>
      <c r="T9" s="45">
        <f>IF($A9&lt;VARIABLES!$B$60,0,MIN(VARIABLES!$B$59,INT(($A9-VARIABLES!$B$60)/VARIABLES!$B$61)+1)*VARIABLES!$B$62)</f>
        <v>4</v>
      </c>
      <c r="U9" s="44">
        <f>T9*VARIABLES!$B$64+IF(AND($A9&gt;=VARIABLES!$B$60,MOD($A9-VARIABLES!$B$60,VARIABLES!$B$61)=0,INT(($A9-VARIABLES!$B$60)/VARIABLES!$B$61)&lt;VARIABLES!$B$59),VARIABLES!$B$62*VARIABLES!$B$63,0)</f>
        <v>70000</v>
      </c>
      <c r="V9" s="44">
        <f>U9*VARIABLES!$B$65</f>
        <v>525</v>
      </c>
      <c r="W9" s="44">
        <f>IF($A9&lt;VARIABLES!$B$60,0,(IF($A9&lt;VARIABLES!$B$60+1,0,X8)+U9)*C9*VARIABLES!$B$66)</f>
        <v>1331.0531843749998</v>
      </c>
      <c r="X9" s="44">
        <f>IF($A9&lt;VARIABLES!$B$60,0,(IF($A9&lt;VARIABLES!$B$60+1,0,X8)+U9)*(1+C9)-W9)</f>
        <v>278190.11553437501</v>
      </c>
      <c r="Y9" s="44">
        <f t="shared" si="0"/>
        <v>330000</v>
      </c>
      <c r="Z9" s="44">
        <f t="shared" si="1"/>
        <v>2475</v>
      </c>
      <c r="AA9" s="44">
        <f t="shared" si="2"/>
        <v>34546.858245923475</v>
      </c>
      <c r="AB9" s="44">
        <f>(IF($A9=1,0,AD8)*VARIABLES!$B$18*VARIABLES!$B$16*VARIABLES!$B$17)+(Y9*VARIABLES!$B$16*VARIABLES!$B$17)</f>
        <v>1160.5738137079725</v>
      </c>
      <c r="AC9" s="36">
        <f t="shared" si="3"/>
        <v>38182.43205963145</v>
      </c>
      <c r="AD9" s="37">
        <f t="shared" si="4"/>
        <v>8674773.1769010462</v>
      </c>
      <c r="AE9" s="44">
        <f>IF($A9=1,VARIABLES!$B$21,0)</f>
        <v>0</v>
      </c>
      <c r="AF9" s="44">
        <f>IF($A9&lt;=3,VARIABLES!$B$22,IF($A9&lt;=6,VARIABLES!$B$23,VARIABLES!$B$24))*(1+VARIABLES!$B$25)^INT(($A9-1)/12)</f>
        <v>34500</v>
      </c>
      <c r="AG9" s="44">
        <f>IF(MOD($A9,12)=0,AD9*VARIABLES!$B$26,0)</f>
        <v>0</v>
      </c>
      <c r="AH9" s="44">
        <f>VARIABLES!$B$27</f>
        <v>5000</v>
      </c>
      <c r="AI9" s="44">
        <f>IF(MOD($A9,12)=0,VARIABLES!$B$28,0)</f>
        <v>0</v>
      </c>
      <c r="AJ9" s="38">
        <f t="shared" si="5"/>
        <v>39500</v>
      </c>
      <c r="AK9" s="39">
        <f>IF(OR($A9&lt;VARIABLES!$B$7,AND($A9&gt;=VARIABLES!$B$8,$A9&lt;VARIABLES!$B$10)),VARIABLES!$B$13,0)</f>
        <v>0</v>
      </c>
      <c r="AL9" s="46">
        <f t="shared" si="6"/>
        <v>-1317.5679403685499</v>
      </c>
      <c r="AM9" s="46">
        <f t="shared" si="7"/>
        <v>-48312.869026983084</v>
      </c>
      <c r="AN9" s="41">
        <f t="shared" si="8"/>
        <v>0</v>
      </c>
    </row>
    <row r="10" spans="1:40" x14ac:dyDescent="0.2">
      <c r="A10" s="32">
        <v>7</v>
      </c>
      <c r="B10" s="32" t="str">
        <f>TEXT(DATE(VARIABLES!$B$70+INT((VARIABLES!$B$71+$A10-2)/12),MOD(VARIABLES!$B$71+$A10-2,12)+1,1),"mmm-yy")</f>
        <v>Dec-26</v>
      </c>
      <c r="C10" s="33">
        <f>IF($A10&lt;VARIABLES!$B$7,VARIABLES!$B$5/12,IF($A10&lt;VARIABLES!$B$8,VARIABLES!$B$6/12,IF($A10&lt;VARIABLES!$B$10,VARIABLES!$B$9/12,VARIABLES!$B$11/12)))</f>
        <v>4.9999999999999996E-2</v>
      </c>
      <c r="D10" s="34">
        <f>IF($A10&lt;VARIABLES!$B$31,0,IF($A10=VARIABLES!$B$31,VARIABLES!$B$32+VARIABLES!$B$33,VARIABLES!$B$33))</f>
        <v>200000</v>
      </c>
      <c r="E10" s="34">
        <f>D10*VARIABLES!$B$34</f>
        <v>1500</v>
      </c>
      <c r="F10" s="34">
        <f>IF($A10&lt;VARIABLES!$B$31,0,(IF($A10=VARIABLES!$B$31,0,G9)+D10)*C10*VARIABLES!$B$35)</f>
        <v>2526.7333013382404</v>
      </c>
      <c r="G10" s="34">
        <f>IF($A10&lt;VARIABLES!$B$31,0,(IF($A10=VARIABLES!$B$31,0,G9)+D10)*(1+C10)-F10)</f>
        <v>2119929.239822784</v>
      </c>
      <c r="H10" s="34">
        <f>IF($A10&lt;VARIABLES!$B$38,0,IF($A10=VARIABLES!$B$38,VARIABLES!$B$39+VARIABLES!$B$40,VARIABLES!$B$40))</f>
        <v>40000</v>
      </c>
      <c r="I10" s="34">
        <f>H10*VARIABLES!$B$41</f>
        <v>300</v>
      </c>
      <c r="J10" s="34">
        <f>IF($A10&lt;VARIABLES!$B$38,0,(IF($A10=VARIABLES!$B$38,0,K9)+H10)*C10*VARIABLES!$B$42)</f>
        <v>1343.3783326556249</v>
      </c>
      <c r="K10" s="34">
        <f>IF($A10&lt;VARIABLES!$B$38,0,(IF($A10=VARIABLES!$B$38,0,K9)+H10)*(1+C10)-J10)</f>
        <v>280766.07152502559</v>
      </c>
      <c r="L10" s="34">
        <f>IF($A10&lt;VARIABLES!$B$45,0,IF($A10=VARIABLES!$B$45,VARIABLES!$B$46+VARIABLES!$B$47,VARIABLES!$B$47))</f>
        <v>0</v>
      </c>
      <c r="M10" s="34">
        <f>L10*VARIABLES!$B$48</f>
        <v>0</v>
      </c>
      <c r="N10" s="34">
        <f>IF($A10&lt;VARIABLES!$B$45,0,(IF($A10=VARIABLES!$B$45,0,O9)+L10)*C10*VARIABLES!$B$49)</f>
        <v>31154.548441328127</v>
      </c>
      <c r="O10" s="34">
        <f>IF($A10&lt;VARIABLES!$B$45,0,(IF($A10=VARIABLES!$B$45,0,O9)+L10)*(1+C10)-N10)</f>
        <v>6511300.6242375784</v>
      </c>
      <c r="P10" s="34">
        <f>IF($A10&lt;VARIABLES!$B$52,0,IF($A10=VARIABLES!$B$52,VARIABLES!$B$53+VARIABLES!$B$54,VARIABLES!$B$54))</f>
        <v>20000</v>
      </c>
      <c r="Q10" s="34">
        <f>P10*VARIABLES!$B$55</f>
        <v>150</v>
      </c>
      <c r="R10" s="34">
        <f>IF($A10&lt;VARIABLES!$B$52,0,(IF($A10=VARIABLES!$B$52,0,S9)+P10)*C10*VARIABLES!$B$56)</f>
        <v>169.5138318741607</v>
      </c>
      <c r="S10" s="34">
        <f>IF($A10&lt;VARIABLES!$B$52,0,(IF($A10=VARIABLES!$B$52,0,S9)+P10)*(1+C10)-R10)</f>
        <v>142222.10494242085</v>
      </c>
      <c r="T10" s="35">
        <f>IF($A10&lt;VARIABLES!$B$60,0,MIN(VARIABLES!$B$59,INT(($A10-VARIABLES!$B$60)/VARIABLES!$B$61)+1)*VARIABLES!$B$62)</f>
        <v>5</v>
      </c>
      <c r="U10" s="34">
        <f>T10*VARIABLES!$B$64+IF(AND($A10&gt;=VARIABLES!$B$60,MOD($A10-VARIABLES!$B$60,VARIABLES!$B$61)=0,INT(($A10-VARIABLES!$B$60)/VARIABLES!$B$61)&lt;VARIABLES!$B$59),VARIABLES!$B$62*VARIABLES!$B$63,0)</f>
        <v>75000</v>
      </c>
      <c r="V10" s="34">
        <f>U10*VARIABLES!$B$65</f>
        <v>562.5</v>
      </c>
      <c r="W10" s="34">
        <f>IF($A10&lt;VARIABLES!$B$60,0,(IF($A10&lt;VARIABLES!$B$60+1,0,X9)+U10)*C10*VARIABLES!$B$66)</f>
        <v>1765.9505776718752</v>
      </c>
      <c r="X10" s="34">
        <f>IF($A10&lt;VARIABLES!$B$60,0,(IF($A10&lt;VARIABLES!$B$60+1,0,X9)+U10)*(1+C10)-W10)</f>
        <v>369083.67073342192</v>
      </c>
      <c r="Y10" s="34">
        <f t="shared" si="0"/>
        <v>335000</v>
      </c>
      <c r="Z10" s="34">
        <f t="shared" si="1"/>
        <v>2512.5</v>
      </c>
      <c r="AA10" s="34">
        <f t="shared" si="2"/>
        <v>36960.124484868022</v>
      </c>
      <c r="AB10" s="34">
        <f>(IF($A10=1,0,AD9)*VARIABLES!$B$18*VARIABLES!$B$16*VARIABLES!$B$17)+(Y10*VARIABLES!$B$16*VARIABLES!$B$17)</f>
        <v>1251.8466471126308</v>
      </c>
      <c r="AC10" s="36">
        <f t="shared" si="3"/>
        <v>40724.471131980652</v>
      </c>
      <c r="AD10" s="37">
        <f t="shared" si="4"/>
        <v>9423301.7112612296</v>
      </c>
      <c r="AE10" s="34">
        <f>IF($A10=1,VARIABLES!$B$21,0)</f>
        <v>0</v>
      </c>
      <c r="AF10" s="34">
        <f>IF($A10&lt;=3,VARIABLES!$B$22,IF($A10&lt;=6,VARIABLES!$B$23,VARIABLES!$B$24))*(1+VARIABLES!$B$25)^INT(($A10-1)/12)</f>
        <v>46000</v>
      </c>
      <c r="AG10" s="34">
        <f>IF(MOD($A10,12)=0,AD10*VARIABLES!$B$26,0)</f>
        <v>0</v>
      </c>
      <c r="AH10" s="34">
        <f>VARIABLES!$B$27</f>
        <v>5000</v>
      </c>
      <c r="AI10" s="34">
        <f>IF(MOD($A10,12)=0,VARIABLES!$B$28,0)</f>
        <v>0</v>
      </c>
      <c r="AJ10" s="38">
        <f t="shared" si="5"/>
        <v>51000</v>
      </c>
      <c r="AK10" s="39">
        <f>IF(OR($A10&lt;VARIABLES!$B$7,AND($A10&gt;=VARIABLES!$B$8,$A10&lt;VARIABLES!$B$10)),VARIABLES!$B$13,0)</f>
        <v>0</v>
      </c>
      <c r="AL10" s="40">
        <f t="shared" si="6"/>
        <v>-10275.528868019348</v>
      </c>
      <c r="AM10" s="40">
        <f t="shared" si="7"/>
        <v>-58588.397895002432</v>
      </c>
      <c r="AN10" s="41">
        <f t="shared" si="8"/>
        <v>0</v>
      </c>
    </row>
    <row r="11" spans="1:40" x14ac:dyDescent="0.2">
      <c r="A11" s="42">
        <v>8</v>
      </c>
      <c r="B11" s="42" t="str">
        <f>TEXT(DATE(VARIABLES!$B$70+INT((VARIABLES!$B$71+$A11-2)/12),MOD(VARIABLES!$B$71+$A11-2,12)+1,1),"mmm-yy")</f>
        <v>Jan-27</v>
      </c>
      <c r="C11" s="43">
        <f>IF($A11&lt;VARIABLES!$B$7,VARIABLES!$B$5/12,IF($A11&lt;VARIABLES!$B$8,VARIABLES!$B$6/12,IF($A11&lt;VARIABLES!$B$10,VARIABLES!$B$9/12,VARIABLES!$B$11/12)))</f>
        <v>4.9999999999999996E-2</v>
      </c>
      <c r="D11" s="44">
        <f>IF($A11&lt;VARIABLES!$B$31,0,IF($A11=VARIABLES!$B$31,VARIABLES!$B$32+VARIABLES!$B$33,VARIABLES!$B$33))</f>
        <v>200000</v>
      </c>
      <c r="E11" s="44">
        <f>D11*VARIABLES!$B$34</f>
        <v>1500</v>
      </c>
      <c r="F11" s="44">
        <f>IF($A11&lt;VARIABLES!$B$31,0,(IF($A11=VARIABLES!$B$31,0,G10)+D11)*C11*VARIABLES!$B$35)</f>
        <v>2899.9115497784801</v>
      </c>
      <c r="G11" s="44">
        <f>IF($A11&lt;VARIABLES!$B$31,0,(IF($A11=VARIABLES!$B$31,0,G10)+D11)*(1+C11)-F11)</f>
        <v>2433025.7902641445</v>
      </c>
      <c r="H11" s="44">
        <f>IF($A11&lt;VARIABLES!$B$38,0,IF($A11=VARIABLES!$B$38,VARIABLES!$B$39+VARIABLES!$B$40,VARIABLES!$B$40))</f>
        <v>40000</v>
      </c>
      <c r="I11" s="44">
        <f>H11*VARIABLES!$B$41</f>
        <v>300</v>
      </c>
      <c r="J11" s="44">
        <f>IF($A11&lt;VARIABLES!$B$38,0,(IF($A11=VARIABLES!$B$38,0,K10)+H11)*C11*VARIABLES!$B$42)</f>
        <v>1603.8303576251278</v>
      </c>
      <c r="K11" s="44">
        <f>IF($A11&lt;VARIABLES!$B$38,0,(IF($A11=VARIABLES!$B$38,0,K10)+H11)*(1+C11)-J11)</f>
        <v>335200.54474365176</v>
      </c>
      <c r="L11" s="44">
        <f>IF($A11&lt;VARIABLES!$B$45,0,IF($A11=VARIABLES!$B$45,VARIABLES!$B$46+VARIABLES!$B$47,VARIABLES!$B$47))</f>
        <v>0</v>
      </c>
      <c r="M11" s="44">
        <f>L11*VARIABLES!$B$48</f>
        <v>0</v>
      </c>
      <c r="N11" s="44">
        <f>IF($A11&lt;VARIABLES!$B$45,0,(IF($A11=VARIABLES!$B$45,0,O10)+L11)*C11*VARIABLES!$B$49)</f>
        <v>32556.503121187889</v>
      </c>
      <c r="O11" s="44">
        <f>IF($A11&lt;VARIABLES!$B$45,0,(IF($A11=VARIABLES!$B$45,0,O10)+L11)*(1+C11)-N11)</f>
        <v>6804309.1523282696</v>
      </c>
      <c r="P11" s="44">
        <f>IF($A11&lt;VARIABLES!$B$52,0,IF($A11=VARIABLES!$B$52,VARIABLES!$B$53+VARIABLES!$B$54,VARIABLES!$B$54))</f>
        <v>20000</v>
      </c>
      <c r="Q11" s="44">
        <f>P11*VARIABLES!$B$55</f>
        <v>150</v>
      </c>
      <c r="R11" s="44">
        <f>IF($A11&lt;VARIABLES!$B$52,0,(IF($A11=VARIABLES!$B$52,0,S10)+P11)*C11*VARIABLES!$B$56)</f>
        <v>202.77763117802604</v>
      </c>
      <c r="S11" s="44">
        <f>IF($A11&lt;VARIABLES!$B$52,0,(IF($A11=VARIABLES!$B$52,0,S10)+P11)*(1+C11)-R11)</f>
        <v>170130.43255836386</v>
      </c>
      <c r="T11" s="45">
        <f>IF($A11&lt;VARIABLES!$B$60,0,MIN(VARIABLES!$B$59,INT(($A11-VARIABLES!$B$60)/VARIABLES!$B$61)+1)*VARIABLES!$B$62)</f>
        <v>6</v>
      </c>
      <c r="U11" s="44">
        <f>T11*VARIABLES!$B$64+IF(AND($A11&gt;=VARIABLES!$B$60,MOD($A11-VARIABLES!$B$60,VARIABLES!$B$61)=0,INT(($A11-VARIABLES!$B$60)/VARIABLES!$B$61)&lt;VARIABLES!$B$59),VARIABLES!$B$62*VARIABLES!$B$63,0)</f>
        <v>80000</v>
      </c>
      <c r="V11" s="44">
        <f>U11*VARIABLES!$B$65</f>
        <v>600</v>
      </c>
      <c r="W11" s="44">
        <f>IF($A11&lt;VARIABLES!$B$60,0,(IF($A11&lt;VARIABLES!$B$60+1,0,X10)+U11)*C11*VARIABLES!$B$66)</f>
        <v>2245.4183536671094</v>
      </c>
      <c r="X11" s="44">
        <f>IF($A11&lt;VARIABLES!$B$60,0,(IF($A11&lt;VARIABLES!$B$60+1,0,X10)+U11)*(1+C11)-W11)</f>
        <v>469292.43591642589</v>
      </c>
      <c r="Y11" s="44">
        <f t="shared" si="0"/>
        <v>340000</v>
      </c>
      <c r="Z11" s="44">
        <f t="shared" si="1"/>
        <v>2550</v>
      </c>
      <c r="AA11" s="44">
        <f t="shared" si="2"/>
        <v>39508.441013436634</v>
      </c>
      <c r="AB11" s="44">
        <f>(IF($A11=1,0,AD10)*VARIABLES!$B$18*VARIABLES!$B$16*VARIABLES!$B$17)+(Y11*VARIABLES!$B$16*VARIABLES!$B$17)</f>
        <v>1347.9127139076538</v>
      </c>
      <c r="AC11" s="36">
        <f t="shared" si="3"/>
        <v>43406.353727344285</v>
      </c>
      <c r="AD11" s="37">
        <f t="shared" si="4"/>
        <v>10211958.355810855</v>
      </c>
      <c r="AE11" s="44">
        <f>IF($A11=1,VARIABLES!$B$21,0)</f>
        <v>0</v>
      </c>
      <c r="AF11" s="44">
        <f>IF($A11&lt;=3,VARIABLES!$B$22,IF($A11&lt;=6,VARIABLES!$B$23,VARIABLES!$B$24))*(1+VARIABLES!$B$25)^INT(($A11-1)/12)</f>
        <v>46000</v>
      </c>
      <c r="AG11" s="44">
        <f>IF(MOD($A11,12)=0,AD11*VARIABLES!$B$26,0)</f>
        <v>0</v>
      </c>
      <c r="AH11" s="44">
        <f>VARIABLES!$B$27</f>
        <v>5000</v>
      </c>
      <c r="AI11" s="44">
        <f>IF(MOD($A11,12)=0,VARIABLES!$B$28,0)</f>
        <v>0</v>
      </c>
      <c r="AJ11" s="38">
        <f t="shared" si="5"/>
        <v>51000</v>
      </c>
      <c r="AK11" s="39">
        <f>IF(OR($A11&lt;VARIABLES!$B$7,AND($A11&gt;=VARIABLES!$B$8,$A11&lt;VARIABLES!$B$10)),VARIABLES!$B$13,0)</f>
        <v>0</v>
      </c>
      <c r="AL11" s="46">
        <f t="shared" si="6"/>
        <v>-7593.6462726557147</v>
      </c>
      <c r="AM11" s="46">
        <f t="shared" si="7"/>
        <v>-66182.044167658139</v>
      </c>
      <c r="AN11" s="41">
        <f t="shared" si="8"/>
        <v>0</v>
      </c>
    </row>
    <row r="12" spans="1:40" x14ac:dyDescent="0.2">
      <c r="A12" s="32">
        <v>9</v>
      </c>
      <c r="B12" s="32" t="str">
        <f>TEXT(DATE(VARIABLES!$B$70+INT((VARIABLES!$B$71+$A12-2)/12),MOD(VARIABLES!$B$71+$A12-2,12)+1,1),"mmm-yy")</f>
        <v>Feb-27</v>
      </c>
      <c r="C12" s="33">
        <f>IF($A12&lt;VARIABLES!$B$7,VARIABLES!$B$5/12,IF($A12&lt;VARIABLES!$B$8,VARIABLES!$B$6/12,IF($A12&lt;VARIABLES!$B$10,VARIABLES!$B$9/12,VARIABLES!$B$11/12)))</f>
        <v>4.9999999999999996E-2</v>
      </c>
      <c r="D12" s="34">
        <f>IF($A12&lt;VARIABLES!$B$31,0,IF($A12=VARIABLES!$B$31,VARIABLES!$B$32+VARIABLES!$B$33,VARIABLES!$B$33))</f>
        <v>200000</v>
      </c>
      <c r="E12" s="34">
        <f>D12*VARIABLES!$B$34</f>
        <v>1500</v>
      </c>
      <c r="F12" s="34">
        <f>IF($A12&lt;VARIABLES!$B$31,0,(IF($A12=VARIABLES!$B$31,0,G11)+D12)*C12*VARIABLES!$B$35)</f>
        <v>3291.2822378301807</v>
      </c>
      <c r="G12" s="34">
        <f>IF($A12&lt;VARIABLES!$B$31,0,(IF($A12=VARIABLES!$B$31,0,G11)+D12)*(1+C12)-F12)</f>
        <v>2761385.7975395219</v>
      </c>
      <c r="H12" s="34">
        <f>IF($A12&lt;VARIABLES!$B$38,0,IF($A12=VARIABLES!$B$38,VARIABLES!$B$39+VARIABLES!$B$40,VARIABLES!$B$40))</f>
        <v>40000</v>
      </c>
      <c r="I12" s="34">
        <f>H12*VARIABLES!$B$41</f>
        <v>300</v>
      </c>
      <c r="J12" s="34">
        <f>IF($A12&lt;VARIABLES!$B$38,0,(IF($A12=VARIABLES!$B$38,0,K11)+H12)*C12*VARIABLES!$B$42)</f>
        <v>1876.0027237182585</v>
      </c>
      <c r="K12" s="34">
        <f>IF($A12&lt;VARIABLES!$B$38,0,(IF($A12=VARIABLES!$B$38,0,K11)+H12)*(1+C12)-J12)</f>
        <v>392084.56925711612</v>
      </c>
      <c r="L12" s="34">
        <f>IF($A12&lt;VARIABLES!$B$45,0,IF($A12=VARIABLES!$B$45,VARIABLES!$B$46+VARIABLES!$B$47,VARIABLES!$B$47))</f>
        <v>0</v>
      </c>
      <c r="M12" s="34">
        <f>L12*VARIABLES!$B$48</f>
        <v>0</v>
      </c>
      <c r="N12" s="34">
        <f>IF($A12&lt;VARIABLES!$B$45,0,(IF($A12=VARIABLES!$B$45,0,O11)+L12)*C12*VARIABLES!$B$49)</f>
        <v>34021.545761641348</v>
      </c>
      <c r="O12" s="34">
        <f>IF($A12&lt;VARIABLES!$B$45,0,(IF($A12=VARIABLES!$B$45,0,O11)+L12)*(1+C12)-N12)</f>
        <v>7110503.0641830424</v>
      </c>
      <c r="P12" s="34">
        <f>IF($A12&lt;VARIABLES!$B$52,0,IF($A12=VARIABLES!$B$52,VARIABLES!$B$53+VARIABLES!$B$54,VARIABLES!$B$54))</f>
        <v>20000</v>
      </c>
      <c r="Q12" s="34">
        <f>P12*VARIABLES!$B$55</f>
        <v>150</v>
      </c>
      <c r="R12" s="34">
        <f>IF($A12&lt;VARIABLES!$B$52,0,(IF($A12=VARIABLES!$B$52,0,S11)+P12)*C12*VARIABLES!$B$56)</f>
        <v>237.66304069795478</v>
      </c>
      <c r="S12" s="34">
        <f>IF($A12&lt;VARIABLES!$B$52,0,(IF($A12=VARIABLES!$B$52,0,S11)+P12)*(1+C12)-R12)</f>
        <v>199399.29114558411</v>
      </c>
      <c r="T12" s="35">
        <f>IF($A12&lt;VARIABLES!$B$60,0,MIN(VARIABLES!$B$59,INT(($A12-VARIABLES!$B$60)/VARIABLES!$B$61)+1)*VARIABLES!$B$62)</f>
        <v>7</v>
      </c>
      <c r="U12" s="34">
        <f>T12*VARIABLES!$B$64+IF(AND($A12&gt;=VARIABLES!$B$60,MOD($A12-VARIABLES!$B$60,VARIABLES!$B$61)=0,INT(($A12-VARIABLES!$B$60)/VARIABLES!$B$61)&lt;VARIABLES!$B$59),VARIABLES!$B$62*VARIABLES!$B$63,0)</f>
        <v>85000</v>
      </c>
      <c r="V12" s="34">
        <f>U12*VARIABLES!$B$65</f>
        <v>637.5</v>
      </c>
      <c r="W12" s="34">
        <f>IF($A12&lt;VARIABLES!$B$60,0,(IF($A12&lt;VARIABLES!$B$60+1,0,X11)+U12)*C12*VARIABLES!$B$66)</f>
        <v>2771.4621795821295</v>
      </c>
      <c r="X12" s="34">
        <f>IF($A12&lt;VARIABLES!$B$60,0,(IF($A12&lt;VARIABLES!$B$60+1,0,X11)+U12)*(1+C12)-W12)</f>
        <v>579235.59553266515</v>
      </c>
      <c r="Y12" s="34">
        <f t="shared" si="0"/>
        <v>345000</v>
      </c>
      <c r="Z12" s="34">
        <f t="shared" si="1"/>
        <v>2587.5</v>
      </c>
      <c r="AA12" s="34">
        <f t="shared" si="2"/>
        <v>42197.955943469868</v>
      </c>
      <c r="AB12" s="34">
        <f>(IF($A12=1,0,AD11)*VARIABLES!$B$18*VARIABLES!$B$16*VARIABLES!$B$17)+(Y12*VARIABLES!$B$16*VARIABLES!$B$17)</f>
        <v>1448.9947944763569</v>
      </c>
      <c r="AC12" s="36">
        <f t="shared" si="3"/>
        <v>46234.450737946223</v>
      </c>
      <c r="AD12" s="37">
        <f t="shared" si="4"/>
        <v>11042608.317657929</v>
      </c>
      <c r="AE12" s="34">
        <f>IF($A12=1,VARIABLES!$B$21,0)</f>
        <v>0</v>
      </c>
      <c r="AF12" s="34">
        <f>IF($A12&lt;=3,VARIABLES!$B$22,IF($A12&lt;=6,VARIABLES!$B$23,VARIABLES!$B$24))*(1+VARIABLES!$B$25)^INT(($A12-1)/12)</f>
        <v>46000</v>
      </c>
      <c r="AG12" s="34">
        <f>IF(MOD($A12,12)=0,AD12*VARIABLES!$B$26,0)</f>
        <v>0</v>
      </c>
      <c r="AH12" s="34">
        <f>VARIABLES!$B$27</f>
        <v>5000</v>
      </c>
      <c r="AI12" s="34">
        <f>IF(MOD($A12,12)=0,VARIABLES!$B$28,0)</f>
        <v>0</v>
      </c>
      <c r="AJ12" s="38">
        <f t="shared" si="5"/>
        <v>51000</v>
      </c>
      <c r="AK12" s="39">
        <f>IF(OR($A12&lt;VARIABLES!$B$7,AND($A12&gt;=VARIABLES!$B$8,$A12&lt;VARIABLES!$B$10)),VARIABLES!$B$13,0)</f>
        <v>0</v>
      </c>
      <c r="AL12" s="40">
        <f t="shared" si="6"/>
        <v>-4765.5492620537771</v>
      </c>
      <c r="AM12" s="40">
        <f t="shared" si="7"/>
        <v>-70947.593429711909</v>
      </c>
      <c r="AN12" s="41">
        <f t="shared" si="8"/>
        <v>0</v>
      </c>
    </row>
    <row r="13" spans="1:40" x14ac:dyDescent="0.2">
      <c r="A13" s="42">
        <v>10</v>
      </c>
      <c r="B13" s="42" t="str">
        <f>TEXT(DATE(VARIABLES!$B$70+INT((VARIABLES!$B$71+$A13-2)/12),MOD(VARIABLES!$B$71+$A13-2,12)+1,1),"mmm-yy")</f>
        <v>Mar-27</v>
      </c>
      <c r="C13" s="43">
        <f>IF($A13&lt;VARIABLES!$B$7,VARIABLES!$B$5/12,IF($A13&lt;VARIABLES!$B$8,VARIABLES!$B$6/12,IF($A13&lt;VARIABLES!$B$10,VARIABLES!$B$9/12,VARIABLES!$B$11/12)))</f>
        <v>4.9999999999999996E-2</v>
      </c>
      <c r="D13" s="44">
        <f>IF($A13&lt;VARIABLES!$B$31,0,IF($A13=VARIABLES!$B$31,VARIABLES!$B$32+VARIABLES!$B$33,VARIABLES!$B$33))</f>
        <v>200000</v>
      </c>
      <c r="E13" s="44">
        <f>D13*VARIABLES!$B$34</f>
        <v>1500</v>
      </c>
      <c r="F13" s="44">
        <f>IF($A13&lt;VARIABLES!$B$31,0,(IF($A13=VARIABLES!$B$31,0,G12)+D13)*C13*VARIABLES!$B$35)</f>
        <v>3701.7322469244023</v>
      </c>
      <c r="G13" s="44">
        <f>IF($A13&lt;VARIABLES!$B$31,0,(IF($A13=VARIABLES!$B$31,0,G12)+D13)*(1+C13)-F13)</f>
        <v>3105753.3551695738</v>
      </c>
      <c r="H13" s="44">
        <f>IF($A13&lt;VARIABLES!$B$38,0,IF($A13=VARIABLES!$B$38,VARIABLES!$B$39+VARIABLES!$B$40,VARIABLES!$B$40))</f>
        <v>40000</v>
      </c>
      <c r="I13" s="44">
        <f>H13*VARIABLES!$B$41</f>
        <v>300</v>
      </c>
      <c r="J13" s="44">
        <f>IF($A13&lt;VARIABLES!$B$38,0,(IF($A13=VARIABLES!$B$38,0,K12)+H13)*C13*VARIABLES!$B$42)</f>
        <v>2160.4228462855804</v>
      </c>
      <c r="K13" s="44">
        <f>IF($A13&lt;VARIABLES!$B$38,0,(IF($A13=VARIABLES!$B$38,0,K12)+H13)*(1+C13)-J13)</f>
        <v>451528.37487368635</v>
      </c>
      <c r="L13" s="44">
        <f>IF($A13&lt;VARIABLES!$B$45,0,IF($A13=VARIABLES!$B$45,VARIABLES!$B$46+VARIABLES!$B$47,VARIABLES!$B$47))</f>
        <v>0</v>
      </c>
      <c r="M13" s="44">
        <f>L13*VARIABLES!$B$48</f>
        <v>0</v>
      </c>
      <c r="N13" s="44">
        <f>IF($A13&lt;VARIABLES!$B$45,0,(IF($A13=VARIABLES!$B$45,0,O12)+L13)*C13*VARIABLES!$B$49)</f>
        <v>35552.515320915212</v>
      </c>
      <c r="O13" s="44">
        <f>IF($A13&lt;VARIABLES!$B$45,0,(IF($A13=VARIABLES!$B$45,0,O12)+L13)*(1+C13)-N13)</f>
        <v>7430475.7020712802</v>
      </c>
      <c r="P13" s="44">
        <f>IF($A13&lt;VARIABLES!$B$52,0,IF($A13=VARIABLES!$B$52,VARIABLES!$B$53+VARIABLES!$B$54,VARIABLES!$B$54))</f>
        <v>20000</v>
      </c>
      <c r="Q13" s="44">
        <f>P13*VARIABLES!$B$55</f>
        <v>150</v>
      </c>
      <c r="R13" s="44">
        <f>IF($A13&lt;VARIABLES!$B$52,0,(IF($A13=VARIABLES!$B$52,0,S12)+P13)*C13*VARIABLES!$B$56)</f>
        <v>274.24911393198016</v>
      </c>
      <c r="S13" s="44">
        <f>IF($A13&lt;VARIABLES!$B$52,0,(IF($A13=VARIABLES!$B$52,0,S12)+P13)*(1+C13)-R13)</f>
        <v>230095.00658893134</v>
      </c>
      <c r="T13" s="45">
        <f>IF($A13&lt;VARIABLES!$B$60,0,MIN(VARIABLES!$B$59,INT(($A13-VARIABLES!$B$60)/VARIABLES!$B$61)+1)*VARIABLES!$B$62)</f>
        <v>8</v>
      </c>
      <c r="U13" s="44">
        <f>T13*VARIABLES!$B$64+IF(AND($A13&gt;=VARIABLES!$B$60,MOD($A13-VARIABLES!$B$60,VARIABLES!$B$61)=0,INT(($A13-VARIABLES!$B$60)/VARIABLES!$B$61)&lt;VARIABLES!$B$59),VARIABLES!$B$62*VARIABLES!$B$63,0)</f>
        <v>90000</v>
      </c>
      <c r="V13" s="44">
        <f>U13*VARIABLES!$B$65</f>
        <v>675</v>
      </c>
      <c r="W13" s="44">
        <f>IF($A13&lt;VARIABLES!$B$60,0,(IF($A13&lt;VARIABLES!$B$60+1,0,X12)+U13)*C13*VARIABLES!$B$66)</f>
        <v>3346.1779776633252</v>
      </c>
      <c r="X13" s="44">
        <f>IF($A13&lt;VARIABLES!$B$60,0,(IF($A13&lt;VARIABLES!$B$60+1,0,X12)+U13)*(1+C13)-W13)</f>
        <v>699351.19733163505</v>
      </c>
      <c r="Y13" s="44">
        <f t="shared" si="0"/>
        <v>350000</v>
      </c>
      <c r="Z13" s="44">
        <f t="shared" si="1"/>
        <v>2625</v>
      </c>
      <c r="AA13" s="44">
        <f t="shared" si="2"/>
        <v>45035.097505720507</v>
      </c>
      <c r="AB13" s="44">
        <f>(IF($A13=1,0,AD12)*VARIABLES!$B$18*VARIABLES!$B$16*VARIABLES!$B$17)+(Y13*VARIABLES!$B$16*VARIABLES!$B$17)</f>
        <v>1555.3260397072411</v>
      </c>
      <c r="AC13" s="36">
        <f t="shared" si="3"/>
        <v>49215.423545427751</v>
      </c>
      <c r="AD13" s="37">
        <f t="shared" si="4"/>
        <v>11917203.636035109</v>
      </c>
      <c r="AE13" s="44">
        <f>IF($A13=1,VARIABLES!$B$21,0)</f>
        <v>0</v>
      </c>
      <c r="AF13" s="44">
        <f>IF($A13&lt;=3,VARIABLES!$B$22,IF($A13&lt;=6,VARIABLES!$B$23,VARIABLES!$B$24))*(1+VARIABLES!$B$25)^INT(($A13-1)/12)</f>
        <v>46000</v>
      </c>
      <c r="AG13" s="44">
        <f>IF(MOD($A13,12)=0,AD13*VARIABLES!$B$26,0)</f>
        <v>0</v>
      </c>
      <c r="AH13" s="44">
        <f>VARIABLES!$B$27</f>
        <v>5000</v>
      </c>
      <c r="AI13" s="44">
        <f>IF(MOD($A13,12)=0,VARIABLES!$B$28,0)</f>
        <v>0</v>
      </c>
      <c r="AJ13" s="38">
        <f t="shared" si="5"/>
        <v>51000</v>
      </c>
      <c r="AK13" s="39">
        <f>IF(OR($A13&lt;VARIABLES!$B$7,AND($A13&gt;=VARIABLES!$B$8,$A13&lt;VARIABLES!$B$10)),VARIABLES!$B$13,0)</f>
        <v>0</v>
      </c>
      <c r="AL13" s="46">
        <f t="shared" si="6"/>
        <v>-1784.5764545722486</v>
      </c>
      <c r="AM13" s="46">
        <f t="shared" si="7"/>
        <v>-72732.169884284158</v>
      </c>
      <c r="AN13" s="41">
        <f t="shared" si="8"/>
        <v>0</v>
      </c>
    </row>
    <row r="14" spans="1:40" x14ac:dyDescent="0.2">
      <c r="A14" s="32">
        <v>11</v>
      </c>
      <c r="B14" s="32" t="str">
        <f>TEXT(DATE(VARIABLES!$B$70+INT((VARIABLES!$B$71+$A14-2)/12),MOD(VARIABLES!$B$71+$A14-2,12)+1,1),"mmm-yy")</f>
        <v>Apr-27</v>
      </c>
      <c r="C14" s="33">
        <f>IF($A14&lt;VARIABLES!$B$7,VARIABLES!$B$5/12,IF($A14&lt;VARIABLES!$B$8,VARIABLES!$B$6/12,IF($A14&lt;VARIABLES!$B$10,VARIABLES!$B$9/12,VARIABLES!$B$11/12)))</f>
        <v>4.9999999999999996E-2</v>
      </c>
      <c r="D14" s="34">
        <f>IF($A14&lt;VARIABLES!$B$31,0,IF($A14=VARIABLES!$B$31,VARIABLES!$B$32+VARIABLES!$B$33,VARIABLES!$B$33))</f>
        <v>200000</v>
      </c>
      <c r="E14" s="34">
        <f>D14*VARIABLES!$B$34</f>
        <v>1500</v>
      </c>
      <c r="F14" s="34">
        <f>IF($A14&lt;VARIABLES!$B$31,0,(IF($A14=VARIABLES!$B$31,0,G13)+D14)*C14*VARIABLES!$B$35)</f>
        <v>4132.1916939619668</v>
      </c>
      <c r="G14" s="34">
        <f>IF($A14&lt;VARIABLES!$B$31,0,(IF($A14=VARIABLES!$B$31,0,G13)+D14)*(1+C14)-F14)</f>
        <v>3466908.8312340905</v>
      </c>
      <c r="H14" s="34">
        <f>IF($A14&lt;VARIABLES!$B$38,0,IF($A14=VARIABLES!$B$38,VARIABLES!$B$39+VARIABLES!$B$40,VARIABLES!$B$40))</f>
        <v>40000</v>
      </c>
      <c r="I14" s="34">
        <f>H14*VARIABLES!$B$41</f>
        <v>300</v>
      </c>
      <c r="J14" s="34">
        <f>IF($A14&lt;VARIABLES!$B$38,0,(IF($A14=VARIABLES!$B$38,0,K13)+H14)*C14*VARIABLES!$B$42)</f>
        <v>2457.6418743684317</v>
      </c>
      <c r="K14" s="34">
        <f>IF($A14&lt;VARIABLES!$B$38,0,(IF($A14=VARIABLES!$B$38,0,K13)+H14)*(1+C14)-J14)</f>
        <v>513647.15174300229</v>
      </c>
      <c r="L14" s="34">
        <f>IF($A14&lt;VARIABLES!$B$45,0,IF($A14=VARIABLES!$B$45,VARIABLES!$B$46+VARIABLES!$B$47,VARIABLES!$B$47))</f>
        <v>0</v>
      </c>
      <c r="M14" s="34">
        <f>L14*VARIABLES!$B$48</f>
        <v>0</v>
      </c>
      <c r="N14" s="34">
        <f>IF($A14&lt;VARIABLES!$B$45,0,(IF($A14=VARIABLES!$B$45,0,O13)+L14)*C14*VARIABLES!$B$49)</f>
        <v>37152.378510356401</v>
      </c>
      <c r="O14" s="34">
        <f>IF($A14&lt;VARIABLES!$B$45,0,(IF($A14=VARIABLES!$B$45,0,O13)+L14)*(1+C14)-N14)</f>
        <v>7764847.1086644884</v>
      </c>
      <c r="P14" s="34">
        <f>IF($A14&lt;VARIABLES!$B$52,0,IF($A14=VARIABLES!$B$52,VARIABLES!$B$53+VARIABLES!$B$54,VARIABLES!$B$54))</f>
        <v>20000</v>
      </c>
      <c r="Q14" s="34">
        <f>P14*VARIABLES!$B$55</f>
        <v>150</v>
      </c>
      <c r="R14" s="34">
        <f>IF($A14&lt;VARIABLES!$B$52,0,(IF($A14=VARIABLES!$B$52,0,S13)+P14)*C14*VARIABLES!$B$56)</f>
        <v>312.61875823616418</v>
      </c>
      <c r="S14" s="34">
        <f>IF($A14&lt;VARIABLES!$B$52,0,(IF($A14=VARIABLES!$B$52,0,S13)+P14)*(1+C14)-R14)</f>
        <v>262287.13816014177</v>
      </c>
      <c r="T14" s="35">
        <f>IF($A14&lt;VARIABLES!$B$60,0,MIN(VARIABLES!$B$59,INT(($A14-VARIABLES!$B$60)/VARIABLES!$B$61)+1)*VARIABLES!$B$62)</f>
        <v>9</v>
      </c>
      <c r="U14" s="34">
        <f>T14*VARIABLES!$B$64+IF(AND($A14&gt;=VARIABLES!$B$60,MOD($A14-VARIABLES!$B$60,VARIABLES!$B$61)=0,INT(($A14-VARIABLES!$B$60)/VARIABLES!$B$61)&lt;VARIABLES!$B$59),VARIABLES!$B$62*VARIABLES!$B$63,0)</f>
        <v>95000</v>
      </c>
      <c r="V14" s="34">
        <f>U14*VARIABLES!$B$65</f>
        <v>712.5</v>
      </c>
      <c r="W14" s="34">
        <f>IF($A14&lt;VARIABLES!$B$60,0,(IF($A14&lt;VARIABLES!$B$60+1,0,X13)+U14)*C14*VARIABLES!$B$66)</f>
        <v>3971.7559866581755</v>
      </c>
      <c r="X14" s="34">
        <f>IF($A14&lt;VARIABLES!$B$60,0,(IF($A14&lt;VARIABLES!$B$60+1,0,X13)+U14)*(1+C14)-W14)</f>
        <v>830097.0012115587</v>
      </c>
      <c r="Y14" s="34">
        <f t="shared" si="0"/>
        <v>355000</v>
      </c>
      <c r="Z14" s="34">
        <f t="shared" si="1"/>
        <v>2662.5</v>
      </c>
      <c r="AA14" s="34">
        <f t="shared" si="2"/>
        <v>48026.586823581136</v>
      </c>
      <c r="AB14" s="34">
        <f>(IF($A14=1,0,AD13)*VARIABLES!$B$18*VARIABLES!$B$16*VARIABLES!$B$17)+(Y14*VARIABLES!$B$16*VARIABLES!$B$17)</f>
        <v>1667.1504545043886</v>
      </c>
      <c r="AC14" s="36">
        <f t="shared" si="3"/>
        <v>52356.237278085522</v>
      </c>
      <c r="AD14" s="37">
        <f t="shared" si="4"/>
        <v>12837787.231013281</v>
      </c>
      <c r="AE14" s="34">
        <f>IF($A14=1,VARIABLES!$B$21,0)</f>
        <v>0</v>
      </c>
      <c r="AF14" s="34">
        <f>IF($A14&lt;=3,VARIABLES!$B$22,IF($A14&lt;=6,VARIABLES!$B$23,VARIABLES!$B$24))*(1+VARIABLES!$B$25)^INT(($A14-1)/12)</f>
        <v>46000</v>
      </c>
      <c r="AG14" s="34">
        <f>IF(MOD($A14,12)=0,AD14*VARIABLES!$B$26,0)</f>
        <v>0</v>
      </c>
      <c r="AH14" s="34">
        <f>VARIABLES!$B$27</f>
        <v>5000</v>
      </c>
      <c r="AI14" s="34">
        <f>IF(MOD($A14,12)=0,VARIABLES!$B$28,0)</f>
        <v>0</v>
      </c>
      <c r="AJ14" s="38">
        <f t="shared" si="5"/>
        <v>51000</v>
      </c>
      <c r="AK14" s="39">
        <f>IF(OR($A14&lt;VARIABLES!$B$7,AND($A14&gt;=VARIABLES!$B$8,$A14&lt;VARIABLES!$B$10)),VARIABLES!$B$13,0)</f>
        <v>0</v>
      </c>
      <c r="AL14" s="40">
        <f t="shared" si="6"/>
        <v>1356.2372780855221</v>
      </c>
      <c r="AM14" s="40">
        <f t="shared" si="7"/>
        <v>-71375.932606198636</v>
      </c>
      <c r="AN14" s="41">
        <f t="shared" si="8"/>
        <v>0</v>
      </c>
    </row>
    <row r="15" spans="1:40" x14ac:dyDescent="0.2">
      <c r="A15" s="42">
        <v>12</v>
      </c>
      <c r="B15" s="42" t="str">
        <f>TEXT(DATE(VARIABLES!$B$70+INT((VARIABLES!$B$71+$A15-2)/12),MOD(VARIABLES!$B$71+$A15-2,12)+1,1),"mmm-yy")</f>
        <v>May-27</v>
      </c>
      <c r="C15" s="43">
        <f>IF($A15&lt;VARIABLES!$B$7,VARIABLES!$B$5/12,IF($A15&lt;VARIABLES!$B$8,VARIABLES!$B$6/12,IF($A15&lt;VARIABLES!$B$10,VARIABLES!$B$9/12,VARIABLES!$B$11/12)))</f>
        <v>4.9999999999999996E-2</v>
      </c>
      <c r="D15" s="44">
        <f>IF($A15&lt;VARIABLES!$B$31,0,IF($A15=VARIABLES!$B$31,VARIABLES!$B$32+VARIABLES!$B$33,VARIABLES!$B$33))</f>
        <v>200000</v>
      </c>
      <c r="E15" s="44">
        <f>D15*VARIABLES!$B$34</f>
        <v>1500</v>
      </c>
      <c r="F15" s="44">
        <f>IF($A15&lt;VARIABLES!$B$31,0,(IF($A15=VARIABLES!$B$31,0,G14)+D15)*C15*VARIABLES!$B$35)</f>
        <v>4583.6360390426125</v>
      </c>
      <c r="G15" s="44">
        <f>IF($A15&lt;VARIABLES!$B$31,0,(IF($A15=VARIABLES!$B$31,0,G14)+D15)*(1+C15)-F15)</f>
        <v>3845670.6367567526</v>
      </c>
      <c r="H15" s="44">
        <f>IF($A15&lt;VARIABLES!$B$38,0,IF($A15=VARIABLES!$B$38,VARIABLES!$B$39+VARIABLES!$B$40,VARIABLES!$B$40))</f>
        <v>40000</v>
      </c>
      <c r="I15" s="44">
        <f>H15*VARIABLES!$B$41</f>
        <v>300</v>
      </c>
      <c r="J15" s="44">
        <f>IF($A15&lt;VARIABLES!$B$38,0,(IF($A15=VARIABLES!$B$38,0,K14)+H15)*C15*VARIABLES!$B$42)</f>
        <v>2768.2357587150109</v>
      </c>
      <c r="K15" s="44">
        <f>IF($A15&lt;VARIABLES!$B$38,0,(IF($A15=VARIABLES!$B$38,0,K14)+H15)*(1+C15)-J15)</f>
        <v>578561.27357143746</v>
      </c>
      <c r="L15" s="44">
        <f>IF($A15&lt;VARIABLES!$B$45,0,IF($A15=VARIABLES!$B$45,VARIABLES!$B$46+VARIABLES!$B$47,VARIABLES!$B$47))</f>
        <v>0</v>
      </c>
      <c r="M15" s="44">
        <f>L15*VARIABLES!$B$48</f>
        <v>0</v>
      </c>
      <c r="N15" s="44">
        <f>IF($A15&lt;VARIABLES!$B$45,0,(IF($A15=VARIABLES!$B$45,0,O14)+L15)*C15*VARIABLES!$B$49)</f>
        <v>38824.235543322444</v>
      </c>
      <c r="O15" s="44">
        <f>IF($A15&lt;VARIABLES!$B$45,0,(IF($A15=VARIABLES!$B$45,0,O14)+L15)*(1+C15)-N15)</f>
        <v>8114265.2285543904</v>
      </c>
      <c r="P15" s="44">
        <f>IF($A15&lt;VARIABLES!$B$52,0,IF($A15=VARIABLES!$B$52,VARIABLES!$B$53+VARIABLES!$B$54,VARIABLES!$B$54))</f>
        <v>20000</v>
      </c>
      <c r="Q15" s="44">
        <f>P15*VARIABLES!$B$55</f>
        <v>150</v>
      </c>
      <c r="R15" s="44">
        <f>IF($A15&lt;VARIABLES!$B$52,0,(IF($A15=VARIABLES!$B$52,0,S14)+P15)*C15*VARIABLES!$B$56)</f>
        <v>352.85892270017717</v>
      </c>
      <c r="S15" s="44">
        <f>IF($A15&lt;VARIABLES!$B$52,0,(IF($A15=VARIABLES!$B$52,0,S14)+P15)*(1+C15)-R15)</f>
        <v>296048.63614544872</v>
      </c>
      <c r="T15" s="45">
        <f>IF($A15&lt;VARIABLES!$B$60,0,MIN(VARIABLES!$B$59,INT(($A15-VARIABLES!$B$60)/VARIABLES!$B$61)+1)*VARIABLES!$B$62)</f>
        <v>10</v>
      </c>
      <c r="U15" s="44">
        <f>T15*VARIABLES!$B$64+IF(AND($A15&gt;=VARIABLES!$B$60,MOD($A15-VARIABLES!$B$60,VARIABLES!$B$61)=0,INT(($A15-VARIABLES!$B$60)/VARIABLES!$B$61)&lt;VARIABLES!$B$59),VARIABLES!$B$62*VARIABLES!$B$63,0)</f>
        <v>100000</v>
      </c>
      <c r="V15" s="44">
        <f>U15*VARIABLES!$B$65</f>
        <v>750</v>
      </c>
      <c r="W15" s="44">
        <f>IF($A15&lt;VARIABLES!$B$60,0,(IF($A15&lt;VARIABLES!$B$60+1,0,X14)+U15)*C15*VARIABLES!$B$66)</f>
        <v>4650.4850060577937</v>
      </c>
      <c r="X15" s="44">
        <f>IF($A15&lt;VARIABLES!$B$60,0,(IF($A15&lt;VARIABLES!$B$60+1,0,X14)+U15)*(1+C15)-W15)</f>
        <v>971951.3662660789</v>
      </c>
      <c r="Y15" s="44">
        <f t="shared" si="0"/>
        <v>360000</v>
      </c>
      <c r="Z15" s="44">
        <f t="shared" si="1"/>
        <v>2700</v>
      </c>
      <c r="AA15" s="44">
        <f t="shared" si="2"/>
        <v>51179.451269838042</v>
      </c>
      <c r="AB15" s="44">
        <f>(IF($A15=1,0,AD14)*VARIABLES!$B$18*VARIABLES!$B$16*VARIABLES!$B$17)+(Y15*VARIABLES!$B$16*VARIABLES!$B$17)</f>
        <v>1784.7234038766601</v>
      </c>
      <c r="AC15" s="36">
        <f t="shared" si="3"/>
        <v>55664.174673714704</v>
      </c>
      <c r="AD15" s="37">
        <f t="shared" si="4"/>
        <v>13806497.141294109</v>
      </c>
      <c r="AE15" s="44">
        <f>IF($A15=1,VARIABLES!$B$21,0)</f>
        <v>0</v>
      </c>
      <c r="AF15" s="44">
        <f>IF($A15&lt;=3,VARIABLES!$B$22,IF($A15&lt;=6,VARIABLES!$B$23,VARIABLES!$B$24))*(1+VARIABLES!$B$25)^INT(($A15-1)/12)</f>
        <v>46000</v>
      </c>
      <c r="AG15" s="44">
        <f>IF(MOD($A15,12)=0,AD15*VARIABLES!$B$26,0)</f>
        <v>34516.242853235271</v>
      </c>
      <c r="AH15" s="44">
        <f>VARIABLES!$B$27</f>
        <v>5000</v>
      </c>
      <c r="AI15" s="44">
        <f>IF(MOD($A15,12)=0,VARIABLES!$B$28,0)</f>
        <v>3000</v>
      </c>
      <c r="AJ15" s="38">
        <f t="shared" si="5"/>
        <v>88516.242853235279</v>
      </c>
      <c r="AK15" s="39">
        <f>IF(OR($A15&lt;VARIABLES!$B$7,AND($A15&gt;=VARIABLES!$B$8,$A15&lt;VARIABLES!$B$10)),VARIABLES!$B$13,0)</f>
        <v>0</v>
      </c>
      <c r="AL15" s="46">
        <f t="shared" si="6"/>
        <v>-32852.068179520575</v>
      </c>
      <c r="AM15" s="46">
        <f t="shared" si="7"/>
        <v>-104228.00078571921</v>
      </c>
      <c r="AN15" s="41">
        <f t="shared" si="8"/>
        <v>0</v>
      </c>
    </row>
    <row r="16" spans="1:40" x14ac:dyDescent="0.2">
      <c r="A16" s="32">
        <v>13</v>
      </c>
      <c r="B16" s="32" t="str">
        <f>TEXT(DATE(VARIABLES!$B$70+INT((VARIABLES!$B$71+$A16-2)/12),MOD(VARIABLES!$B$71+$A16-2,12)+1,1),"mmm-yy")</f>
        <v>Jun-27</v>
      </c>
      <c r="C16" s="33">
        <f>IF($A16&lt;VARIABLES!$B$7,VARIABLES!$B$5/12,IF($A16&lt;VARIABLES!$B$8,VARIABLES!$B$6/12,IF($A16&lt;VARIABLES!$B$10,VARIABLES!$B$9/12,VARIABLES!$B$11/12)))</f>
        <v>4.9999999999999996E-2</v>
      </c>
      <c r="D16" s="34">
        <f>IF($A16&lt;VARIABLES!$B$31,0,IF($A16=VARIABLES!$B$31,VARIABLES!$B$32+VARIABLES!$B$33,VARIABLES!$B$33))</f>
        <v>200000</v>
      </c>
      <c r="E16" s="34">
        <f>D16*VARIABLES!$B$34</f>
        <v>1500</v>
      </c>
      <c r="F16" s="34">
        <f>IF($A16&lt;VARIABLES!$B$31,0,(IF($A16=VARIABLES!$B$31,0,G15)+D16)*C16*VARIABLES!$B$35)</f>
        <v>5057.0882959459414</v>
      </c>
      <c r="G16" s="34">
        <f>IF($A16&lt;VARIABLES!$B$31,0,(IF($A16=VARIABLES!$B$31,0,G15)+D16)*(1+C16)-F16)</f>
        <v>4242897.0802986445</v>
      </c>
      <c r="H16" s="34">
        <f>IF($A16&lt;VARIABLES!$B$38,0,IF($A16=VARIABLES!$B$38,VARIABLES!$B$39+VARIABLES!$B$40,VARIABLES!$B$40))</f>
        <v>40000</v>
      </c>
      <c r="I16" s="34">
        <f>H16*VARIABLES!$B$41</f>
        <v>300</v>
      </c>
      <c r="J16" s="34">
        <f>IF($A16&lt;VARIABLES!$B$38,0,(IF($A16=VARIABLES!$B$38,0,K15)+H16)*C16*VARIABLES!$B$42)</f>
        <v>3092.8063678571871</v>
      </c>
      <c r="K16" s="34">
        <f>IF($A16&lt;VARIABLES!$B$38,0,(IF($A16=VARIABLES!$B$38,0,K15)+H16)*(1+C16)-J16)</f>
        <v>646396.53088215226</v>
      </c>
      <c r="L16" s="34">
        <f>IF($A16&lt;VARIABLES!$B$45,0,IF($A16=VARIABLES!$B$45,VARIABLES!$B$46+VARIABLES!$B$47,VARIABLES!$B$47))</f>
        <v>0</v>
      </c>
      <c r="M16" s="34">
        <f>L16*VARIABLES!$B$48</f>
        <v>0</v>
      </c>
      <c r="N16" s="34">
        <f>IF($A16&lt;VARIABLES!$B$45,0,(IF($A16=VARIABLES!$B$45,0,O15)+L16)*C16*VARIABLES!$B$49)</f>
        <v>40571.326142771955</v>
      </c>
      <c r="O16" s="34">
        <f>IF($A16&lt;VARIABLES!$B$45,0,(IF($A16=VARIABLES!$B$45,0,O15)+L16)*(1+C16)-N16)</f>
        <v>8479407.1638393383</v>
      </c>
      <c r="P16" s="34">
        <f>IF($A16&lt;VARIABLES!$B$52,0,IF($A16=VARIABLES!$B$52,VARIABLES!$B$53+VARIABLES!$B$54,VARIABLES!$B$54))</f>
        <v>20000</v>
      </c>
      <c r="Q16" s="34">
        <f>P16*VARIABLES!$B$55</f>
        <v>150</v>
      </c>
      <c r="R16" s="34">
        <f>IF($A16&lt;VARIABLES!$B$52,0,(IF($A16=VARIABLES!$B$52,0,S15)+P16)*C16*VARIABLES!$B$56)</f>
        <v>395.06079518181087</v>
      </c>
      <c r="S16" s="34">
        <f>IF($A16&lt;VARIABLES!$B$52,0,(IF($A16=VARIABLES!$B$52,0,S15)+P16)*(1+C16)-R16)</f>
        <v>331456.00715753931</v>
      </c>
      <c r="T16" s="35">
        <f>IF($A16&lt;VARIABLES!$B$60,0,MIN(VARIABLES!$B$59,INT(($A16-VARIABLES!$B$60)/VARIABLES!$B$61)+1)*VARIABLES!$B$62)</f>
        <v>11</v>
      </c>
      <c r="U16" s="34">
        <f>T16*VARIABLES!$B$64+IF(AND($A16&gt;=VARIABLES!$B$60,MOD($A16-VARIABLES!$B$60,VARIABLES!$B$61)=0,INT(($A16-VARIABLES!$B$60)/VARIABLES!$B$61)&lt;VARIABLES!$B$59),VARIABLES!$B$62*VARIABLES!$B$63,0)</f>
        <v>105000</v>
      </c>
      <c r="V16" s="34">
        <f>U16*VARIABLES!$B$65</f>
        <v>787.5</v>
      </c>
      <c r="W16" s="34">
        <f>IF($A16&lt;VARIABLES!$B$60,0,(IF($A16&lt;VARIABLES!$B$60+1,0,X15)+U16)*C16*VARIABLES!$B$66)</f>
        <v>5384.7568313303937</v>
      </c>
      <c r="X16" s="34">
        <f>IF($A16&lt;VARIABLES!$B$60,0,(IF($A16&lt;VARIABLES!$B$60+1,0,X15)+U16)*(1+C16)-W16)</f>
        <v>1125414.1777480524</v>
      </c>
      <c r="Y16" s="34">
        <f t="shared" si="0"/>
        <v>365000</v>
      </c>
      <c r="Z16" s="34">
        <f t="shared" si="1"/>
        <v>2737.5</v>
      </c>
      <c r="AA16" s="34">
        <f t="shared" si="2"/>
        <v>54501.038433087284</v>
      </c>
      <c r="AB16" s="34">
        <f>(IF($A16=1,0,AD15)*VARIABLES!$B$18*VARIABLES!$B$16*VARIABLES!$B$17)+(Y16*VARIABLES!$B$16*VARIABLES!$B$17)</f>
        <v>1908.3121426617636</v>
      </c>
      <c r="AC16" s="36">
        <f t="shared" si="3"/>
        <v>59146.850575749049</v>
      </c>
      <c r="AD16" s="37">
        <f t="shared" si="4"/>
        <v>14825570.959925728</v>
      </c>
      <c r="AE16" s="34">
        <f>IF($A16=1,VARIABLES!$B$21,0)</f>
        <v>0</v>
      </c>
      <c r="AF16" s="34">
        <f>IF($A16&lt;=3,VARIABLES!$B$22,IF($A16&lt;=6,VARIABLES!$B$23,VARIABLES!$B$24))*(1+VARIABLES!$B$25)^INT(($A16-1)/12)</f>
        <v>48760</v>
      </c>
      <c r="AG16" s="34">
        <f>IF(MOD($A16,12)=0,AD16*VARIABLES!$B$26,0)</f>
        <v>0</v>
      </c>
      <c r="AH16" s="34">
        <f>VARIABLES!$B$27</f>
        <v>5000</v>
      </c>
      <c r="AI16" s="34">
        <f>IF(MOD($A16,12)=0,VARIABLES!$B$28,0)</f>
        <v>0</v>
      </c>
      <c r="AJ16" s="38">
        <f t="shared" si="5"/>
        <v>53760</v>
      </c>
      <c r="AK16" s="39">
        <f>IF(OR($A16&lt;VARIABLES!$B$7,AND($A16&gt;=VARIABLES!$B$8,$A16&lt;VARIABLES!$B$10)),VARIABLES!$B$13,0)</f>
        <v>0</v>
      </c>
      <c r="AL16" s="40">
        <f t="shared" si="6"/>
        <v>5386.8505757490493</v>
      </c>
      <c r="AM16" s="40">
        <f t="shared" si="7"/>
        <v>-98841.150209970161</v>
      </c>
      <c r="AN16" s="41">
        <f t="shared" si="8"/>
        <v>0</v>
      </c>
    </row>
    <row r="17" spans="1:40" x14ac:dyDescent="0.2">
      <c r="A17" s="42">
        <v>14</v>
      </c>
      <c r="B17" s="42" t="str">
        <f>TEXT(DATE(VARIABLES!$B$70+INT((VARIABLES!$B$71+$A17-2)/12),MOD(VARIABLES!$B$71+$A17-2,12)+1,1),"mmm-yy")</f>
        <v>Jul-27</v>
      </c>
      <c r="C17" s="43">
        <f>IF($A17&lt;VARIABLES!$B$7,VARIABLES!$B$5/12,IF($A17&lt;VARIABLES!$B$8,VARIABLES!$B$6/12,IF($A17&lt;VARIABLES!$B$10,VARIABLES!$B$9/12,VARIABLES!$B$11/12)))</f>
        <v>4.9999999999999996E-2</v>
      </c>
      <c r="D17" s="44">
        <f>IF($A17&lt;VARIABLES!$B$31,0,IF($A17=VARIABLES!$B$31,VARIABLES!$B$32+VARIABLES!$B$33,VARIABLES!$B$33))</f>
        <v>200000</v>
      </c>
      <c r="E17" s="44">
        <f>D17*VARIABLES!$B$34</f>
        <v>1500</v>
      </c>
      <c r="F17" s="44">
        <f>IF($A17&lt;VARIABLES!$B$31,0,(IF($A17=VARIABLES!$B$31,0,G16)+D17)*C17*VARIABLES!$B$35)</f>
        <v>5553.6213503733052</v>
      </c>
      <c r="G17" s="44">
        <f>IF($A17&lt;VARIABLES!$B$31,0,(IF($A17=VARIABLES!$B$31,0,G16)+D17)*(1+C17)-F17)</f>
        <v>4659488.3129632035</v>
      </c>
      <c r="H17" s="44">
        <f>IF($A17&lt;VARIABLES!$B$38,0,IF($A17=VARIABLES!$B$38,VARIABLES!$B$39+VARIABLES!$B$40,VARIABLES!$B$40))</f>
        <v>40000</v>
      </c>
      <c r="I17" s="44">
        <f>H17*VARIABLES!$B$41</f>
        <v>300</v>
      </c>
      <c r="J17" s="44">
        <f>IF($A17&lt;VARIABLES!$B$38,0,(IF($A17=VARIABLES!$B$38,0,K16)+H17)*C17*VARIABLES!$B$42)</f>
        <v>3431.9826544107609</v>
      </c>
      <c r="K17" s="44">
        <f>IF($A17&lt;VARIABLES!$B$38,0,(IF($A17=VARIABLES!$B$38,0,K16)+H17)*(1+C17)-J17)</f>
        <v>717284.37477184914</v>
      </c>
      <c r="L17" s="44">
        <f>IF($A17&lt;VARIABLES!$B$45,0,IF($A17=VARIABLES!$B$45,VARIABLES!$B$46+VARIABLES!$B$47,VARIABLES!$B$47))</f>
        <v>0</v>
      </c>
      <c r="M17" s="44">
        <f>L17*VARIABLES!$B$48</f>
        <v>0</v>
      </c>
      <c r="N17" s="44">
        <f>IF($A17&lt;VARIABLES!$B$45,0,(IF($A17=VARIABLES!$B$45,0,O16)+L17)*C17*VARIABLES!$B$49)</f>
        <v>42397.035819196695</v>
      </c>
      <c r="O17" s="44">
        <f>IF($A17&lt;VARIABLES!$B$45,0,(IF($A17=VARIABLES!$B$45,0,O16)+L17)*(1+C17)-N17)</f>
        <v>8860980.4862121083</v>
      </c>
      <c r="P17" s="44">
        <f>IF($A17&lt;VARIABLES!$B$52,0,IF($A17=VARIABLES!$B$52,VARIABLES!$B$53+VARIABLES!$B$54,VARIABLES!$B$54))</f>
        <v>20000</v>
      </c>
      <c r="Q17" s="44">
        <f>P17*VARIABLES!$B$55</f>
        <v>150</v>
      </c>
      <c r="R17" s="44">
        <f>IF($A17&lt;VARIABLES!$B$52,0,(IF($A17=VARIABLES!$B$52,0,S16)+P17)*C17*VARIABLES!$B$56)</f>
        <v>439.32000894692413</v>
      </c>
      <c r="S17" s="44">
        <f>IF($A17&lt;VARIABLES!$B$52,0,(IF($A17=VARIABLES!$B$52,0,S16)+P17)*(1+C17)-R17)</f>
        <v>368589.48750646936</v>
      </c>
      <c r="T17" s="45">
        <f>IF($A17&lt;VARIABLES!$B$60,0,MIN(VARIABLES!$B$59,INT(($A17-VARIABLES!$B$60)/VARIABLES!$B$61)+1)*VARIABLES!$B$62)</f>
        <v>12</v>
      </c>
      <c r="U17" s="44">
        <f>T17*VARIABLES!$B$64+IF(AND($A17&gt;=VARIABLES!$B$60,MOD($A17-VARIABLES!$B$60,VARIABLES!$B$61)=0,INT(($A17-VARIABLES!$B$60)/VARIABLES!$B$61)&lt;VARIABLES!$B$59),VARIABLES!$B$62*VARIABLES!$B$63,0)</f>
        <v>110000</v>
      </c>
      <c r="V17" s="44">
        <f>U17*VARIABLES!$B$65</f>
        <v>825</v>
      </c>
      <c r="W17" s="44">
        <f>IF($A17&lt;VARIABLES!$B$60,0,(IF($A17&lt;VARIABLES!$B$60+1,0,X16)+U17)*C17*VARIABLES!$B$66)</f>
        <v>6177.0708887402616</v>
      </c>
      <c r="X17" s="44">
        <f>IF($A17&lt;VARIABLES!$B$60,0,(IF($A17&lt;VARIABLES!$B$60+1,0,X16)+U17)*(1+C17)-W17)</f>
        <v>1291007.8157467148</v>
      </c>
      <c r="Y17" s="44">
        <f t="shared" si="0"/>
        <v>370000</v>
      </c>
      <c r="Z17" s="44">
        <f t="shared" si="1"/>
        <v>2775</v>
      </c>
      <c r="AA17" s="44">
        <f t="shared" si="2"/>
        <v>57999.03072166795</v>
      </c>
      <c r="AB17" s="44">
        <f>(IF($A17=1,0,AD16)*VARIABLES!$B$18*VARIABLES!$B$16*VARIABLES!$B$17)+(Y17*VARIABLES!$B$16*VARIABLES!$B$17)</f>
        <v>2038.196369990716</v>
      </c>
      <c r="AC17" s="36">
        <f t="shared" si="3"/>
        <v>62812.227091658664</v>
      </c>
      <c r="AD17" s="37">
        <f t="shared" si="4"/>
        <v>15897350.477200346</v>
      </c>
      <c r="AE17" s="44">
        <f>IF($A17=1,VARIABLES!$B$21,0)</f>
        <v>0</v>
      </c>
      <c r="AF17" s="44">
        <f>IF($A17&lt;=3,VARIABLES!$B$22,IF($A17&lt;=6,VARIABLES!$B$23,VARIABLES!$B$24))*(1+VARIABLES!$B$25)^INT(($A17-1)/12)</f>
        <v>48760</v>
      </c>
      <c r="AG17" s="44">
        <f>IF(MOD($A17,12)=0,AD17*VARIABLES!$B$26,0)</f>
        <v>0</v>
      </c>
      <c r="AH17" s="44">
        <f>VARIABLES!$B$27</f>
        <v>5000</v>
      </c>
      <c r="AI17" s="44">
        <f>IF(MOD($A17,12)=0,VARIABLES!$B$28,0)</f>
        <v>0</v>
      </c>
      <c r="AJ17" s="38">
        <f t="shared" si="5"/>
        <v>53760</v>
      </c>
      <c r="AK17" s="39">
        <f>IF(OR($A17&lt;VARIABLES!$B$7,AND($A17&gt;=VARIABLES!$B$8,$A17&lt;VARIABLES!$B$10)),VARIABLES!$B$13,0)</f>
        <v>0</v>
      </c>
      <c r="AL17" s="46">
        <f t="shared" si="6"/>
        <v>9052.227091658664</v>
      </c>
      <c r="AM17" s="46">
        <f t="shared" si="7"/>
        <v>-89788.923118311504</v>
      </c>
      <c r="AN17" s="41">
        <f t="shared" si="8"/>
        <v>0</v>
      </c>
    </row>
    <row r="18" spans="1:40" x14ac:dyDescent="0.2">
      <c r="A18" s="32">
        <v>15</v>
      </c>
      <c r="B18" s="32" t="str">
        <f>TEXT(DATE(VARIABLES!$B$70+INT((VARIABLES!$B$71+$A18-2)/12),MOD(VARIABLES!$B$71+$A18-2,12)+1,1),"mmm-yy")</f>
        <v>Aug-27</v>
      </c>
      <c r="C18" s="33">
        <f>IF($A18&lt;VARIABLES!$B$7,VARIABLES!$B$5/12,IF($A18&lt;VARIABLES!$B$8,VARIABLES!$B$6/12,IF($A18&lt;VARIABLES!$B$10,VARIABLES!$B$9/12,VARIABLES!$B$11/12)))</f>
        <v>4.9999999999999996E-2</v>
      </c>
      <c r="D18" s="34">
        <f>IF($A18&lt;VARIABLES!$B$31,0,IF($A18=VARIABLES!$B$31,VARIABLES!$B$32+VARIABLES!$B$33,VARIABLES!$B$33))</f>
        <v>200000</v>
      </c>
      <c r="E18" s="34">
        <f>D18*VARIABLES!$B$34</f>
        <v>1500</v>
      </c>
      <c r="F18" s="34">
        <f>IF($A18&lt;VARIABLES!$B$31,0,(IF($A18=VARIABLES!$B$31,0,G17)+D18)*C18*VARIABLES!$B$35)</f>
        <v>6074.3603912040044</v>
      </c>
      <c r="G18" s="34">
        <f>IF($A18&lt;VARIABLES!$B$31,0,(IF($A18=VARIABLES!$B$31,0,G17)+D18)*(1+C18)-F18)</f>
        <v>5096388.3682201598</v>
      </c>
      <c r="H18" s="34">
        <f>IF($A18&lt;VARIABLES!$B$38,0,IF($A18=VARIABLES!$B$38,VARIABLES!$B$39+VARIABLES!$B$40,VARIABLES!$B$40))</f>
        <v>40000</v>
      </c>
      <c r="I18" s="34">
        <f>H18*VARIABLES!$B$41</f>
        <v>300</v>
      </c>
      <c r="J18" s="34">
        <f>IF($A18&lt;VARIABLES!$B$38,0,(IF($A18=VARIABLES!$B$38,0,K17)+H18)*C18*VARIABLES!$B$42)</f>
        <v>3786.4218738592458</v>
      </c>
      <c r="K18" s="34">
        <f>IF($A18&lt;VARIABLES!$B$38,0,(IF($A18=VARIABLES!$B$38,0,K17)+H18)*(1+C18)-J18)</f>
        <v>791362.17163658235</v>
      </c>
      <c r="L18" s="34">
        <f>IF($A18&lt;VARIABLES!$B$45,0,IF($A18=VARIABLES!$B$45,VARIABLES!$B$46+VARIABLES!$B$47,VARIABLES!$B$47))</f>
        <v>0</v>
      </c>
      <c r="M18" s="34">
        <f>L18*VARIABLES!$B$48</f>
        <v>0</v>
      </c>
      <c r="N18" s="34">
        <f>IF($A18&lt;VARIABLES!$B$45,0,(IF($A18=VARIABLES!$B$45,0,O17)+L18)*C18*VARIABLES!$B$49)</f>
        <v>44304.902431060538</v>
      </c>
      <c r="O18" s="34">
        <f>IF($A18&lt;VARIABLES!$B$45,0,(IF($A18=VARIABLES!$B$45,0,O17)+L18)*(1+C18)-N18)</f>
        <v>9259724.6080916543</v>
      </c>
      <c r="P18" s="34">
        <f>IF($A18&lt;VARIABLES!$B$52,0,IF($A18=VARIABLES!$B$52,VARIABLES!$B$53+VARIABLES!$B$54,VARIABLES!$B$54))</f>
        <v>20000</v>
      </c>
      <c r="Q18" s="34">
        <f>P18*VARIABLES!$B$55</f>
        <v>150</v>
      </c>
      <c r="R18" s="34">
        <f>IF($A18&lt;VARIABLES!$B$52,0,(IF($A18=VARIABLES!$B$52,0,S17)+P18)*C18*VARIABLES!$B$56)</f>
        <v>485.73685938308665</v>
      </c>
      <c r="S18" s="34">
        <f>IF($A18&lt;VARIABLES!$B$52,0,(IF($A18=VARIABLES!$B$52,0,S17)+P18)*(1+C18)-R18)</f>
        <v>407533.22502240981</v>
      </c>
      <c r="T18" s="35">
        <f>IF($A18&lt;VARIABLES!$B$60,0,MIN(VARIABLES!$B$59,INT(($A18-VARIABLES!$B$60)/VARIABLES!$B$61)+1)*VARIABLES!$B$62)</f>
        <v>13</v>
      </c>
      <c r="U18" s="34">
        <f>T18*VARIABLES!$B$64+IF(AND($A18&gt;=VARIABLES!$B$60,MOD($A18-VARIABLES!$B$60,VARIABLES!$B$61)=0,INT(($A18-VARIABLES!$B$60)/VARIABLES!$B$61)&lt;VARIABLES!$B$59),VARIABLES!$B$62*VARIABLES!$B$63,0)</f>
        <v>115000</v>
      </c>
      <c r="V18" s="34">
        <f>U18*VARIABLES!$B$65</f>
        <v>862.5</v>
      </c>
      <c r="W18" s="34">
        <f>IF($A18&lt;VARIABLES!$B$60,0,(IF($A18&lt;VARIABLES!$B$60+1,0,X17)+U18)*C18*VARIABLES!$B$66)</f>
        <v>7030.0390787335746</v>
      </c>
      <c r="X18" s="34">
        <f>IF($A18&lt;VARIABLES!$B$60,0,(IF($A18&lt;VARIABLES!$B$60+1,0,X17)+U18)*(1+C18)-W18)</f>
        <v>1469278.167455317</v>
      </c>
      <c r="Y18" s="34">
        <f t="shared" si="0"/>
        <v>375000</v>
      </c>
      <c r="Z18" s="34">
        <f t="shared" si="1"/>
        <v>2812.5</v>
      </c>
      <c r="AA18" s="34">
        <f t="shared" si="2"/>
        <v>61681.460634240444</v>
      </c>
      <c r="AB18" s="34">
        <f>(IF($A18=1,0,AD17)*VARIABLES!$B$18*VARIABLES!$B$16*VARIABLES!$B$17)+(Y18*VARIABLES!$B$16*VARIABLES!$B$17)</f>
        <v>2174.6688096500434</v>
      </c>
      <c r="AC18" s="36">
        <f t="shared" si="3"/>
        <v>66668.629443890488</v>
      </c>
      <c r="AD18" s="37">
        <f t="shared" si="4"/>
        <v>17024286.54042612</v>
      </c>
      <c r="AE18" s="34">
        <f>IF($A18=1,VARIABLES!$B$21,0)</f>
        <v>0</v>
      </c>
      <c r="AF18" s="34">
        <f>IF($A18&lt;=3,VARIABLES!$B$22,IF($A18&lt;=6,VARIABLES!$B$23,VARIABLES!$B$24))*(1+VARIABLES!$B$25)^INT(($A18-1)/12)</f>
        <v>48760</v>
      </c>
      <c r="AG18" s="34">
        <f>IF(MOD($A18,12)=0,AD18*VARIABLES!$B$26,0)</f>
        <v>0</v>
      </c>
      <c r="AH18" s="34">
        <f>VARIABLES!$B$27</f>
        <v>5000</v>
      </c>
      <c r="AI18" s="34">
        <f>IF(MOD($A18,12)=0,VARIABLES!$B$28,0)</f>
        <v>0</v>
      </c>
      <c r="AJ18" s="38">
        <f t="shared" si="5"/>
        <v>53760</v>
      </c>
      <c r="AK18" s="39">
        <f>IF(OR($A18&lt;VARIABLES!$B$7,AND($A18&gt;=VARIABLES!$B$8,$A18&lt;VARIABLES!$B$10)),VARIABLES!$B$13,0)</f>
        <v>0</v>
      </c>
      <c r="AL18" s="40">
        <f t="shared" si="6"/>
        <v>12908.629443890488</v>
      </c>
      <c r="AM18" s="40">
        <f t="shared" si="7"/>
        <v>-76880.293674421016</v>
      </c>
      <c r="AN18" s="41">
        <f t="shared" si="8"/>
        <v>0</v>
      </c>
    </row>
    <row r="19" spans="1:40" x14ac:dyDescent="0.2">
      <c r="A19" s="42">
        <v>16</v>
      </c>
      <c r="B19" s="42" t="str">
        <f>TEXT(DATE(VARIABLES!$B$70+INT((VARIABLES!$B$71+$A19-2)/12),MOD(VARIABLES!$B$71+$A19-2,12)+1,1),"mmm-yy")</f>
        <v>Sept-27</v>
      </c>
      <c r="C19" s="43">
        <f>IF($A19&lt;VARIABLES!$B$7,VARIABLES!$B$5/12,IF($A19&lt;VARIABLES!$B$8,VARIABLES!$B$6/12,IF($A19&lt;VARIABLES!$B$10,VARIABLES!$B$9/12,VARIABLES!$B$11/12)))</f>
        <v>4.9999999999999996E-2</v>
      </c>
      <c r="D19" s="44">
        <f>IF($A19&lt;VARIABLES!$B$31,0,IF($A19=VARIABLES!$B$31,VARIABLES!$B$32+VARIABLES!$B$33,VARIABLES!$B$33))</f>
        <v>200000</v>
      </c>
      <c r="E19" s="44">
        <f>D19*VARIABLES!$B$34</f>
        <v>1500</v>
      </c>
      <c r="F19" s="44">
        <f>IF($A19&lt;VARIABLES!$B$31,0,(IF($A19=VARIABLES!$B$31,0,G18)+D19)*C19*VARIABLES!$B$35)</f>
        <v>6620.4854602751993</v>
      </c>
      <c r="G19" s="44">
        <f>IF($A19&lt;VARIABLES!$B$31,0,(IF($A19=VARIABLES!$B$31,0,G18)+D19)*(1+C19)-F19)</f>
        <v>5554587.301170893</v>
      </c>
      <c r="H19" s="44">
        <f>IF($A19&lt;VARIABLES!$B$38,0,IF($A19=VARIABLES!$B$38,VARIABLES!$B$39+VARIABLES!$B$40,VARIABLES!$B$40))</f>
        <v>40000</v>
      </c>
      <c r="I19" s="44">
        <f>H19*VARIABLES!$B$41</f>
        <v>300</v>
      </c>
      <c r="J19" s="44">
        <f>IF($A19&lt;VARIABLES!$B$38,0,(IF($A19=VARIABLES!$B$38,0,K18)+H19)*C19*VARIABLES!$B$42)</f>
        <v>4156.8108581829119</v>
      </c>
      <c r="K19" s="44">
        <f>IF($A19&lt;VARIABLES!$B$38,0,(IF($A19=VARIABLES!$B$38,0,K18)+H19)*(1+C19)-J19)</f>
        <v>868773.46936022851</v>
      </c>
      <c r="L19" s="44">
        <f>IF($A19&lt;VARIABLES!$B$45,0,IF($A19=VARIABLES!$B$45,VARIABLES!$B$46+VARIABLES!$B$47,VARIABLES!$B$47))</f>
        <v>0</v>
      </c>
      <c r="M19" s="44">
        <f>L19*VARIABLES!$B$48</f>
        <v>0</v>
      </c>
      <c r="N19" s="44">
        <f>IF($A19&lt;VARIABLES!$B$45,0,(IF($A19=VARIABLES!$B$45,0,O18)+L19)*C19*VARIABLES!$B$49)</f>
        <v>46298.623040458275</v>
      </c>
      <c r="O19" s="44">
        <f>IF($A19&lt;VARIABLES!$B$45,0,(IF($A19=VARIABLES!$B$45,0,O18)+L19)*(1+C19)-N19)</f>
        <v>9676412.2154557798</v>
      </c>
      <c r="P19" s="44">
        <f>IF($A19&lt;VARIABLES!$B$52,0,IF($A19=VARIABLES!$B$52,VARIABLES!$B$53+VARIABLES!$B$54,VARIABLES!$B$54))</f>
        <v>20000</v>
      </c>
      <c r="Q19" s="44">
        <f>P19*VARIABLES!$B$55</f>
        <v>150</v>
      </c>
      <c r="R19" s="44">
        <f>IF($A19&lt;VARIABLES!$B$52,0,(IF($A19=VARIABLES!$B$52,0,S18)+P19)*C19*VARIABLES!$B$56)</f>
        <v>534.41653127801226</v>
      </c>
      <c r="S19" s="44">
        <f>IF($A19&lt;VARIABLES!$B$52,0,(IF($A19=VARIABLES!$B$52,0,S18)+P19)*(1+C19)-R19)</f>
        <v>448375.46974225232</v>
      </c>
      <c r="T19" s="45">
        <f>IF($A19&lt;VARIABLES!$B$60,0,MIN(VARIABLES!$B$59,INT(($A19-VARIABLES!$B$60)/VARIABLES!$B$61)+1)*VARIABLES!$B$62)</f>
        <v>14</v>
      </c>
      <c r="U19" s="44">
        <f>T19*VARIABLES!$B$64+IF(AND($A19&gt;=VARIABLES!$B$60,MOD($A19-VARIABLES!$B$60,VARIABLES!$B$61)=0,INT(($A19-VARIABLES!$B$60)/VARIABLES!$B$61)&lt;VARIABLES!$B$59),VARIABLES!$B$62*VARIABLES!$B$63,0)</f>
        <v>120000</v>
      </c>
      <c r="V19" s="44">
        <f>U19*VARIABLES!$B$65</f>
        <v>900</v>
      </c>
      <c r="W19" s="44">
        <f>IF($A19&lt;VARIABLES!$B$60,0,(IF($A19&lt;VARIABLES!$B$60+1,0,X18)+U19)*C19*VARIABLES!$B$66)</f>
        <v>7946.3908372765845</v>
      </c>
      <c r="X19" s="44">
        <f>IF($A19&lt;VARIABLES!$B$60,0,(IF($A19&lt;VARIABLES!$B$60+1,0,X18)+U19)*(1+C19)-W19)</f>
        <v>1660795.6849908063</v>
      </c>
      <c r="Y19" s="44">
        <f t="shared" si="0"/>
        <v>380000</v>
      </c>
      <c r="Z19" s="44">
        <f t="shared" si="1"/>
        <v>2850</v>
      </c>
      <c r="AA19" s="44">
        <f t="shared" si="2"/>
        <v>65556.726727470974</v>
      </c>
      <c r="AB19" s="44">
        <f>(IF($A19=1,0,AD18)*VARIABLES!$B$18*VARIABLES!$B$16*VARIABLES!$B$17)+(Y19*VARIABLES!$B$16*VARIABLES!$B$17)</f>
        <v>2318.0358175532651</v>
      </c>
      <c r="AC19" s="36">
        <f t="shared" si="3"/>
        <v>70724.762545024234</v>
      </c>
      <c r="AD19" s="37">
        <f t="shared" si="4"/>
        <v>18208944.140719958</v>
      </c>
      <c r="AE19" s="44">
        <f>IF($A19=1,VARIABLES!$B$21,0)</f>
        <v>0</v>
      </c>
      <c r="AF19" s="44">
        <f>IF($A19&lt;=3,VARIABLES!$B$22,IF($A19&lt;=6,VARIABLES!$B$23,VARIABLES!$B$24))*(1+VARIABLES!$B$25)^INT(($A19-1)/12)</f>
        <v>48760</v>
      </c>
      <c r="AG19" s="44">
        <f>IF(MOD($A19,12)=0,AD19*VARIABLES!$B$26,0)</f>
        <v>0</v>
      </c>
      <c r="AH19" s="44">
        <f>VARIABLES!$B$27</f>
        <v>5000</v>
      </c>
      <c r="AI19" s="44">
        <f>IF(MOD($A19,12)=0,VARIABLES!$B$28,0)</f>
        <v>0</v>
      </c>
      <c r="AJ19" s="38">
        <f t="shared" si="5"/>
        <v>53760</v>
      </c>
      <c r="AK19" s="39">
        <f>IF(OR($A19&lt;VARIABLES!$B$7,AND($A19&gt;=VARIABLES!$B$8,$A19&lt;VARIABLES!$B$10)),VARIABLES!$B$13,0)</f>
        <v>0</v>
      </c>
      <c r="AL19" s="46">
        <f t="shared" si="6"/>
        <v>16964.762545024234</v>
      </c>
      <c r="AM19" s="46">
        <f t="shared" si="7"/>
        <v>-59915.531129396782</v>
      </c>
      <c r="AN19" s="41">
        <f t="shared" si="8"/>
        <v>0</v>
      </c>
    </row>
    <row r="20" spans="1:40" x14ac:dyDescent="0.2">
      <c r="A20" s="32">
        <v>17</v>
      </c>
      <c r="B20" s="32" t="str">
        <f>TEXT(DATE(VARIABLES!$B$70+INT((VARIABLES!$B$71+$A20-2)/12),MOD(VARIABLES!$B$71+$A20-2,12)+1,1),"mmm-yy")</f>
        <v>Oct-27</v>
      </c>
      <c r="C20" s="33">
        <f>IF($A20&lt;VARIABLES!$B$7,VARIABLES!$B$5/12,IF($A20&lt;VARIABLES!$B$8,VARIABLES!$B$6/12,IF($A20&lt;VARIABLES!$B$10,VARIABLES!$B$9/12,VARIABLES!$B$11/12)))</f>
        <v>4.9999999999999996E-2</v>
      </c>
      <c r="D20" s="34">
        <f>IF($A20&lt;VARIABLES!$B$31,0,IF($A20=VARIABLES!$B$31,VARIABLES!$B$32+VARIABLES!$B$33,VARIABLES!$B$33))</f>
        <v>200000</v>
      </c>
      <c r="E20" s="34">
        <f>D20*VARIABLES!$B$34</f>
        <v>1500</v>
      </c>
      <c r="F20" s="34">
        <f>IF($A20&lt;VARIABLES!$B$31,0,(IF($A20=VARIABLES!$B$31,0,G19)+D20)*C20*VARIABLES!$B$35)</f>
        <v>7193.2341264636161</v>
      </c>
      <c r="G20" s="34">
        <f>IF($A20&lt;VARIABLES!$B$31,0,(IF($A20=VARIABLES!$B$31,0,G19)+D20)*(1+C20)-F20)</f>
        <v>6035123.4321029745</v>
      </c>
      <c r="H20" s="34">
        <f>IF($A20&lt;VARIABLES!$B$38,0,IF($A20=VARIABLES!$B$38,VARIABLES!$B$39+VARIABLES!$B$40,VARIABLES!$B$40))</f>
        <v>40000</v>
      </c>
      <c r="I20" s="34">
        <f>H20*VARIABLES!$B$41</f>
        <v>300</v>
      </c>
      <c r="J20" s="34">
        <f>IF($A20&lt;VARIABLES!$B$38,0,(IF($A20=VARIABLES!$B$38,0,K19)+H20)*C20*VARIABLES!$B$42)</f>
        <v>4543.867346801143</v>
      </c>
      <c r="K20" s="34">
        <f>IF($A20&lt;VARIABLES!$B$38,0,(IF($A20=VARIABLES!$B$38,0,K19)+H20)*(1+C20)-J20)</f>
        <v>949668.27548143885</v>
      </c>
      <c r="L20" s="34">
        <f>IF($A20&lt;VARIABLES!$B$45,0,IF($A20=VARIABLES!$B$45,VARIABLES!$B$46+VARIABLES!$B$47,VARIABLES!$B$47))</f>
        <v>0</v>
      </c>
      <c r="M20" s="34">
        <f>L20*VARIABLES!$B$48</f>
        <v>0</v>
      </c>
      <c r="N20" s="34">
        <f>IF($A20&lt;VARIABLES!$B$45,0,(IF($A20=VARIABLES!$B$45,0,O19)+L20)*C20*VARIABLES!$B$49)</f>
        <v>48382.061077278893</v>
      </c>
      <c r="O20" s="34">
        <f>IF($A20&lt;VARIABLES!$B$45,0,(IF($A20=VARIABLES!$B$45,0,O19)+L20)*(1+C20)-N20)</f>
        <v>10111850.76515129</v>
      </c>
      <c r="P20" s="34">
        <f>IF($A20&lt;VARIABLES!$B$52,0,IF($A20=VARIABLES!$B$52,VARIABLES!$B$53+VARIABLES!$B$54,VARIABLES!$B$54))</f>
        <v>20000</v>
      </c>
      <c r="Q20" s="34">
        <f>P20*VARIABLES!$B$55</f>
        <v>150</v>
      </c>
      <c r="R20" s="34">
        <f>IF($A20&lt;VARIABLES!$B$52,0,(IF($A20=VARIABLES!$B$52,0,S19)+P20)*C20*VARIABLES!$B$56)</f>
        <v>585.46933717781531</v>
      </c>
      <c r="S20" s="34">
        <f>IF($A20&lt;VARIABLES!$B$52,0,(IF($A20=VARIABLES!$B$52,0,S19)+P20)*(1+C20)-R20)</f>
        <v>491208.77389218716</v>
      </c>
      <c r="T20" s="35">
        <f>IF($A20&lt;VARIABLES!$B$60,0,MIN(VARIABLES!$B$59,INT(($A20-VARIABLES!$B$60)/VARIABLES!$B$61)+1)*VARIABLES!$B$62)</f>
        <v>15</v>
      </c>
      <c r="U20" s="34">
        <f>T20*VARIABLES!$B$64+IF(AND($A20&gt;=VARIABLES!$B$60,MOD($A20-VARIABLES!$B$60,VARIABLES!$B$61)=0,INT(($A20-VARIABLES!$B$60)/VARIABLES!$B$61)&lt;VARIABLES!$B$59),VARIABLES!$B$62*VARIABLES!$B$63,0)</f>
        <v>125000</v>
      </c>
      <c r="V20" s="34">
        <f>U20*VARIABLES!$B$65</f>
        <v>937.5</v>
      </c>
      <c r="W20" s="34">
        <f>IF($A20&lt;VARIABLES!$B$60,0,(IF($A20&lt;VARIABLES!$B$60+1,0,X19)+U20)*C20*VARIABLES!$B$66)</f>
        <v>8928.9784249540298</v>
      </c>
      <c r="X20" s="34">
        <f>IF($A20&lt;VARIABLES!$B$60,0,(IF($A20&lt;VARIABLES!$B$60+1,0,X19)+U20)*(1+C20)-W20)</f>
        <v>1866156.4908153927</v>
      </c>
      <c r="Y20" s="34">
        <f t="shared" si="0"/>
        <v>385000</v>
      </c>
      <c r="Z20" s="34">
        <f t="shared" si="1"/>
        <v>2887.5</v>
      </c>
      <c r="AA20" s="34">
        <f t="shared" si="2"/>
        <v>69633.61031267549</v>
      </c>
      <c r="AB20" s="34">
        <f>(IF($A20=1,0,AD19)*VARIABLES!$B$18*VARIABLES!$B$16*VARIABLES!$B$17)+(Y20*VARIABLES!$B$16*VARIABLES!$B$17)</f>
        <v>2468.6180175899949</v>
      </c>
      <c r="AC20" s="36">
        <f t="shared" si="3"/>
        <v>74989.728330265483</v>
      </c>
      <c r="AD20" s="37">
        <f t="shared" si="4"/>
        <v>19454007.737443283</v>
      </c>
      <c r="AE20" s="34">
        <f>IF($A20=1,VARIABLES!$B$21,0)</f>
        <v>0</v>
      </c>
      <c r="AF20" s="34">
        <f>IF($A20&lt;=3,VARIABLES!$B$22,IF($A20&lt;=6,VARIABLES!$B$23,VARIABLES!$B$24))*(1+VARIABLES!$B$25)^INT(($A20-1)/12)</f>
        <v>48760</v>
      </c>
      <c r="AG20" s="34">
        <f>IF(MOD($A20,12)=0,AD20*VARIABLES!$B$26,0)</f>
        <v>0</v>
      </c>
      <c r="AH20" s="34">
        <f>VARIABLES!$B$27</f>
        <v>5000</v>
      </c>
      <c r="AI20" s="34">
        <f>IF(MOD($A20,12)=0,VARIABLES!$B$28,0)</f>
        <v>0</v>
      </c>
      <c r="AJ20" s="38">
        <f t="shared" si="5"/>
        <v>53760</v>
      </c>
      <c r="AK20" s="39">
        <f>IF(OR($A20&lt;VARIABLES!$B$7,AND($A20&gt;=VARIABLES!$B$8,$A20&lt;VARIABLES!$B$10)),VARIABLES!$B$13,0)</f>
        <v>0</v>
      </c>
      <c r="AL20" s="40">
        <f t="shared" si="6"/>
        <v>21229.728330265483</v>
      </c>
      <c r="AM20" s="40">
        <f t="shared" si="7"/>
        <v>-38685.802799131299</v>
      </c>
      <c r="AN20" s="41">
        <f t="shared" si="8"/>
        <v>0</v>
      </c>
    </row>
    <row r="21" spans="1:40" x14ac:dyDescent="0.2">
      <c r="A21" s="42">
        <v>18</v>
      </c>
      <c r="B21" s="42" t="str">
        <f>TEXT(DATE(VARIABLES!$B$70+INT((VARIABLES!$B$71+$A21-2)/12),MOD(VARIABLES!$B$71+$A21-2,12)+1,1),"mmm-yy")</f>
        <v>Nov-27</v>
      </c>
      <c r="C21" s="43">
        <f>IF($A21&lt;VARIABLES!$B$7,VARIABLES!$B$5/12,IF($A21&lt;VARIABLES!$B$8,VARIABLES!$B$6/12,IF($A21&lt;VARIABLES!$B$10,VARIABLES!$B$9/12,VARIABLES!$B$11/12)))</f>
        <v>4.9999999999999996E-2</v>
      </c>
      <c r="D21" s="44">
        <f>IF($A21&lt;VARIABLES!$B$31,0,IF($A21=VARIABLES!$B$31,VARIABLES!$B$32+VARIABLES!$B$33,VARIABLES!$B$33))</f>
        <v>200000</v>
      </c>
      <c r="E21" s="44">
        <f>D21*VARIABLES!$B$34</f>
        <v>1500</v>
      </c>
      <c r="F21" s="44">
        <f>IF($A21&lt;VARIABLES!$B$31,0,(IF($A21=VARIABLES!$B$31,0,G20)+D21)*C21*VARIABLES!$B$35)</f>
        <v>7793.9042901287175</v>
      </c>
      <c r="G21" s="44">
        <f>IF($A21&lt;VARIABLES!$B$31,0,(IF($A21=VARIABLES!$B$31,0,G20)+D21)*(1+C21)-F21)</f>
        <v>6539085.6994179953</v>
      </c>
      <c r="H21" s="44">
        <f>IF($A21&lt;VARIABLES!$B$38,0,IF($A21=VARIABLES!$B$38,VARIABLES!$B$39+VARIABLES!$B$40,VARIABLES!$B$40))</f>
        <v>40000</v>
      </c>
      <c r="I21" s="44">
        <f>H21*VARIABLES!$B$41</f>
        <v>300</v>
      </c>
      <c r="J21" s="44">
        <f>IF($A21&lt;VARIABLES!$B$38,0,(IF($A21=VARIABLES!$B$38,0,K20)+H21)*C21*VARIABLES!$B$42)</f>
        <v>4948.3413774071942</v>
      </c>
      <c r="K21" s="44">
        <f>IF($A21&lt;VARIABLES!$B$38,0,(IF($A21=VARIABLES!$B$38,0,K20)+H21)*(1+C21)-J21)</f>
        <v>1034203.3478781036</v>
      </c>
      <c r="L21" s="44">
        <f>IF($A21&lt;VARIABLES!$B$45,0,IF($A21=VARIABLES!$B$45,VARIABLES!$B$46+VARIABLES!$B$47,VARIABLES!$B$47))</f>
        <v>0</v>
      </c>
      <c r="M21" s="44">
        <f>L21*VARIABLES!$B$48</f>
        <v>0</v>
      </c>
      <c r="N21" s="44">
        <f>IF($A21&lt;VARIABLES!$B$45,0,(IF($A21=VARIABLES!$B$45,0,O20)+L21)*C21*VARIABLES!$B$49)</f>
        <v>50559.253825756452</v>
      </c>
      <c r="O21" s="44">
        <f>IF($A21&lt;VARIABLES!$B$45,0,(IF($A21=VARIABLES!$B$45,0,O20)+L21)*(1+C21)-N21)</f>
        <v>10566884.0495831</v>
      </c>
      <c r="P21" s="44">
        <f>IF($A21&lt;VARIABLES!$B$52,0,IF($A21=VARIABLES!$B$52,VARIABLES!$B$53+VARIABLES!$B$54,VARIABLES!$B$54))</f>
        <v>20000</v>
      </c>
      <c r="Q21" s="44">
        <f>P21*VARIABLES!$B$55</f>
        <v>150</v>
      </c>
      <c r="R21" s="44">
        <f>IF($A21&lt;VARIABLES!$B$52,0,(IF($A21=VARIABLES!$B$52,0,S20)+P21)*C21*VARIABLES!$B$56)</f>
        <v>639.01096736523391</v>
      </c>
      <c r="S21" s="44">
        <f>IF($A21&lt;VARIABLES!$B$52,0,(IF($A21=VARIABLES!$B$52,0,S20)+P21)*(1+C21)-R21)</f>
        <v>536130.20161943126</v>
      </c>
      <c r="T21" s="45">
        <f>IF($A21&lt;VARIABLES!$B$60,0,MIN(VARIABLES!$B$59,INT(($A21-VARIABLES!$B$60)/VARIABLES!$B$61)+1)*VARIABLES!$B$62)</f>
        <v>16</v>
      </c>
      <c r="U21" s="44">
        <f>T21*VARIABLES!$B$64+IF(AND($A21&gt;=VARIABLES!$B$60,MOD($A21-VARIABLES!$B$60,VARIABLES!$B$61)=0,INT(($A21-VARIABLES!$B$60)/VARIABLES!$B$61)&lt;VARIABLES!$B$59),VARIABLES!$B$62*VARIABLES!$B$63,0)</f>
        <v>130000</v>
      </c>
      <c r="V21" s="44">
        <f>U21*VARIABLES!$B$65</f>
        <v>975</v>
      </c>
      <c r="W21" s="44">
        <f>IF($A21&lt;VARIABLES!$B$60,0,(IF($A21&lt;VARIABLES!$B$60+1,0,X20)+U21)*C21*VARIABLES!$B$66)</f>
        <v>9980.7824540769634</v>
      </c>
      <c r="X21" s="44">
        <f>IF($A21&lt;VARIABLES!$B$60,0,(IF($A21&lt;VARIABLES!$B$60+1,0,X20)+U21)*(1+C21)-W21)</f>
        <v>2085983.5329020855</v>
      </c>
      <c r="Y21" s="44">
        <f t="shared" si="0"/>
        <v>390000</v>
      </c>
      <c r="Z21" s="44">
        <f t="shared" si="1"/>
        <v>2925</v>
      </c>
      <c r="AA21" s="44">
        <f t="shared" si="2"/>
        <v>73921.292914734557</v>
      </c>
      <c r="AB21" s="44">
        <f>(IF($A21=1,0,AD20)*VARIABLES!$B$18*VARIABLES!$B$16*VARIABLES!$B$17)+(Y21*VARIABLES!$B$16*VARIABLES!$B$17)</f>
        <v>2626.7509671804105</v>
      </c>
      <c r="AC21" s="36">
        <f t="shared" si="3"/>
        <v>79473.043881914971</v>
      </c>
      <c r="AD21" s="37">
        <f t="shared" si="4"/>
        <v>20762286.831400715</v>
      </c>
      <c r="AE21" s="44">
        <f>IF($A21=1,VARIABLES!$B$21,0)</f>
        <v>0</v>
      </c>
      <c r="AF21" s="44">
        <f>IF($A21&lt;=3,VARIABLES!$B$22,IF($A21&lt;=6,VARIABLES!$B$23,VARIABLES!$B$24))*(1+VARIABLES!$B$25)^INT(($A21-1)/12)</f>
        <v>48760</v>
      </c>
      <c r="AG21" s="44">
        <f>IF(MOD($A21,12)=0,AD21*VARIABLES!$B$26,0)</f>
        <v>0</v>
      </c>
      <c r="AH21" s="44">
        <f>VARIABLES!$B$27</f>
        <v>5000</v>
      </c>
      <c r="AI21" s="44">
        <f>IF(MOD($A21,12)=0,VARIABLES!$B$28,0)</f>
        <v>0</v>
      </c>
      <c r="AJ21" s="38">
        <f t="shared" si="5"/>
        <v>53760</v>
      </c>
      <c r="AK21" s="39">
        <f>IF(OR($A21&lt;VARIABLES!$B$7,AND($A21&gt;=VARIABLES!$B$8,$A21&lt;VARIABLES!$B$10)),VARIABLES!$B$13,0)</f>
        <v>0</v>
      </c>
      <c r="AL21" s="46">
        <f t="shared" si="6"/>
        <v>25713.043881914971</v>
      </c>
      <c r="AM21" s="46">
        <f t="shared" si="7"/>
        <v>-12972.758917216328</v>
      </c>
      <c r="AN21" s="41">
        <f t="shared" si="8"/>
        <v>0</v>
      </c>
    </row>
    <row r="22" spans="1:40" x14ac:dyDescent="0.2">
      <c r="A22" s="32">
        <v>19</v>
      </c>
      <c r="B22" s="32" t="str">
        <f>TEXT(DATE(VARIABLES!$B$70+INT((VARIABLES!$B$71+$A22-2)/12),MOD(VARIABLES!$B$71+$A22-2,12)+1,1),"mmm-yy")</f>
        <v>Dec-27</v>
      </c>
      <c r="C22" s="33">
        <f>IF($A22&lt;VARIABLES!$B$7,VARIABLES!$B$5/12,IF($A22&lt;VARIABLES!$B$8,VARIABLES!$B$6/12,IF($A22&lt;VARIABLES!$B$10,VARIABLES!$B$9/12,VARIABLES!$B$11/12)))</f>
        <v>4.9999999999999996E-2</v>
      </c>
      <c r="D22" s="34">
        <f>IF($A22&lt;VARIABLES!$B$31,0,IF($A22=VARIABLES!$B$31,VARIABLES!$B$32+VARIABLES!$B$33,VARIABLES!$B$33))</f>
        <v>200000</v>
      </c>
      <c r="E22" s="34">
        <f>D22*VARIABLES!$B$34</f>
        <v>1500</v>
      </c>
      <c r="F22" s="34">
        <f>IF($A22&lt;VARIABLES!$B$31,0,(IF($A22=VARIABLES!$B$31,0,G21)+D22)*C22*VARIABLES!$B$35)</f>
        <v>8423.8571242724938</v>
      </c>
      <c r="G22" s="34">
        <f>IF($A22&lt;VARIABLES!$B$31,0,(IF($A22=VARIABLES!$B$31,0,G21)+D22)*(1+C22)-F22)</f>
        <v>7067616.1272646226</v>
      </c>
      <c r="H22" s="34">
        <f>IF($A22&lt;VARIABLES!$B$38,0,IF($A22=VARIABLES!$B$38,VARIABLES!$B$39+VARIABLES!$B$40,VARIABLES!$B$40))</f>
        <v>40000</v>
      </c>
      <c r="I22" s="34">
        <f>H22*VARIABLES!$B$41</f>
        <v>300</v>
      </c>
      <c r="J22" s="34">
        <f>IF($A22&lt;VARIABLES!$B$38,0,(IF($A22=VARIABLES!$B$38,0,K21)+H22)*C22*VARIABLES!$B$42)</f>
        <v>5371.0167393905176</v>
      </c>
      <c r="K22" s="34">
        <f>IF($A22&lt;VARIABLES!$B$38,0,(IF($A22=VARIABLES!$B$38,0,K21)+H22)*(1+C22)-J22)</f>
        <v>1122542.4985326184</v>
      </c>
      <c r="L22" s="34">
        <f>IF($A22&lt;VARIABLES!$B$45,0,IF($A22=VARIABLES!$B$45,VARIABLES!$B$46+VARIABLES!$B$47,VARIABLES!$B$47))</f>
        <v>0</v>
      </c>
      <c r="M22" s="34">
        <f>L22*VARIABLES!$B$48</f>
        <v>0</v>
      </c>
      <c r="N22" s="34">
        <f>IF($A22&lt;VARIABLES!$B$45,0,(IF($A22=VARIABLES!$B$45,0,O21)+L22)*C22*VARIABLES!$B$49)</f>
        <v>52834.420247915492</v>
      </c>
      <c r="O22" s="34">
        <f>IF($A22&lt;VARIABLES!$B$45,0,(IF($A22=VARIABLES!$B$45,0,O21)+L22)*(1+C22)-N22)</f>
        <v>11042393.831814339</v>
      </c>
      <c r="P22" s="34">
        <f>IF($A22&lt;VARIABLES!$B$52,0,IF($A22=VARIABLES!$B$52,VARIABLES!$B$53+VARIABLES!$B$54,VARIABLES!$B$54))</f>
        <v>20000</v>
      </c>
      <c r="Q22" s="34">
        <f>P22*VARIABLES!$B$55</f>
        <v>150</v>
      </c>
      <c r="R22" s="34">
        <f>IF($A22&lt;VARIABLES!$B$52,0,(IF($A22=VARIABLES!$B$52,0,S21)+P22)*C22*VARIABLES!$B$56)</f>
        <v>695.16275202428915</v>
      </c>
      <c r="S22" s="34">
        <f>IF($A22&lt;VARIABLES!$B$52,0,(IF($A22=VARIABLES!$B$52,0,S21)+P22)*(1+C22)-R22)</f>
        <v>583241.54894837865</v>
      </c>
      <c r="T22" s="35">
        <f>IF($A22&lt;VARIABLES!$B$60,0,MIN(VARIABLES!$B$59,INT(($A22-VARIABLES!$B$60)/VARIABLES!$B$61)+1)*VARIABLES!$B$62)</f>
        <v>17</v>
      </c>
      <c r="U22" s="34">
        <f>T22*VARIABLES!$B$64+IF(AND($A22&gt;=VARIABLES!$B$60,MOD($A22-VARIABLES!$B$60,VARIABLES!$B$61)=0,INT(($A22-VARIABLES!$B$60)/VARIABLES!$B$61)&lt;VARIABLES!$B$59),VARIABLES!$B$62*VARIABLES!$B$63,0)</f>
        <v>135000</v>
      </c>
      <c r="V22" s="34">
        <f>U22*VARIABLES!$B$65</f>
        <v>1012.5</v>
      </c>
      <c r="W22" s="34">
        <f>IF($A22&lt;VARIABLES!$B$60,0,(IF($A22&lt;VARIABLES!$B$60+1,0,X21)+U22)*C22*VARIABLES!$B$66)</f>
        <v>11104.917664510425</v>
      </c>
      <c r="X22" s="34">
        <f>IF($A22&lt;VARIABLES!$B$60,0,(IF($A22&lt;VARIABLES!$B$60+1,0,X21)+U22)*(1+C22)-W22)</f>
        <v>2320927.7918826793</v>
      </c>
      <c r="Y22" s="34">
        <f t="shared" si="0"/>
        <v>395000</v>
      </c>
      <c r="Z22" s="34">
        <f t="shared" si="1"/>
        <v>2962.5</v>
      </c>
      <c r="AA22" s="34">
        <f t="shared" si="2"/>
        <v>78429.374528113229</v>
      </c>
      <c r="AB22" s="34">
        <f>(IF($A22=1,0,AD21)*VARIABLES!$B$18*VARIABLES!$B$16*VARIABLES!$B$17)+(Y22*VARIABLES!$B$16*VARIABLES!$B$17)</f>
        <v>2792.7858539250892</v>
      </c>
      <c r="AC22" s="36">
        <f t="shared" si="3"/>
        <v>84184.660382038317</v>
      </c>
      <c r="AD22" s="37">
        <f t="shared" si="4"/>
        <v>22136721.798442636</v>
      </c>
      <c r="AE22" s="34">
        <f>IF($A22=1,VARIABLES!$B$21,0)</f>
        <v>0</v>
      </c>
      <c r="AF22" s="34">
        <f>IF($A22&lt;=3,VARIABLES!$B$22,IF($A22&lt;=6,VARIABLES!$B$23,VARIABLES!$B$24))*(1+VARIABLES!$B$25)^INT(($A22-1)/12)</f>
        <v>48760</v>
      </c>
      <c r="AG22" s="34">
        <f>IF(MOD($A22,12)=0,AD22*VARIABLES!$B$26,0)</f>
        <v>0</v>
      </c>
      <c r="AH22" s="34">
        <f>VARIABLES!$B$27</f>
        <v>5000</v>
      </c>
      <c r="AI22" s="34">
        <f>IF(MOD($A22,12)=0,VARIABLES!$B$28,0)</f>
        <v>0</v>
      </c>
      <c r="AJ22" s="38">
        <f t="shared" si="5"/>
        <v>53760</v>
      </c>
      <c r="AK22" s="39">
        <f>IF(OR($A22&lt;VARIABLES!$B$7,AND($A22&gt;=VARIABLES!$B$8,$A22&lt;VARIABLES!$B$10)),VARIABLES!$B$13,0)</f>
        <v>0</v>
      </c>
      <c r="AL22" s="40">
        <f t="shared" si="6"/>
        <v>30424.660382038317</v>
      </c>
      <c r="AM22" s="40">
        <f t="shared" si="7"/>
        <v>17451.901464821989</v>
      </c>
      <c r="AN22" s="41">
        <f t="shared" si="8"/>
        <v>0</v>
      </c>
    </row>
    <row r="23" spans="1:40" x14ac:dyDescent="0.2">
      <c r="A23" s="42">
        <v>20</v>
      </c>
      <c r="B23" s="42" t="str">
        <f>TEXT(DATE(VARIABLES!$B$70+INT((VARIABLES!$B$71+$A23-2)/12),MOD(VARIABLES!$B$71+$A23-2,12)+1,1),"mmm-yy")</f>
        <v>Jan-28</v>
      </c>
      <c r="C23" s="43">
        <f>IF($A23&lt;VARIABLES!$B$7,VARIABLES!$B$5/12,IF($A23&lt;VARIABLES!$B$8,VARIABLES!$B$6/12,IF($A23&lt;VARIABLES!$B$10,VARIABLES!$B$9/12,VARIABLES!$B$11/12)))</f>
        <v>4.9999999999999996E-2</v>
      </c>
      <c r="D23" s="44">
        <f>IF($A23&lt;VARIABLES!$B$31,0,IF($A23=VARIABLES!$B$31,VARIABLES!$B$32+VARIABLES!$B$33,VARIABLES!$B$33))</f>
        <v>200000</v>
      </c>
      <c r="E23" s="44">
        <f>D23*VARIABLES!$B$34</f>
        <v>1500</v>
      </c>
      <c r="F23" s="44">
        <f>IF($A23&lt;VARIABLES!$B$31,0,(IF($A23=VARIABLES!$B$31,0,G22)+D23)*C23*VARIABLES!$B$35)</f>
        <v>9084.5201590807774</v>
      </c>
      <c r="G23" s="44">
        <f>IF($A23&lt;VARIABLES!$B$31,0,(IF($A23=VARIABLES!$B$31,0,G22)+D23)*(1+C23)-F23)</f>
        <v>7621912.4134687735</v>
      </c>
      <c r="H23" s="44">
        <f>IF($A23&lt;VARIABLES!$B$38,0,IF($A23=VARIABLES!$B$38,VARIABLES!$B$39+VARIABLES!$B$40,VARIABLES!$B$40))</f>
        <v>40000</v>
      </c>
      <c r="I23" s="44">
        <f>H23*VARIABLES!$B$41</f>
        <v>300</v>
      </c>
      <c r="J23" s="44">
        <f>IF($A23&lt;VARIABLES!$B$38,0,(IF($A23=VARIABLES!$B$38,0,K22)+H23)*C23*VARIABLES!$B$42)</f>
        <v>5812.7124926630922</v>
      </c>
      <c r="K23" s="44">
        <f>IF($A23&lt;VARIABLES!$B$38,0,(IF($A23=VARIABLES!$B$38,0,K22)+H23)*(1+C23)-J23)</f>
        <v>1214856.9109665861</v>
      </c>
      <c r="L23" s="44">
        <f>IF($A23&lt;VARIABLES!$B$45,0,IF($A23=VARIABLES!$B$45,VARIABLES!$B$46+VARIABLES!$B$47,VARIABLES!$B$47))</f>
        <v>0</v>
      </c>
      <c r="M23" s="44">
        <f>L23*VARIABLES!$B$48</f>
        <v>0</v>
      </c>
      <c r="N23" s="44">
        <f>IF($A23&lt;VARIABLES!$B$45,0,(IF($A23=VARIABLES!$B$45,0,O22)+L23)*C23*VARIABLES!$B$49)</f>
        <v>55211.969159071698</v>
      </c>
      <c r="O23" s="44">
        <f>IF($A23&lt;VARIABLES!$B$45,0,(IF($A23=VARIABLES!$B$45,0,O22)+L23)*(1+C23)-N23)</f>
        <v>11539301.554245984</v>
      </c>
      <c r="P23" s="44">
        <f>IF($A23&lt;VARIABLES!$B$52,0,IF($A23=VARIABLES!$B$52,VARIABLES!$B$53+VARIABLES!$B$54,VARIABLES!$B$54))</f>
        <v>20000</v>
      </c>
      <c r="Q23" s="44">
        <f>P23*VARIABLES!$B$55</f>
        <v>150</v>
      </c>
      <c r="R23" s="44">
        <f>IF($A23&lt;VARIABLES!$B$52,0,(IF($A23=VARIABLES!$B$52,0,S22)+P23)*C23*VARIABLES!$B$56)</f>
        <v>754.05193618547332</v>
      </c>
      <c r="S23" s="44">
        <f>IF($A23&lt;VARIABLES!$B$52,0,(IF($A23=VARIABLES!$B$52,0,S22)+P23)*(1+C23)-R23)</f>
        <v>632649.57445961214</v>
      </c>
      <c r="T23" s="45">
        <f>IF($A23&lt;VARIABLES!$B$60,0,MIN(VARIABLES!$B$59,INT(($A23-VARIABLES!$B$60)/VARIABLES!$B$61)+1)*VARIABLES!$B$62)</f>
        <v>18</v>
      </c>
      <c r="U23" s="44">
        <f>T23*VARIABLES!$B$64+IF(AND($A23&gt;=VARIABLES!$B$60,MOD($A23-VARIABLES!$B$60,VARIABLES!$B$61)=0,INT(($A23-VARIABLES!$B$60)/VARIABLES!$B$61)&lt;VARIABLES!$B$59),VARIABLES!$B$62*VARIABLES!$B$63,0)</f>
        <v>140000</v>
      </c>
      <c r="V23" s="44">
        <f>U23*VARIABLES!$B$65</f>
        <v>1050</v>
      </c>
      <c r="W23" s="44">
        <f>IF($A23&lt;VARIABLES!$B$60,0,(IF($A23&lt;VARIABLES!$B$60+1,0,X22)+U23)*C23*VARIABLES!$B$66)</f>
        <v>12304.638959413396</v>
      </c>
      <c r="X23" s="44">
        <f>IF($A23&lt;VARIABLES!$B$60,0,(IF($A23&lt;VARIABLES!$B$60+1,0,X22)+U23)*(1+C23)-W23)</f>
        <v>2571669.5425173999</v>
      </c>
      <c r="Y23" s="44">
        <f t="shared" si="0"/>
        <v>400000</v>
      </c>
      <c r="Z23" s="44">
        <f t="shared" si="1"/>
        <v>3000</v>
      </c>
      <c r="AA23" s="44">
        <f t="shared" si="2"/>
        <v>83167.892706414437</v>
      </c>
      <c r="AB23" s="44">
        <f>(IF($A23=1,0,AD22)*VARIABLES!$B$18*VARIABLES!$B$16*VARIABLES!$B$17)+(Y23*VARIABLES!$B$16*VARIABLES!$B$17)</f>
        <v>2967.0902248053294</v>
      </c>
      <c r="AC23" s="36">
        <f t="shared" si="3"/>
        <v>89134.982931219769</v>
      </c>
      <c r="AD23" s="37">
        <f t="shared" si="4"/>
        <v>23580389.995658357</v>
      </c>
      <c r="AE23" s="44">
        <f>IF($A23=1,VARIABLES!$B$21,0)</f>
        <v>0</v>
      </c>
      <c r="AF23" s="44">
        <f>IF($A23&lt;=3,VARIABLES!$B$22,IF($A23&lt;=6,VARIABLES!$B$23,VARIABLES!$B$24))*(1+VARIABLES!$B$25)^INT(($A23-1)/12)</f>
        <v>48760</v>
      </c>
      <c r="AG23" s="44">
        <f>IF(MOD($A23,12)=0,AD23*VARIABLES!$B$26,0)</f>
        <v>0</v>
      </c>
      <c r="AH23" s="44">
        <f>VARIABLES!$B$27</f>
        <v>5000</v>
      </c>
      <c r="AI23" s="44">
        <f>IF(MOD($A23,12)=0,VARIABLES!$B$28,0)</f>
        <v>0</v>
      </c>
      <c r="AJ23" s="38">
        <f t="shared" si="5"/>
        <v>53760</v>
      </c>
      <c r="AK23" s="39">
        <f>IF(OR($A23&lt;VARIABLES!$B$7,AND($A23&gt;=VARIABLES!$B$8,$A23&lt;VARIABLES!$B$10)),VARIABLES!$B$13,0)</f>
        <v>0</v>
      </c>
      <c r="AL23" s="46">
        <f t="shared" si="6"/>
        <v>35374.982931219769</v>
      </c>
      <c r="AM23" s="46">
        <f t="shared" si="7"/>
        <v>52826.884396041758</v>
      </c>
      <c r="AN23" s="41">
        <f t="shared" si="8"/>
        <v>0</v>
      </c>
    </row>
    <row r="24" spans="1:40" x14ac:dyDescent="0.2">
      <c r="A24" s="32">
        <v>21</v>
      </c>
      <c r="B24" s="32" t="str">
        <f>TEXT(DATE(VARIABLES!$B$70+INT((VARIABLES!$B$71+$A24-2)/12),MOD(VARIABLES!$B$71+$A24-2,12)+1,1),"mmm-yy")</f>
        <v>Feb-28</v>
      </c>
      <c r="C24" s="33">
        <f>IF($A24&lt;VARIABLES!$B$7,VARIABLES!$B$5/12,IF($A24&lt;VARIABLES!$B$8,VARIABLES!$B$6/12,IF($A24&lt;VARIABLES!$B$10,VARIABLES!$B$9/12,VARIABLES!$B$11/12)))</f>
        <v>4.9999999999999996E-2</v>
      </c>
      <c r="D24" s="34">
        <f>IF($A24&lt;VARIABLES!$B$31,0,IF($A24=VARIABLES!$B$31,VARIABLES!$B$32+VARIABLES!$B$33,VARIABLES!$B$33))</f>
        <v>200000</v>
      </c>
      <c r="E24" s="34">
        <f>D24*VARIABLES!$B$34</f>
        <v>1500</v>
      </c>
      <c r="F24" s="34">
        <f>IF($A24&lt;VARIABLES!$B$31,0,(IF($A24=VARIABLES!$B$31,0,G23)+D24)*C24*VARIABLES!$B$35)</f>
        <v>9777.390516835967</v>
      </c>
      <c r="G24" s="34">
        <f>IF($A24&lt;VARIABLES!$B$31,0,(IF($A24=VARIABLES!$B$31,0,G23)+D24)*(1+C24)-F24)</f>
        <v>8203230.6436253767</v>
      </c>
      <c r="H24" s="34">
        <f>IF($A24&lt;VARIABLES!$B$38,0,IF($A24=VARIABLES!$B$38,VARIABLES!$B$39+VARIABLES!$B$40,VARIABLES!$B$40))</f>
        <v>40000</v>
      </c>
      <c r="I24" s="34">
        <f>H24*VARIABLES!$B$41</f>
        <v>300</v>
      </c>
      <c r="J24" s="34">
        <f>IF($A24&lt;VARIABLES!$B$38,0,(IF($A24=VARIABLES!$B$38,0,K23)+H24)*C24*VARIABLES!$B$42)</f>
        <v>6274.2845548329306</v>
      </c>
      <c r="K24" s="34">
        <f>IF($A24&lt;VARIABLES!$B$38,0,(IF($A24=VARIABLES!$B$38,0,K23)+H24)*(1+C24)-J24)</f>
        <v>1311325.4719600827</v>
      </c>
      <c r="L24" s="34">
        <f>IF($A24&lt;VARIABLES!$B$45,0,IF($A24=VARIABLES!$B$45,VARIABLES!$B$46+VARIABLES!$B$47,VARIABLES!$B$47))</f>
        <v>0</v>
      </c>
      <c r="M24" s="34">
        <f>L24*VARIABLES!$B$48</f>
        <v>0</v>
      </c>
      <c r="N24" s="34">
        <f>IF($A24&lt;VARIABLES!$B$45,0,(IF($A24=VARIABLES!$B$45,0,O23)+L24)*C24*VARIABLES!$B$49)</f>
        <v>57696.507771229924</v>
      </c>
      <c r="O24" s="34">
        <f>IF($A24&lt;VARIABLES!$B$45,0,(IF($A24=VARIABLES!$B$45,0,O23)+L24)*(1+C24)-N24)</f>
        <v>12058570.124187054</v>
      </c>
      <c r="P24" s="34">
        <f>IF($A24&lt;VARIABLES!$B$52,0,IF($A24=VARIABLES!$B$52,VARIABLES!$B$53+VARIABLES!$B$54,VARIABLES!$B$54))</f>
        <v>20000</v>
      </c>
      <c r="Q24" s="34">
        <f>P24*VARIABLES!$B$55</f>
        <v>150</v>
      </c>
      <c r="R24" s="34">
        <f>IF($A24&lt;VARIABLES!$B$52,0,(IF($A24=VARIABLES!$B$52,0,S23)+P24)*C24*VARIABLES!$B$56)</f>
        <v>815.81196807451511</v>
      </c>
      <c r="S24" s="34">
        <f>IF($A24&lt;VARIABLES!$B$52,0,(IF($A24=VARIABLES!$B$52,0,S23)+P24)*(1+C24)-R24)</f>
        <v>684466.2412145182</v>
      </c>
      <c r="T24" s="35">
        <f>IF($A24&lt;VARIABLES!$B$60,0,MIN(VARIABLES!$B$59,INT(($A24-VARIABLES!$B$60)/VARIABLES!$B$61)+1)*VARIABLES!$B$62)</f>
        <v>19</v>
      </c>
      <c r="U24" s="34">
        <f>T24*VARIABLES!$B$64+IF(AND($A24&gt;=VARIABLES!$B$60,MOD($A24-VARIABLES!$B$60,VARIABLES!$B$61)=0,INT(($A24-VARIABLES!$B$60)/VARIABLES!$B$61)&lt;VARIABLES!$B$59),VARIABLES!$B$62*VARIABLES!$B$63,0)</f>
        <v>145000</v>
      </c>
      <c r="V24" s="34">
        <f>U24*VARIABLES!$B$65</f>
        <v>1087.5</v>
      </c>
      <c r="W24" s="34">
        <f>IF($A24&lt;VARIABLES!$B$60,0,(IF($A24&lt;VARIABLES!$B$60+1,0,X23)+U24)*C24*VARIABLES!$B$66)</f>
        <v>13583.347712586998</v>
      </c>
      <c r="X24" s="34">
        <f>IF($A24&lt;VARIABLES!$B$60,0,(IF($A24&lt;VARIABLES!$B$60+1,0,X23)+U24)*(1+C24)-W24)</f>
        <v>2838919.6719306828</v>
      </c>
      <c r="Y24" s="34">
        <f t="shared" si="0"/>
        <v>405000</v>
      </c>
      <c r="Z24" s="34">
        <f t="shared" si="1"/>
        <v>3037.5</v>
      </c>
      <c r="AA24" s="34">
        <f t="shared" si="2"/>
        <v>88147.342523560335</v>
      </c>
      <c r="AB24" s="34">
        <f>(IF($A24=1,0,AD23)*VARIABLES!$B$18*VARIABLES!$B$16*VARIABLES!$B$17)+(Y24*VARIABLES!$B$16*VARIABLES!$B$17)</f>
        <v>3150.0487494572944</v>
      </c>
      <c r="AC24" s="36">
        <f t="shared" si="3"/>
        <v>94334.891273017623</v>
      </c>
      <c r="AD24" s="37">
        <f t="shared" si="4"/>
        <v>25096512.152917713</v>
      </c>
      <c r="AE24" s="34">
        <f>IF($A24=1,VARIABLES!$B$21,0)</f>
        <v>0</v>
      </c>
      <c r="AF24" s="34">
        <f>IF($A24&lt;=3,VARIABLES!$B$22,IF($A24&lt;=6,VARIABLES!$B$23,VARIABLES!$B$24))*(1+VARIABLES!$B$25)^INT(($A24-1)/12)</f>
        <v>48760</v>
      </c>
      <c r="AG24" s="34">
        <f>IF(MOD($A24,12)=0,AD24*VARIABLES!$B$26,0)</f>
        <v>0</v>
      </c>
      <c r="AH24" s="34">
        <f>VARIABLES!$B$27</f>
        <v>5000</v>
      </c>
      <c r="AI24" s="34">
        <f>IF(MOD($A24,12)=0,VARIABLES!$B$28,0)</f>
        <v>0</v>
      </c>
      <c r="AJ24" s="38">
        <f t="shared" si="5"/>
        <v>53760</v>
      </c>
      <c r="AK24" s="39">
        <f>IF(OR($A24&lt;VARIABLES!$B$7,AND($A24&gt;=VARIABLES!$B$8,$A24&lt;VARIABLES!$B$10)),VARIABLES!$B$13,0)</f>
        <v>0</v>
      </c>
      <c r="AL24" s="40">
        <f t="shared" si="6"/>
        <v>40574.891273017623</v>
      </c>
      <c r="AM24" s="40">
        <f t="shared" si="7"/>
        <v>93401.775669059381</v>
      </c>
      <c r="AN24" s="41">
        <f t="shared" si="8"/>
        <v>0</v>
      </c>
    </row>
    <row r="25" spans="1:40" x14ac:dyDescent="0.2">
      <c r="A25" s="42">
        <v>22</v>
      </c>
      <c r="B25" s="42" t="str">
        <f>TEXT(DATE(VARIABLES!$B$70+INT((VARIABLES!$B$71+$A25-2)/12),MOD(VARIABLES!$B$71+$A25-2,12)+1,1),"mmm-yy")</f>
        <v>Mar-28</v>
      </c>
      <c r="C25" s="43">
        <f>IF($A25&lt;VARIABLES!$B$7,VARIABLES!$B$5/12,IF($A25&lt;VARIABLES!$B$8,VARIABLES!$B$6/12,IF($A25&lt;VARIABLES!$B$10,VARIABLES!$B$9/12,VARIABLES!$B$11/12)))</f>
        <v>4.9999999999999996E-2</v>
      </c>
      <c r="D25" s="44">
        <f>IF($A25&lt;VARIABLES!$B$31,0,IF($A25=VARIABLES!$B$31,VARIABLES!$B$32+VARIABLES!$B$33,VARIABLES!$B$33))</f>
        <v>200000</v>
      </c>
      <c r="E25" s="44">
        <f>D25*VARIABLES!$B$34</f>
        <v>1500</v>
      </c>
      <c r="F25" s="44">
        <f>IF($A25&lt;VARIABLES!$B$31,0,(IF($A25=VARIABLES!$B$31,0,G24)+D25)*C25*VARIABLES!$B$35)</f>
        <v>10504.038304531721</v>
      </c>
      <c r="G25" s="44">
        <f>IF($A25&lt;VARIABLES!$B$31,0,(IF($A25=VARIABLES!$B$31,0,G24)+D25)*(1+C25)-F25)</f>
        <v>8812888.1375021134</v>
      </c>
      <c r="H25" s="44">
        <f>IF($A25&lt;VARIABLES!$B$38,0,IF($A25=VARIABLES!$B$38,VARIABLES!$B$39+VARIABLES!$B$40,VARIABLES!$B$40))</f>
        <v>40000</v>
      </c>
      <c r="I25" s="44">
        <f>H25*VARIABLES!$B$41</f>
        <v>300</v>
      </c>
      <c r="J25" s="44">
        <f>IF($A25&lt;VARIABLES!$B$38,0,(IF($A25=VARIABLES!$B$38,0,K24)+H25)*C25*VARIABLES!$B$42)</f>
        <v>6756.6273598004136</v>
      </c>
      <c r="K25" s="44">
        <f>IF($A25&lt;VARIABLES!$B$38,0,(IF($A25=VARIABLES!$B$38,0,K24)+H25)*(1+C25)-J25)</f>
        <v>1412135.1181982863</v>
      </c>
      <c r="L25" s="44">
        <f>IF($A25&lt;VARIABLES!$B$45,0,IF($A25=VARIABLES!$B$45,VARIABLES!$B$46+VARIABLES!$B$47,VARIABLES!$B$47))</f>
        <v>0</v>
      </c>
      <c r="M25" s="44">
        <f>L25*VARIABLES!$B$48</f>
        <v>0</v>
      </c>
      <c r="N25" s="44">
        <f>IF($A25&lt;VARIABLES!$B$45,0,(IF($A25=VARIABLES!$B$45,0,O24)+L25)*C25*VARIABLES!$B$49)</f>
        <v>60292.850620935264</v>
      </c>
      <c r="O25" s="44">
        <f>IF($A25&lt;VARIABLES!$B$45,0,(IF($A25=VARIABLES!$B$45,0,O24)+L25)*(1+C25)-N25)</f>
        <v>12601205.779775472</v>
      </c>
      <c r="P25" s="44">
        <f>IF($A25&lt;VARIABLES!$B$52,0,IF($A25=VARIABLES!$B$52,VARIABLES!$B$53+VARIABLES!$B$54,VARIABLES!$B$54))</f>
        <v>20000</v>
      </c>
      <c r="Q25" s="44">
        <f>P25*VARIABLES!$B$55</f>
        <v>150</v>
      </c>
      <c r="R25" s="44">
        <f>IF($A25&lt;VARIABLES!$B$52,0,(IF($A25=VARIABLES!$B$52,0,S24)+P25)*C25*VARIABLES!$B$56)</f>
        <v>880.58280151814768</v>
      </c>
      <c r="S25" s="44">
        <f>IF($A25&lt;VARIABLES!$B$52,0,(IF($A25=VARIABLES!$B$52,0,S24)+P25)*(1+C25)-R25)</f>
        <v>738808.97047372605</v>
      </c>
      <c r="T25" s="45">
        <f>IF($A25&lt;VARIABLES!$B$60,0,MIN(VARIABLES!$B$59,INT(($A25-VARIABLES!$B$60)/VARIABLES!$B$61)+1)*VARIABLES!$B$62)</f>
        <v>20</v>
      </c>
      <c r="U25" s="44">
        <f>T25*VARIABLES!$B$64+IF(AND($A25&gt;=VARIABLES!$B$60,MOD($A25-VARIABLES!$B$60,VARIABLES!$B$61)=0,INT(($A25-VARIABLES!$B$60)/VARIABLES!$B$61)&lt;VARIABLES!$B$59),VARIABLES!$B$62*VARIABLES!$B$63,0)</f>
        <v>150000</v>
      </c>
      <c r="V25" s="44">
        <f>U25*VARIABLES!$B$65</f>
        <v>1125</v>
      </c>
      <c r="W25" s="44">
        <f>IF($A25&lt;VARIABLES!$B$60,0,(IF($A25&lt;VARIABLES!$B$60+1,0,X24)+U25)*C25*VARIABLES!$B$66)</f>
        <v>14944.598359653413</v>
      </c>
      <c r="X25" s="44">
        <f>IF($A25&lt;VARIABLES!$B$60,0,(IF($A25&lt;VARIABLES!$B$60+1,0,X24)+U25)*(1+C25)-W25)</f>
        <v>3123421.0571675641</v>
      </c>
      <c r="Y25" s="44">
        <f t="shared" si="0"/>
        <v>410000</v>
      </c>
      <c r="Z25" s="44">
        <f t="shared" si="1"/>
        <v>3075</v>
      </c>
      <c r="AA25" s="44">
        <f t="shared" si="2"/>
        <v>93378.69744643895</v>
      </c>
      <c r="AB25" s="44">
        <f>(IF($A25=1,0,AD24)*VARIABLES!$B$18*VARIABLES!$B$16*VARIABLES!$B$17)+(Y25*VARIABLES!$B$16*VARIABLES!$B$17)</f>
        <v>3342.064019114714</v>
      </c>
      <c r="AC25" s="36">
        <f t="shared" si="3"/>
        <v>99795.76146555366</v>
      </c>
      <c r="AD25" s="37">
        <f t="shared" si="4"/>
        <v>26688459.063117161</v>
      </c>
      <c r="AE25" s="44">
        <f>IF($A25=1,VARIABLES!$B$21,0)</f>
        <v>0</v>
      </c>
      <c r="AF25" s="44">
        <f>IF($A25&lt;=3,VARIABLES!$B$22,IF($A25&lt;=6,VARIABLES!$B$23,VARIABLES!$B$24))*(1+VARIABLES!$B$25)^INT(($A25-1)/12)</f>
        <v>48760</v>
      </c>
      <c r="AG25" s="44">
        <f>IF(MOD($A25,12)=0,AD25*VARIABLES!$B$26,0)</f>
        <v>0</v>
      </c>
      <c r="AH25" s="44">
        <f>VARIABLES!$B$27</f>
        <v>5000</v>
      </c>
      <c r="AI25" s="44">
        <f>IF(MOD($A25,12)=0,VARIABLES!$B$28,0)</f>
        <v>0</v>
      </c>
      <c r="AJ25" s="38">
        <f t="shared" si="5"/>
        <v>53760</v>
      </c>
      <c r="AK25" s="39">
        <f>IF(OR($A25&lt;VARIABLES!$B$7,AND($A25&gt;=VARIABLES!$B$8,$A25&lt;VARIABLES!$B$10)),VARIABLES!$B$13,0)</f>
        <v>0</v>
      </c>
      <c r="AL25" s="46">
        <f t="shared" si="6"/>
        <v>46035.76146555366</v>
      </c>
      <c r="AM25" s="46">
        <f t="shared" si="7"/>
        <v>139437.53713461303</v>
      </c>
      <c r="AN25" s="41">
        <f t="shared" si="8"/>
        <v>0</v>
      </c>
    </row>
    <row r="26" spans="1:40" x14ac:dyDescent="0.2">
      <c r="A26" s="32">
        <v>23</v>
      </c>
      <c r="B26" s="32" t="str">
        <f>TEXT(DATE(VARIABLES!$B$70+INT((VARIABLES!$B$71+$A26-2)/12),MOD(VARIABLES!$B$71+$A26-2,12)+1,1),"mmm-yy")</f>
        <v>Apr-28</v>
      </c>
      <c r="C26" s="33">
        <f>IF($A26&lt;VARIABLES!$B$7,VARIABLES!$B$5/12,IF($A26&lt;VARIABLES!$B$8,VARIABLES!$B$6/12,IF($A26&lt;VARIABLES!$B$10,VARIABLES!$B$9/12,VARIABLES!$B$11/12)))</f>
        <v>4.9999999999999996E-2</v>
      </c>
      <c r="D26" s="34">
        <f>IF($A26&lt;VARIABLES!$B$31,0,IF($A26=VARIABLES!$B$31,VARIABLES!$B$32+VARIABLES!$B$33,VARIABLES!$B$33))</f>
        <v>200000</v>
      </c>
      <c r="E26" s="34">
        <f>D26*VARIABLES!$B$34</f>
        <v>1500</v>
      </c>
      <c r="F26" s="34">
        <f>IF($A26&lt;VARIABLES!$B$31,0,(IF($A26=VARIABLES!$B$31,0,G25)+D26)*C26*VARIABLES!$B$35)</f>
        <v>11266.110171877641</v>
      </c>
      <c r="G26" s="34">
        <f>IF($A26&lt;VARIABLES!$B$31,0,(IF($A26=VARIABLES!$B$31,0,G25)+D26)*(1+C26)-F26)</f>
        <v>9452266.4342053421</v>
      </c>
      <c r="H26" s="34">
        <f>IF($A26&lt;VARIABLES!$B$38,0,IF($A26=VARIABLES!$B$38,VARIABLES!$B$39+VARIABLES!$B$40,VARIABLES!$B$40))</f>
        <v>40000</v>
      </c>
      <c r="I26" s="34">
        <f>H26*VARIABLES!$B$41</f>
        <v>300</v>
      </c>
      <c r="J26" s="34">
        <f>IF($A26&lt;VARIABLES!$B$38,0,(IF($A26=VARIABLES!$B$38,0,K25)+H26)*C26*VARIABLES!$B$42)</f>
        <v>7260.6755909914318</v>
      </c>
      <c r="K26" s="34">
        <f>IF($A26&lt;VARIABLES!$B$38,0,(IF($A26=VARIABLES!$B$38,0,K25)+H26)*(1+C26)-J26)</f>
        <v>1517481.1985172092</v>
      </c>
      <c r="L26" s="34">
        <f>IF($A26&lt;VARIABLES!$B$45,0,IF($A26=VARIABLES!$B$45,VARIABLES!$B$46+VARIABLES!$B$47,VARIABLES!$B$47))</f>
        <v>0</v>
      </c>
      <c r="M26" s="34">
        <f>L26*VARIABLES!$B$48</f>
        <v>0</v>
      </c>
      <c r="N26" s="34">
        <f>IF($A26&lt;VARIABLES!$B$45,0,(IF($A26=VARIABLES!$B$45,0,O25)+L26)*C26*VARIABLES!$B$49)</f>
        <v>63006.028898877361</v>
      </c>
      <c r="O26" s="34">
        <f>IF($A26&lt;VARIABLES!$B$45,0,(IF($A26=VARIABLES!$B$45,0,O25)+L26)*(1+C26)-N26)</f>
        <v>13168260.039865369</v>
      </c>
      <c r="P26" s="34">
        <f>IF($A26&lt;VARIABLES!$B$52,0,IF($A26=VARIABLES!$B$52,VARIABLES!$B$53+VARIABLES!$B$54,VARIABLES!$B$54))</f>
        <v>20000</v>
      </c>
      <c r="Q26" s="34">
        <f>P26*VARIABLES!$B$55</f>
        <v>150</v>
      </c>
      <c r="R26" s="34">
        <f>IF($A26&lt;VARIABLES!$B$52,0,(IF($A26=VARIABLES!$B$52,0,S25)+P26)*C26*VARIABLES!$B$56)</f>
        <v>948.5112130921575</v>
      </c>
      <c r="S26" s="34">
        <f>IF($A26&lt;VARIABLES!$B$52,0,(IF($A26=VARIABLES!$B$52,0,S25)+P26)*(1+C26)-R26)</f>
        <v>795800.9077843203</v>
      </c>
      <c r="T26" s="35">
        <f>IF($A26&lt;VARIABLES!$B$60,0,MIN(VARIABLES!$B$59,INT(($A26-VARIABLES!$B$60)/VARIABLES!$B$61)+1)*VARIABLES!$B$62)</f>
        <v>21</v>
      </c>
      <c r="U26" s="34">
        <f>T26*VARIABLES!$B$64+IF(AND($A26&gt;=VARIABLES!$B$60,MOD($A26-VARIABLES!$B$60,VARIABLES!$B$61)=0,INT(($A26-VARIABLES!$B$60)/VARIABLES!$B$61)&lt;VARIABLES!$B$59),VARIABLES!$B$62*VARIABLES!$B$63,0)</f>
        <v>155000</v>
      </c>
      <c r="V26" s="34">
        <f>U26*VARIABLES!$B$65</f>
        <v>1162.5</v>
      </c>
      <c r="W26" s="34">
        <f>IF($A26&lt;VARIABLES!$B$60,0,(IF($A26&lt;VARIABLES!$B$60+1,0,X25)+U26)*C26*VARIABLES!$B$66)</f>
        <v>16392.105285837821</v>
      </c>
      <c r="X26" s="34">
        <f>IF($A26&lt;VARIABLES!$B$60,0,(IF($A26&lt;VARIABLES!$B$60+1,0,X25)+U26)*(1+C26)-W26)</f>
        <v>3425950.0047401045</v>
      </c>
      <c r="Y26" s="34">
        <f t="shared" si="0"/>
        <v>415000</v>
      </c>
      <c r="Z26" s="34">
        <f t="shared" si="1"/>
        <v>3112.5</v>
      </c>
      <c r="AA26" s="34">
        <f t="shared" si="2"/>
        <v>98873.431160676424</v>
      </c>
      <c r="AB26" s="34">
        <f>(IF($A26=1,0,AD25)*VARIABLES!$B$18*VARIABLES!$B$16*VARIABLES!$B$17)+(Y26*VARIABLES!$B$16*VARIABLES!$B$17)</f>
        <v>3543.5573828896454</v>
      </c>
      <c r="AC26" s="36">
        <f t="shared" si="3"/>
        <v>105529.48854356607</v>
      </c>
      <c r="AD26" s="37">
        <f t="shared" si="4"/>
        <v>28359758.585112344</v>
      </c>
      <c r="AE26" s="34">
        <f>IF($A26=1,VARIABLES!$B$21,0)</f>
        <v>0</v>
      </c>
      <c r="AF26" s="34">
        <f>IF($A26&lt;=3,VARIABLES!$B$22,IF($A26&lt;=6,VARIABLES!$B$23,VARIABLES!$B$24))*(1+VARIABLES!$B$25)^INT(($A26-1)/12)</f>
        <v>48760</v>
      </c>
      <c r="AG26" s="34">
        <f>IF(MOD($A26,12)=0,AD26*VARIABLES!$B$26,0)</f>
        <v>0</v>
      </c>
      <c r="AH26" s="34">
        <f>VARIABLES!$B$27</f>
        <v>5000</v>
      </c>
      <c r="AI26" s="34">
        <f>IF(MOD($A26,12)=0,VARIABLES!$B$28,0)</f>
        <v>0</v>
      </c>
      <c r="AJ26" s="38">
        <f t="shared" si="5"/>
        <v>53760</v>
      </c>
      <c r="AK26" s="39">
        <f>IF(OR($A26&lt;VARIABLES!$B$7,AND($A26&gt;=VARIABLES!$B$8,$A26&lt;VARIABLES!$B$10)),VARIABLES!$B$13,0)</f>
        <v>0</v>
      </c>
      <c r="AL26" s="40">
        <f t="shared" si="6"/>
        <v>51769.488543566069</v>
      </c>
      <c r="AM26" s="40">
        <f t="shared" si="7"/>
        <v>191207.02567817911</v>
      </c>
      <c r="AN26" s="41">
        <f t="shared" si="8"/>
        <v>0</v>
      </c>
    </row>
    <row r="27" spans="1:40" x14ac:dyDescent="0.2">
      <c r="A27" s="42">
        <v>24</v>
      </c>
      <c r="B27" s="42" t="str">
        <f>TEXT(DATE(VARIABLES!$B$70+INT((VARIABLES!$B$71+$A27-2)/12),MOD(VARIABLES!$B$71+$A27-2,12)+1,1),"mmm-yy")</f>
        <v>May-28</v>
      </c>
      <c r="C27" s="43">
        <f>IF($A27&lt;VARIABLES!$B$7,VARIABLES!$B$5/12,IF($A27&lt;VARIABLES!$B$8,VARIABLES!$B$6/12,IF($A27&lt;VARIABLES!$B$10,VARIABLES!$B$9/12,VARIABLES!$B$11/12)))</f>
        <v>4.9999999999999996E-2</v>
      </c>
      <c r="D27" s="44">
        <f>IF($A27&lt;VARIABLES!$B$31,0,IF($A27=VARIABLES!$B$31,VARIABLES!$B$32+VARIABLES!$B$33,VARIABLES!$B$33))</f>
        <v>200000</v>
      </c>
      <c r="E27" s="44">
        <f>D27*VARIABLES!$B$34</f>
        <v>1500</v>
      </c>
      <c r="F27" s="44">
        <f>IF($A27&lt;VARIABLES!$B$31,0,(IF($A27=VARIABLES!$B$31,0,G26)+D27)*C27*VARIABLES!$B$35)</f>
        <v>12065.333042756676</v>
      </c>
      <c r="G27" s="44">
        <f>IF($A27&lt;VARIABLES!$B$31,0,(IF($A27=VARIABLES!$B$31,0,G26)+D27)*(1+C27)-F27)</f>
        <v>10122814.422872853</v>
      </c>
      <c r="H27" s="44">
        <f>IF($A27&lt;VARIABLES!$B$38,0,IF($A27=VARIABLES!$B$38,VARIABLES!$B$39+VARIABLES!$B$40,VARIABLES!$B$40))</f>
        <v>40000</v>
      </c>
      <c r="I27" s="44">
        <f>H27*VARIABLES!$B$41</f>
        <v>300</v>
      </c>
      <c r="J27" s="44">
        <f>IF($A27&lt;VARIABLES!$B$38,0,(IF($A27=VARIABLES!$B$38,0,K26)+H27)*C27*VARIABLES!$B$42)</f>
        <v>7787.4059925860456</v>
      </c>
      <c r="K27" s="44">
        <f>IF($A27&lt;VARIABLES!$B$38,0,(IF($A27=VARIABLES!$B$38,0,K26)+H27)*(1+C27)-J27)</f>
        <v>1627567.8524504837</v>
      </c>
      <c r="L27" s="44">
        <f>IF($A27&lt;VARIABLES!$B$45,0,IF($A27=VARIABLES!$B$45,VARIABLES!$B$46+VARIABLES!$B$47,VARIABLES!$B$47))</f>
        <v>0</v>
      </c>
      <c r="M27" s="44">
        <f>L27*VARIABLES!$B$48</f>
        <v>0</v>
      </c>
      <c r="N27" s="44">
        <f>IF($A27&lt;VARIABLES!$B$45,0,(IF($A27=VARIABLES!$B$45,0,O26)+L27)*C27*VARIABLES!$B$49)</f>
        <v>65841.300199326841</v>
      </c>
      <c r="O27" s="44">
        <f>IF($A27&lt;VARIABLES!$B$45,0,(IF($A27=VARIABLES!$B$45,0,O26)+L27)*(1+C27)-N27)</f>
        <v>13760831.741659312</v>
      </c>
      <c r="P27" s="44">
        <f>IF($A27&lt;VARIABLES!$B$52,0,IF($A27=VARIABLES!$B$52,VARIABLES!$B$53+VARIABLES!$B$54,VARIABLES!$B$54))</f>
        <v>20000</v>
      </c>
      <c r="Q27" s="44">
        <f>P27*VARIABLES!$B$55</f>
        <v>150</v>
      </c>
      <c r="R27" s="44">
        <f>IF($A27&lt;VARIABLES!$B$52,0,(IF($A27=VARIABLES!$B$52,0,S26)+P27)*C27*VARIABLES!$B$56)</f>
        <v>1019.7511347304004</v>
      </c>
      <c r="S27" s="44">
        <f>IF($A27&lt;VARIABLES!$B$52,0,(IF($A27=VARIABLES!$B$52,0,S26)+P27)*(1+C27)-R27)</f>
        <v>855571.20203880593</v>
      </c>
      <c r="T27" s="45">
        <f>IF($A27&lt;VARIABLES!$B$60,0,MIN(VARIABLES!$B$59,INT(($A27-VARIABLES!$B$60)/VARIABLES!$B$61)+1)*VARIABLES!$B$62)</f>
        <v>22</v>
      </c>
      <c r="U27" s="44">
        <f>T27*VARIABLES!$B$64+IF(AND($A27&gt;=VARIABLES!$B$60,MOD($A27-VARIABLES!$B$60,VARIABLES!$B$61)=0,INT(($A27-VARIABLES!$B$60)/VARIABLES!$B$61)&lt;VARIABLES!$B$59),VARIABLES!$B$62*VARIABLES!$B$63,0)</f>
        <v>160000</v>
      </c>
      <c r="V27" s="44">
        <f>U27*VARIABLES!$B$65</f>
        <v>1200</v>
      </c>
      <c r="W27" s="44">
        <f>IF($A27&lt;VARIABLES!$B$60,0,(IF($A27&lt;VARIABLES!$B$60+1,0,X26)+U27)*C27*VARIABLES!$B$66)</f>
        <v>17929.750023700522</v>
      </c>
      <c r="X27" s="44">
        <f>IF($A27&lt;VARIABLES!$B$60,0,(IF($A27&lt;VARIABLES!$B$60+1,0,X26)+U27)*(1+C27)-W27)</f>
        <v>3747317.7549534095</v>
      </c>
      <c r="Y27" s="44">
        <f t="shared" si="0"/>
        <v>420000</v>
      </c>
      <c r="Z27" s="44">
        <f t="shared" si="1"/>
        <v>3150</v>
      </c>
      <c r="AA27" s="44">
        <f t="shared" si="2"/>
        <v>104643.54039310047</v>
      </c>
      <c r="AB27" s="44">
        <f>(IF($A27=1,0,AD26)*VARIABLES!$B$18*VARIABLES!$B$16*VARIABLES!$B$17)+(Y27*VARIABLES!$B$16*VARIABLES!$B$17)</f>
        <v>3754.969823139043</v>
      </c>
      <c r="AC27" s="36">
        <f t="shared" si="3"/>
        <v>111548.51021623952</v>
      </c>
      <c r="AD27" s="37">
        <f t="shared" si="4"/>
        <v>30114102.973974865</v>
      </c>
      <c r="AE27" s="44">
        <f>IF($A27=1,VARIABLES!$B$21,0)</f>
        <v>0</v>
      </c>
      <c r="AF27" s="44">
        <f>IF($A27&lt;=3,VARIABLES!$B$22,IF($A27&lt;=6,VARIABLES!$B$23,VARIABLES!$B$24))*(1+VARIABLES!$B$25)^INT(($A27-1)/12)</f>
        <v>48760</v>
      </c>
      <c r="AG27" s="44">
        <f>IF(MOD($A27,12)=0,AD27*VARIABLES!$B$26,0)</f>
        <v>75285.257434937157</v>
      </c>
      <c r="AH27" s="44">
        <f>VARIABLES!$B$27</f>
        <v>5000</v>
      </c>
      <c r="AI27" s="44">
        <f>IF(MOD($A27,12)=0,VARIABLES!$B$28,0)</f>
        <v>3000</v>
      </c>
      <c r="AJ27" s="38">
        <f t="shared" si="5"/>
        <v>132045.25743493717</v>
      </c>
      <c r="AK27" s="39">
        <f>IF(OR($A27&lt;VARIABLES!$B$7,AND($A27&gt;=VARIABLES!$B$8,$A27&lt;VARIABLES!$B$10)),VARIABLES!$B$13,0)</f>
        <v>0</v>
      </c>
      <c r="AL27" s="46">
        <f t="shared" si="6"/>
        <v>-20496.747218697652</v>
      </c>
      <c r="AM27" s="46">
        <f t="shared" si="7"/>
        <v>170710.27845948146</v>
      </c>
      <c r="AN27" s="41">
        <f t="shared" si="8"/>
        <v>0</v>
      </c>
    </row>
    <row r="28" spans="1:40" x14ac:dyDescent="0.2">
      <c r="A28" s="32">
        <v>25</v>
      </c>
      <c r="B28" s="32" t="str">
        <f>TEXT(DATE(VARIABLES!$B$70+INT((VARIABLES!$B$71+$A28-2)/12),MOD(VARIABLES!$B$71+$A28-2,12)+1,1),"mmm-yy")</f>
        <v>Jun-28</v>
      </c>
      <c r="C28" s="33">
        <f>IF($A28&lt;VARIABLES!$B$7,VARIABLES!$B$5/12,IF($A28&lt;VARIABLES!$B$8,VARIABLES!$B$6/12,IF($A28&lt;VARIABLES!$B$10,VARIABLES!$B$9/12,VARIABLES!$B$11/12)))</f>
        <v>4.9999999999999996E-2</v>
      </c>
      <c r="D28" s="34">
        <f>IF($A28&lt;VARIABLES!$B$31,0,IF($A28=VARIABLES!$B$31,VARIABLES!$B$32+VARIABLES!$B$33,VARIABLES!$B$33))</f>
        <v>200000</v>
      </c>
      <c r="E28" s="34">
        <f>D28*VARIABLES!$B$34</f>
        <v>1500</v>
      </c>
      <c r="F28" s="34">
        <f>IF($A28&lt;VARIABLES!$B$31,0,(IF($A28=VARIABLES!$B$31,0,G27)+D28)*C28*VARIABLES!$B$35)</f>
        <v>12903.518028591065</v>
      </c>
      <c r="G28" s="34">
        <f>IF($A28&lt;VARIABLES!$B$31,0,(IF($A28=VARIABLES!$B$31,0,G27)+D28)*(1+C28)-F28)</f>
        <v>10826051.625987904</v>
      </c>
      <c r="H28" s="34">
        <f>IF($A28&lt;VARIABLES!$B$38,0,IF($A28=VARIABLES!$B$38,VARIABLES!$B$39+VARIABLES!$B$40,VARIABLES!$B$40))</f>
        <v>40000</v>
      </c>
      <c r="I28" s="34">
        <f>H28*VARIABLES!$B$41</f>
        <v>300</v>
      </c>
      <c r="J28" s="34">
        <f>IF($A28&lt;VARIABLES!$B$38,0,(IF($A28=VARIABLES!$B$38,0,K27)+H28)*C28*VARIABLES!$B$42)</f>
        <v>8337.839262252417</v>
      </c>
      <c r="K28" s="34">
        <f>IF($A28&lt;VARIABLES!$B$38,0,(IF($A28=VARIABLES!$B$38,0,K27)+H28)*(1+C28)-J28)</f>
        <v>1742608.4058107554</v>
      </c>
      <c r="L28" s="34">
        <f>IF($A28&lt;VARIABLES!$B$45,0,IF($A28=VARIABLES!$B$45,VARIABLES!$B$46+VARIABLES!$B$47,VARIABLES!$B$47))</f>
        <v>0</v>
      </c>
      <c r="M28" s="34">
        <f>L28*VARIABLES!$B$48</f>
        <v>0</v>
      </c>
      <c r="N28" s="34">
        <f>IF($A28&lt;VARIABLES!$B$45,0,(IF($A28=VARIABLES!$B$45,0,O27)+L28)*C28*VARIABLES!$B$49)</f>
        <v>68804.158708296556</v>
      </c>
      <c r="O28" s="34">
        <f>IF($A28&lt;VARIABLES!$B$45,0,(IF($A28=VARIABLES!$B$45,0,O27)+L28)*(1+C28)-N28)</f>
        <v>14380069.17003398</v>
      </c>
      <c r="P28" s="34">
        <f>IF($A28&lt;VARIABLES!$B$52,0,IF($A28=VARIABLES!$B$52,VARIABLES!$B$53+VARIABLES!$B$54,VARIABLES!$B$54))</f>
        <v>20000</v>
      </c>
      <c r="Q28" s="34">
        <f>P28*VARIABLES!$B$55</f>
        <v>150</v>
      </c>
      <c r="R28" s="34">
        <f>IF($A28&lt;VARIABLES!$B$52,0,(IF($A28=VARIABLES!$B$52,0,S27)+P28)*C28*VARIABLES!$B$56)</f>
        <v>1094.4640025485073</v>
      </c>
      <c r="S28" s="34">
        <f>IF($A28&lt;VARIABLES!$B$52,0,(IF($A28=VARIABLES!$B$52,0,S27)+P28)*(1+C28)-R28)</f>
        <v>918255.29813819774</v>
      </c>
      <c r="T28" s="35">
        <f>IF($A28&lt;VARIABLES!$B$60,0,MIN(VARIABLES!$B$59,INT(($A28-VARIABLES!$B$60)/VARIABLES!$B$61)+1)*VARIABLES!$B$62)</f>
        <v>23</v>
      </c>
      <c r="U28" s="34">
        <f>T28*VARIABLES!$B$64+IF(AND($A28&gt;=VARIABLES!$B$60,MOD($A28-VARIABLES!$B$60,VARIABLES!$B$61)=0,INT(($A28-VARIABLES!$B$60)/VARIABLES!$B$61)&lt;VARIABLES!$B$59),VARIABLES!$B$62*VARIABLES!$B$63,0)</f>
        <v>165000</v>
      </c>
      <c r="V28" s="34">
        <f>U28*VARIABLES!$B$65</f>
        <v>1237.5</v>
      </c>
      <c r="W28" s="34">
        <f>IF($A28&lt;VARIABLES!$B$60,0,(IF($A28&lt;VARIABLES!$B$60+1,0,X27)+U28)*C28*VARIABLES!$B$66)</f>
        <v>19561.588774767046</v>
      </c>
      <c r="X28" s="34">
        <f>IF($A28&lt;VARIABLES!$B$60,0,(IF($A28&lt;VARIABLES!$B$60+1,0,X27)+U28)*(1+C28)-W28)</f>
        <v>4088372.0539263128</v>
      </c>
      <c r="Y28" s="34">
        <f t="shared" si="0"/>
        <v>425000</v>
      </c>
      <c r="Z28" s="34">
        <f t="shared" si="1"/>
        <v>3187.5</v>
      </c>
      <c r="AA28" s="34">
        <f t="shared" si="2"/>
        <v>110701.56877645561</v>
      </c>
      <c r="AB28" s="34">
        <f>(IF($A28=1,0,AD27)*VARIABLES!$B$18*VARIABLES!$B$16*VARIABLES!$B$17)+(Y28*VARIABLES!$B$16*VARIABLES!$B$17)</f>
        <v>3976.7628717468583</v>
      </c>
      <c r="AC28" s="36">
        <f t="shared" si="3"/>
        <v>117865.83164820247</v>
      </c>
      <c r="AD28" s="37">
        <f t="shared" si="4"/>
        <v>31955356.553897146</v>
      </c>
      <c r="AE28" s="34">
        <f>IF($A28=1,VARIABLES!$B$21,0)</f>
        <v>0</v>
      </c>
      <c r="AF28" s="34">
        <f>IF($A28&lt;=3,VARIABLES!$B$22,IF($A28&lt;=6,VARIABLES!$B$23,VARIABLES!$B$24))*(1+VARIABLES!$B$25)^INT(($A28-1)/12)</f>
        <v>51685.600000000006</v>
      </c>
      <c r="AG28" s="34">
        <f>IF(MOD($A28,12)=0,AD28*VARIABLES!$B$26,0)</f>
        <v>0</v>
      </c>
      <c r="AH28" s="34">
        <f>VARIABLES!$B$27</f>
        <v>5000</v>
      </c>
      <c r="AI28" s="34">
        <f>IF(MOD($A28,12)=0,VARIABLES!$B$28,0)</f>
        <v>0</v>
      </c>
      <c r="AJ28" s="38">
        <f t="shared" si="5"/>
        <v>56685.600000000006</v>
      </c>
      <c r="AK28" s="39">
        <f>IF(OR($A28&lt;VARIABLES!$B$7,AND($A28&gt;=VARIABLES!$B$8,$A28&lt;VARIABLES!$B$10)),VARIABLES!$B$13,0)</f>
        <v>0</v>
      </c>
      <c r="AL28" s="40">
        <f t="shared" si="6"/>
        <v>61180.231648202462</v>
      </c>
      <c r="AM28" s="40">
        <f t="shared" si="7"/>
        <v>231890.51010768392</v>
      </c>
      <c r="AN28" s="41">
        <f t="shared" si="8"/>
        <v>0</v>
      </c>
    </row>
    <row r="29" spans="1:40" x14ac:dyDescent="0.2">
      <c r="A29" s="42">
        <v>26</v>
      </c>
      <c r="B29" s="42" t="str">
        <f>TEXT(DATE(VARIABLES!$B$70+INT((VARIABLES!$B$71+$A29-2)/12),MOD(VARIABLES!$B$71+$A29-2,12)+1,1),"mmm-yy")</f>
        <v>Jul-28</v>
      </c>
      <c r="C29" s="43">
        <f>IF($A29&lt;VARIABLES!$B$7,VARIABLES!$B$5/12,IF($A29&lt;VARIABLES!$B$8,VARIABLES!$B$6/12,IF($A29&lt;VARIABLES!$B$10,VARIABLES!$B$9/12,VARIABLES!$B$11/12)))</f>
        <v>4.9999999999999996E-2</v>
      </c>
      <c r="D29" s="44">
        <f>IF($A29&lt;VARIABLES!$B$31,0,IF($A29=VARIABLES!$B$31,VARIABLES!$B$32+VARIABLES!$B$33,VARIABLES!$B$33))</f>
        <v>200000</v>
      </c>
      <c r="E29" s="44">
        <f>D29*VARIABLES!$B$34</f>
        <v>1500</v>
      </c>
      <c r="F29" s="44">
        <f>IF($A29&lt;VARIABLES!$B$31,0,(IF($A29=VARIABLES!$B$31,0,G28)+D29)*C29*VARIABLES!$B$35)</f>
        <v>13782.564532484881</v>
      </c>
      <c r="G29" s="44">
        <f>IF($A29&lt;VARIABLES!$B$31,0,(IF($A29=VARIABLES!$B$31,0,G28)+D29)*(1+C29)-F29)</f>
        <v>11563571.642754816</v>
      </c>
      <c r="H29" s="44">
        <f>IF($A29&lt;VARIABLES!$B$38,0,IF($A29=VARIABLES!$B$38,VARIABLES!$B$39+VARIABLES!$B$40,VARIABLES!$B$40))</f>
        <v>40000</v>
      </c>
      <c r="I29" s="44">
        <f>H29*VARIABLES!$B$41</f>
        <v>300</v>
      </c>
      <c r="J29" s="44">
        <f>IF($A29&lt;VARIABLES!$B$38,0,(IF($A29=VARIABLES!$B$38,0,K28)+H29)*C29*VARIABLES!$B$42)</f>
        <v>8913.0420290537768</v>
      </c>
      <c r="K29" s="44">
        <f>IF($A29&lt;VARIABLES!$B$38,0,(IF($A29=VARIABLES!$B$38,0,K28)+H29)*(1+C29)-J29)</f>
        <v>1862825.7840722397</v>
      </c>
      <c r="L29" s="44">
        <f>IF($A29&lt;VARIABLES!$B$45,0,IF($A29=VARIABLES!$B$45,VARIABLES!$B$46+VARIABLES!$B$47,VARIABLES!$B$47))</f>
        <v>0</v>
      </c>
      <c r="M29" s="44">
        <f>L29*VARIABLES!$B$48</f>
        <v>0</v>
      </c>
      <c r="N29" s="44">
        <f>IF($A29&lt;VARIABLES!$B$45,0,(IF($A29=VARIABLES!$B$45,0,O28)+L29)*C29*VARIABLES!$B$49)</f>
        <v>71900.345850169891</v>
      </c>
      <c r="O29" s="44">
        <f>IF($A29&lt;VARIABLES!$B$45,0,(IF($A29=VARIABLES!$B$45,0,O28)+L29)*(1+C29)-N29)</f>
        <v>15027172.282685511</v>
      </c>
      <c r="P29" s="44">
        <f>IF($A29&lt;VARIABLES!$B$52,0,IF($A29=VARIABLES!$B$52,VARIABLES!$B$53+VARIABLES!$B$54,VARIABLES!$B$54))</f>
        <v>20000</v>
      </c>
      <c r="Q29" s="44">
        <f>P29*VARIABLES!$B$55</f>
        <v>150</v>
      </c>
      <c r="R29" s="44">
        <f>IF($A29&lt;VARIABLES!$B$52,0,(IF($A29=VARIABLES!$B$52,0,S28)+P29)*C29*VARIABLES!$B$56)</f>
        <v>1172.8191226727472</v>
      </c>
      <c r="S29" s="44">
        <f>IF($A29&lt;VARIABLES!$B$52,0,(IF($A29=VARIABLES!$B$52,0,S28)+P29)*(1+C29)-R29)</f>
        <v>983995.24392243486</v>
      </c>
      <c r="T29" s="45">
        <f>IF($A29&lt;VARIABLES!$B$60,0,MIN(VARIABLES!$B$59,INT(($A29-VARIABLES!$B$60)/VARIABLES!$B$61)+1)*VARIABLES!$B$62)</f>
        <v>24</v>
      </c>
      <c r="U29" s="44">
        <f>T29*VARIABLES!$B$64+IF(AND($A29&gt;=VARIABLES!$B$60,MOD($A29-VARIABLES!$B$60,VARIABLES!$B$61)=0,INT(($A29-VARIABLES!$B$60)/VARIABLES!$B$61)&lt;VARIABLES!$B$59),VARIABLES!$B$62*VARIABLES!$B$63,0)</f>
        <v>170000</v>
      </c>
      <c r="V29" s="44">
        <f>U29*VARIABLES!$B$65</f>
        <v>1275</v>
      </c>
      <c r="W29" s="44">
        <f>IF($A29&lt;VARIABLES!$B$60,0,(IF($A29&lt;VARIABLES!$B$60+1,0,X28)+U29)*C29*VARIABLES!$B$66)</f>
        <v>21291.860269631565</v>
      </c>
      <c r="X29" s="44">
        <f>IF($A29&lt;VARIABLES!$B$60,0,(IF($A29&lt;VARIABLES!$B$60+1,0,X28)+U29)*(1+C29)-W29)</f>
        <v>4449998.7963529984</v>
      </c>
      <c r="Y29" s="44">
        <f t="shared" si="0"/>
        <v>430000</v>
      </c>
      <c r="Z29" s="44">
        <f t="shared" si="1"/>
        <v>3225</v>
      </c>
      <c r="AA29" s="44">
        <f t="shared" si="2"/>
        <v>117060.63180401287</v>
      </c>
      <c r="AB29" s="44">
        <f>(IF($A29=1,0,AD28)*VARIABLES!$B$18*VARIABLES!$B$16*VARIABLES!$B$17)+(Y29*VARIABLES!$B$16*VARIABLES!$B$17)</f>
        <v>4209.4195692371432</v>
      </c>
      <c r="AC29" s="36">
        <f t="shared" si="3"/>
        <v>124495.05137325001</v>
      </c>
      <c r="AD29" s="37">
        <f t="shared" si="4"/>
        <v>33887563.749788001</v>
      </c>
      <c r="AE29" s="44">
        <f>IF($A29=1,VARIABLES!$B$21,0)</f>
        <v>0</v>
      </c>
      <c r="AF29" s="44">
        <f>IF($A29&lt;=3,VARIABLES!$B$22,IF($A29&lt;=6,VARIABLES!$B$23,VARIABLES!$B$24))*(1+VARIABLES!$B$25)^INT(($A29-1)/12)</f>
        <v>51685.600000000006</v>
      </c>
      <c r="AG29" s="44">
        <f>IF(MOD($A29,12)=0,AD29*VARIABLES!$B$26,0)</f>
        <v>0</v>
      </c>
      <c r="AH29" s="44">
        <f>VARIABLES!$B$27</f>
        <v>5000</v>
      </c>
      <c r="AI29" s="44">
        <f>IF(MOD($A29,12)=0,VARIABLES!$B$28,0)</f>
        <v>0</v>
      </c>
      <c r="AJ29" s="38">
        <f t="shared" si="5"/>
        <v>56685.600000000006</v>
      </c>
      <c r="AK29" s="39">
        <f>IF(OR($A29&lt;VARIABLES!$B$7,AND($A29&gt;=VARIABLES!$B$8,$A29&lt;VARIABLES!$B$10)),VARIABLES!$B$13,0)</f>
        <v>0</v>
      </c>
      <c r="AL29" s="46">
        <f t="shared" si="6"/>
        <v>67809.451373250005</v>
      </c>
      <c r="AM29" s="46">
        <f t="shared" si="7"/>
        <v>299699.96148093394</v>
      </c>
      <c r="AN29" s="41">
        <f t="shared" si="8"/>
        <v>0</v>
      </c>
    </row>
    <row r="30" spans="1:40" x14ac:dyDescent="0.2">
      <c r="A30" s="32">
        <v>27</v>
      </c>
      <c r="B30" s="32" t="str">
        <f>TEXT(DATE(VARIABLES!$B$70+INT((VARIABLES!$B$71+$A30-2)/12),MOD(VARIABLES!$B$71+$A30-2,12)+1,1),"mmm-yy")</f>
        <v>Aug-28</v>
      </c>
      <c r="C30" s="33">
        <f>IF($A30&lt;VARIABLES!$B$7,VARIABLES!$B$5/12,IF($A30&lt;VARIABLES!$B$8,VARIABLES!$B$6/12,IF($A30&lt;VARIABLES!$B$10,VARIABLES!$B$9/12,VARIABLES!$B$11/12)))</f>
        <v>4.9999999999999996E-2</v>
      </c>
      <c r="D30" s="34">
        <f>IF($A30&lt;VARIABLES!$B$31,0,IF($A30=VARIABLES!$B$31,VARIABLES!$B$32+VARIABLES!$B$33,VARIABLES!$B$33))</f>
        <v>200000</v>
      </c>
      <c r="E30" s="34">
        <f>D30*VARIABLES!$B$34</f>
        <v>1500</v>
      </c>
      <c r="F30" s="34">
        <f>IF($A30&lt;VARIABLES!$B$31,0,(IF($A30=VARIABLES!$B$31,0,G29)+D30)*C30*VARIABLES!$B$35)</f>
        <v>14704.464553443519</v>
      </c>
      <c r="G30" s="34">
        <f>IF($A30&lt;VARIABLES!$B$31,0,(IF($A30=VARIABLES!$B$31,0,G29)+D30)*(1+C30)-F30)</f>
        <v>12337045.760339113</v>
      </c>
      <c r="H30" s="34">
        <f>IF($A30&lt;VARIABLES!$B$38,0,IF($A30=VARIABLES!$B$38,VARIABLES!$B$39+VARIABLES!$B$40,VARIABLES!$B$40))</f>
        <v>40000</v>
      </c>
      <c r="I30" s="34">
        <f>H30*VARIABLES!$B$41</f>
        <v>300</v>
      </c>
      <c r="J30" s="34">
        <f>IF($A30&lt;VARIABLES!$B$38,0,(IF($A30=VARIABLES!$B$38,0,K29)+H30)*C30*VARIABLES!$B$42)</f>
        <v>9514.1289203611977</v>
      </c>
      <c r="K30" s="34">
        <f>IF($A30&lt;VARIABLES!$B$38,0,(IF($A30=VARIABLES!$B$38,0,K29)+H30)*(1+C30)-J30)</f>
        <v>1988452.9443554906</v>
      </c>
      <c r="L30" s="34">
        <f>IF($A30&lt;VARIABLES!$B$45,0,IF($A30=VARIABLES!$B$45,VARIABLES!$B$46+VARIABLES!$B$47,VARIABLES!$B$47))</f>
        <v>0</v>
      </c>
      <c r="M30" s="34">
        <f>L30*VARIABLES!$B$48</f>
        <v>0</v>
      </c>
      <c r="N30" s="34">
        <f>IF($A30&lt;VARIABLES!$B$45,0,(IF($A30=VARIABLES!$B$45,0,O29)+L30)*C30*VARIABLES!$B$49)</f>
        <v>75135.861413427556</v>
      </c>
      <c r="O30" s="34">
        <f>IF($A30&lt;VARIABLES!$B$45,0,(IF($A30=VARIABLES!$B$45,0,O29)+L30)*(1+C30)-N30)</f>
        <v>15703395.03540636</v>
      </c>
      <c r="P30" s="34">
        <f>IF($A30&lt;VARIABLES!$B$52,0,IF($A30=VARIABLES!$B$52,VARIABLES!$B$53+VARIABLES!$B$54,VARIABLES!$B$54))</f>
        <v>20000</v>
      </c>
      <c r="Q30" s="34">
        <f>P30*VARIABLES!$B$55</f>
        <v>150</v>
      </c>
      <c r="R30" s="34">
        <f>IF($A30&lt;VARIABLES!$B$52,0,(IF($A30=VARIABLES!$B$52,0,S29)+P30)*C30*VARIABLES!$B$56)</f>
        <v>1254.9940549030434</v>
      </c>
      <c r="S30" s="34">
        <f>IF($A30&lt;VARIABLES!$B$52,0,(IF($A30=VARIABLES!$B$52,0,S29)+P30)*(1+C30)-R30)</f>
        <v>1052940.0120636537</v>
      </c>
      <c r="T30" s="35">
        <f>IF($A30&lt;VARIABLES!$B$60,0,MIN(VARIABLES!$B$59,INT(($A30-VARIABLES!$B$60)/VARIABLES!$B$61)+1)*VARIABLES!$B$62)</f>
        <v>25</v>
      </c>
      <c r="U30" s="34">
        <f>T30*VARIABLES!$B$64+IF(AND($A30&gt;=VARIABLES!$B$60,MOD($A30-VARIABLES!$B$60,VARIABLES!$B$61)=0,INT(($A30-VARIABLES!$B$60)/VARIABLES!$B$61)&lt;VARIABLES!$B$59),VARIABLES!$B$62*VARIABLES!$B$63,0)</f>
        <v>175000</v>
      </c>
      <c r="V30" s="34">
        <f>U30*VARIABLES!$B$65</f>
        <v>1312.5</v>
      </c>
      <c r="W30" s="34">
        <f>IF($A30&lt;VARIABLES!$B$60,0,(IF($A30&lt;VARIABLES!$B$60+1,0,X29)+U30)*C30*VARIABLES!$B$66)</f>
        <v>23124.99398176499</v>
      </c>
      <c r="X30" s="34">
        <f>IF($A30&lt;VARIABLES!$B$60,0,(IF($A30&lt;VARIABLES!$B$60+1,0,X29)+U30)*(1+C30)-W30)</f>
        <v>4833123.7421888839</v>
      </c>
      <c r="Y30" s="34">
        <f t="shared" si="0"/>
        <v>435000</v>
      </c>
      <c r="Z30" s="34">
        <f t="shared" si="1"/>
        <v>3262.5</v>
      </c>
      <c r="AA30" s="34">
        <f t="shared" si="2"/>
        <v>123734.44292390031</v>
      </c>
      <c r="AB30" s="34">
        <f>(IF($A30=1,0,AD29)*VARIABLES!$B$18*VARIABLES!$B$16*VARIABLES!$B$17)+(Y30*VARIABLES!$B$16*VARIABLES!$B$17)</f>
        <v>4453.4454687235002</v>
      </c>
      <c r="AC30" s="36">
        <f t="shared" si="3"/>
        <v>131450.3883926238</v>
      </c>
      <c r="AD30" s="37">
        <f t="shared" si="4"/>
        <v>35914957.494353503</v>
      </c>
      <c r="AE30" s="34">
        <f>IF($A30=1,VARIABLES!$B$21,0)</f>
        <v>0</v>
      </c>
      <c r="AF30" s="34">
        <f>IF($A30&lt;=3,VARIABLES!$B$22,IF($A30&lt;=6,VARIABLES!$B$23,VARIABLES!$B$24))*(1+VARIABLES!$B$25)^INT(($A30-1)/12)</f>
        <v>51685.600000000006</v>
      </c>
      <c r="AG30" s="34">
        <f>IF(MOD($A30,12)=0,AD30*VARIABLES!$B$26,0)</f>
        <v>0</v>
      </c>
      <c r="AH30" s="34">
        <f>VARIABLES!$B$27</f>
        <v>5000</v>
      </c>
      <c r="AI30" s="34">
        <f>IF(MOD($A30,12)=0,VARIABLES!$B$28,0)</f>
        <v>0</v>
      </c>
      <c r="AJ30" s="38">
        <f t="shared" si="5"/>
        <v>56685.600000000006</v>
      </c>
      <c r="AK30" s="39">
        <f>IF(OR($A30&lt;VARIABLES!$B$7,AND($A30&gt;=VARIABLES!$B$8,$A30&lt;VARIABLES!$B$10)),VARIABLES!$B$13,0)</f>
        <v>0</v>
      </c>
      <c r="AL30" s="40">
        <f t="shared" si="6"/>
        <v>74764.788392623799</v>
      </c>
      <c r="AM30" s="40">
        <f t="shared" si="7"/>
        <v>374464.74987355771</v>
      </c>
      <c r="AN30" s="41">
        <f t="shared" si="8"/>
        <v>0</v>
      </c>
    </row>
    <row r="31" spans="1:40" x14ac:dyDescent="0.2">
      <c r="A31" s="42">
        <v>28</v>
      </c>
      <c r="B31" s="42" t="str">
        <f>TEXT(DATE(VARIABLES!$B$70+INT((VARIABLES!$B$71+$A31-2)/12),MOD(VARIABLES!$B$71+$A31-2,12)+1,1),"mmm-yy")</f>
        <v>Sept-28</v>
      </c>
      <c r="C31" s="43">
        <f>IF($A31&lt;VARIABLES!$B$7,VARIABLES!$B$5/12,IF($A31&lt;VARIABLES!$B$8,VARIABLES!$B$6/12,IF($A31&lt;VARIABLES!$B$10,VARIABLES!$B$9/12,VARIABLES!$B$11/12)))</f>
        <v>4.9999999999999996E-2</v>
      </c>
      <c r="D31" s="44">
        <f>IF($A31&lt;VARIABLES!$B$31,0,IF($A31=VARIABLES!$B$31,VARIABLES!$B$32+VARIABLES!$B$33,VARIABLES!$B$33))</f>
        <v>200000</v>
      </c>
      <c r="E31" s="44">
        <f>D31*VARIABLES!$B$34</f>
        <v>1500</v>
      </c>
      <c r="F31" s="44">
        <f>IF($A31&lt;VARIABLES!$B$31,0,(IF($A31=VARIABLES!$B$31,0,G30)+D31)*C31*VARIABLES!$B$35)</f>
        <v>15671.307200423891</v>
      </c>
      <c r="G31" s="44">
        <f>IF($A31&lt;VARIABLES!$B$31,0,(IF($A31=VARIABLES!$B$31,0,G30)+D31)*(1+C31)-F31)</f>
        <v>13148226.741155645</v>
      </c>
      <c r="H31" s="44">
        <f>IF($A31&lt;VARIABLES!$B$38,0,IF($A31=VARIABLES!$B$38,VARIABLES!$B$39+VARIABLES!$B$40,VARIABLES!$B$40))</f>
        <v>40000</v>
      </c>
      <c r="I31" s="44">
        <f>H31*VARIABLES!$B$41</f>
        <v>300</v>
      </c>
      <c r="J31" s="44">
        <f>IF($A31&lt;VARIABLES!$B$38,0,(IF($A31=VARIABLES!$B$38,0,K30)+H31)*C31*VARIABLES!$B$42)</f>
        <v>10142.264721777452</v>
      </c>
      <c r="K31" s="44">
        <f>IF($A31&lt;VARIABLES!$B$38,0,(IF($A31=VARIABLES!$B$38,0,K30)+H31)*(1+C31)-J31)</f>
        <v>2119733.3268514881</v>
      </c>
      <c r="L31" s="44">
        <f>IF($A31&lt;VARIABLES!$B$45,0,IF($A31=VARIABLES!$B$45,VARIABLES!$B$46+VARIABLES!$B$47,VARIABLES!$B$47))</f>
        <v>0</v>
      </c>
      <c r="M31" s="44">
        <f>L31*VARIABLES!$B$48</f>
        <v>0</v>
      </c>
      <c r="N31" s="44">
        <f>IF($A31&lt;VARIABLES!$B$45,0,(IF($A31=VARIABLES!$B$45,0,O30)+L31)*C31*VARIABLES!$B$49)</f>
        <v>78516.975177031796</v>
      </c>
      <c r="O31" s="44">
        <f>IF($A31&lt;VARIABLES!$B$45,0,(IF($A31=VARIABLES!$B$45,0,O30)+L31)*(1+C31)-N31)</f>
        <v>16410047.811999649</v>
      </c>
      <c r="P31" s="44">
        <f>IF($A31&lt;VARIABLES!$B$52,0,IF($A31=VARIABLES!$B$52,VARIABLES!$B$53+VARIABLES!$B$54,VARIABLES!$B$54))</f>
        <v>20000</v>
      </c>
      <c r="Q31" s="44">
        <f>P31*VARIABLES!$B$55</f>
        <v>150</v>
      </c>
      <c r="R31" s="44">
        <f>IF($A31&lt;VARIABLES!$B$52,0,(IF($A31=VARIABLES!$B$52,0,S30)+P31)*C31*VARIABLES!$B$56)</f>
        <v>1341.1750150795669</v>
      </c>
      <c r="S31" s="44">
        <f>IF($A31&lt;VARIABLES!$B$52,0,(IF($A31=VARIABLES!$B$52,0,S30)+P31)*(1+C31)-R31)</f>
        <v>1125245.8376517568</v>
      </c>
      <c r="T31" s="45">
        <f>IF($A31&lt;VARIABLES!$B$60,0,MIN(VARIABLES!$B$59,INT(($A31-VARIABLES!$B$60)/VARIABLES!$B$61)+1)*VARIABLES!$B$62)</f>
        <v>26</v>
      </c>
      <c r="U31" s="44">
        <f>T31*VARIABLES!$B$64+IF(AND($A31&gt;=VARIABLES!$B$60,MOD($A31-VARIABLES!$B$60,VARIABLES!$B$61)=0,INT(($A31-VARIABLES!$B$60)/VARIABLES!$B$61)&lt;VARIABLES!$B$59),VARIABLES!$B$62*VARIABLES!$B$63,0)</f>
        <v>180000</v>
      </c>
      <c r="V31" s="44">
        <f>U31*VARIABLES!$B$65</f>
        <v>1350</v>
      </c>
      <c r="W31" s="44">
        <f>IF($A31&lt;VARIABLES!$B$60,0,(IF($A31&lt;VARIABLES!$B$60+1,0,X30)+U31)*C31*VARIABLES!$B$66)</f>
        <v>25065.618710944418</v>
      </c>
      <c r="X31" s="44">
        <f>IF($A31&lt;VARIABLES!$B$60,0,(IF($A31&lt;VARIABLES!$B$60+1,0,X30)+U31)*(1+C31)-W31)</f>
        <v>5238714.3105873838</v>
      </c>
      <c r="Y31" s="44">
        <f t="shared" si="0"/>
        <v>440000</v>
      </c>
      <c r="Z31" s="44">
        <f t="shared" si="1"/>
        <v>3300</v>
      </c>
      <c r="AA31" s="44">
        <f t="shared" si="2"/>
        <v>130737.34082525712</v>
      </c>
      <c r="AB31" s="44">
        <f>(IF($A31=1,0,AD30)*VARIABLES!$B$18*VARIABLES!$B$16*VARIABLES!$B$17)+(Y31*VARIABLES!$B$16*VARIABLES!$B$17)</f>
        <v>4709.3696867941881</v>
      </c>
      <c r="AC31" s="36">
        <f t="shared" si="3"/>
        <v>138746.7105120513</v>
      </c>
      <c r="AD31" s="37">
        <f t="shared" si="4"/>
        <v>38041968.028245926</v>
      </c>
      <c r="AE31" s="44">
        <f>IF($A31=1,VARIABLES!$B$21,0)</f>
        <v>0</v>
      </c>
      <c r="AF31" s="44">
        <f>IF($A31&lt;=3,VARIABLES!$B$22,IF($A31&lt;=6,VARIABLES!$B$23,VARIABLES!$B$24))*(1+VARIABLES!$B$25)^INT(($A31-1)/12)</f>
        <v>51685.600000000006</v>
      </c>
      <c r="AG31" s="44">
        <f>IF(MOD($A31,12)=0,AD31*VARIABLES!$B$26,0)</f>
        <v>0</v>
      </c>
      <c r="AH31" s="44">
        <f>VARIABLES!$B$27</f>
        <v>5000</v>
      </c>
      <c r="AI31" s="44">
        <f>IF(MOD($A31,12)=0,VARIABLES!$B$28,0)</f>
        <v>0</v>
      </c>
      <c r="AJ31" s="38">
        <f t="shared" si="5"/>
        <v>56685.600000000006</v>
      </c>
      <c r="AK31" s="39">
        <f>IF(OR($A31&lt;VARIABLES!$B$7,AND($A31&gt;=VARIABLES!$B$8,$A31&lt;VARIABLES!$B$10)),VARIABLES!$B$13,0)</f>
        <v>0</v>
      </c>
      <c r="AL31" s="46">
        <f t="shared" si="6"/>
        <v>82061.110512051295</v>
      </c>
      <c r="AM31" s="46">
        <f t="shared" si="7"/>
        <v>456525.86038560898</v>
      </c>
      <c r="AN31" s="41">
        <f t="shared" si="8"/>
        <v>0</v>
      </c>
    </row>
    <row r="32" spans="1:40" x14ac:dyDescent="0.2">
      <c r="A32" s="32">
        <v>29</v>
      </c>
      <c r="B32" s="32" t="str">
        <f>TEXT(DATE(VARIABLES!$B$70+INT((VARIABLES!$B$71+$A32-2)/12),MOD(VARIABLES!$B$71+$A32-2,12)+1,1),"mmm-yy")</f>
        <v>Oct-28</v>
      </c>
      <c r="C32" s="33">
        <f>IF($A32&lt;VARIABLES!$B$7,VARIABLES!$B$5/12,IF($A32&lt;VARIABLES!$B$8,VARIABLES!$B$6/12,IF($A32&lt;VARIABLES!$B$10,VARIABLES!$B$9/12,VARIABLES!$B$11/12)))</f>
        <v>4.9999999999999996E-2</v>
      </c>
      <c r="D32" s="34">
        <f>IF($A32&lt;VARIABLES!$B$31,0,IF($A32=VARIABLES!$B$31,VARIABLES!$B$32+VARIABLES!$B$33,VARIABLES!$B$33))</f>
        <v>200000</v>
      </c>
      <c r="E32" s="34">
        <f>D32*VARIABLES!$B$34</f>
        <v>1500</v>
      </c>
      <c r="F32" s="34">
        <f>IF($A32&lt;VARIABLES!$B$31,0,(IF($A32=VARIABLES!$B$31,0,G31)+D32)*C32*VARIABLES!$B$35)</f>
        <v>16685.283426444556</v>
      </c>
      <c r="G32" s="34">
        <f>IF($A32&lt;VARIABLES!$B$31,0,(IF($A32=VARIABLES!$B$31,0,G31)+D32)*(1+C32)-F32)</f>
        <v>13998952.794786982</v>
      </c>
      <c r="H32" s="34">
        <f>IF($A32&lt;VARIABLES!$B$38,0,IF($A32=VARIABLES!$B$38,VARIABLES!$B$39+VARIABLES!$B$40,VARIABLES!$B$40))</f>
        <v>40000</v>
      </c>
      <c r="I32" s="34">
        <f>H32*VARIABLES!$B$41</f>
        <v>300</v>
      </c>
      <c r="J32" s="34">
        <f>IF($A32&lt;VARIABLES!$B$38,0,(IF($A32=VARIABLES!$B$38,0,K31)+H32)*C32*VARIABLES!$B$42)</f>
        <v>10798.666634257439</v>
      </c>
      <c r="K32" s="34">
        <f>IF($A32&lt;VARIABLES!$B$38,0,(IF($A32=VARIABLES!$B$38,0,K31)+H32)*(1+C32)-J32)</f>
        <v>2256921.3265598053</v>
      </c>
      <c r="L32" s="34">
        <f>IF($A32&lt;VARIABLES!$B$45,0,IF($A32=VARIABLES!$B$45,VARIABLES!$B$46+VARIABLES!$B$47,VARIABLES!$B$47))</f>
        <v>0</v>
      </c>
      <c r="M32" s="34">
        <f>L32*VARIABLES!$B$48</f>
        <v>0</v>
      </c>
      <c r="N32" s="34">
        <f>IF($A32&lt;VARIABLES!$B$45,0,(IF($A32=VARIABLES!$B$45,0,O31)+L32)*C32*VARIABLES!$B$49)</f>
        <v>82050.239059998246</v>
      </c>
      <c r="O32" s="34">
        <f>IF($A32&lt;VARIABLES!$B$45,0,(IF($A32=VARIABLES!$B$45,0,O31)+L32)*(1+C32)-N32)</f>
        <v>17148499.963539634</v>
      </c>
      <c r="P32" s="34">
        <f>IF($A32&lt;VARIABLES!$B$52,0,IF($A32=VARIABLES!$B$52,VARIABLES!$B$53+VARIABLES!$B$54,VARIABLES!$B$54))</f>
        <v>20000</v>
      </c>
      <c r="Q32" s="34">
        <f>P32*VARIABLES!$B$55</f>
        <v>150</v>
      </c>
      <c r="R32" s="34">
        <f>IF($A32&lt;VARIABLES!$B$52,0,(IF($A32=VARIABLES!$B$52,0,S31)+P32)*C32*VARIABLES!$B$56)</f>
        <v>1431.5572970646961</v>
      </c>
      <c r="S32" s="34">
        <f>IF($A32&lt;VARIABLES!$B$52,0,(IF($A32=VARIABLES!$B$52,0,S31)+P32)*(1+C32)-R32)</f>
        <v>1201076.57223728</v>
      </c>
      <c r="T32" s="35">
        <f>IF($A32&lt;VARIABLES!$B$60,0,MIN(VARIABLES!$B$59,INT(($A32-VARIABLES!$B$60)/VARIABLES!$B$61)+1)*VARIABLES!$B$62)</f>
        <v>27</v>
      </c>
      <c r="U32" s="34">
        <f>T32*VARIABLES!$B$64+IF(AND($A32&gt;=VARIABLES!$B$60,MOD($A32-VARIABLES!$B$60,VARIABLES!$B$61)=0,INT(($A32-VARIABLES!$B$60)/VARIABLES!$B$61)&lt;VARIABLES!$B$59),VARIABLES!$B$62*VARIABLES!$B$63,0)</f>
        <v>185000</v>
      </c>
      <c r="V32" s="34">
        <f>U32*VARIABLES!$B$65</f>
        <v>1387.5</v>
      </c>
      <c r="W32" s="34">
        <f>IF($A32&lt;VARIABLES!$B$60,0,(IF($A32&lt;VARIABLES!$B$60+1,0,X31)+U32)*C32*VARIABLES!$B$66)</f>
        <v>27118.571552936919</v>
      </c>
      <c r="X32" s="34">
        <f>IF($A32&lt;VARIABLES!$B$60,0,(IF($A32&lt;VARIABLES!$B$60+1,0,X31)+U32)*(1+C32)-W32)</f>
        <v>5667781.4545638161</v>
      </c>
      <c r="Y32" s="34">
        <f t="shared" si="0"/>
        <v>445000</v>
      </c>
      <c r="Z32" s="34">
        <f t="shared" si="1"/>
        <v>3337.5</v>
      </c>
      <c r="AA32" s="34">
        <f t="shared" si="2"/>
        <v>138084.31797070184</v>
      </c>
      <c r="AB32" s="34">
        <f>(IF($A32=1,0,AD31)*VARIABLES!$B$18*VARIABLES!$B$16*VARIABLES!$B$17)+(Y32*VARIABLES!$B$16*VARIABLES!$B$17)</f>
        <v>4977.7460035307413</v>
      </c>
      <c r="AC32" s="36">
        <f t="shared" si="3"/>
        <v>146399.56397423259</v>
      </c>
      <c r="AD32" s="37">
        <f t="shared" si="4"/>
        <v>40273232.111687519</v>
      </c>
      <c r="AE32" s="34">
        <f>IF($A32=1,VARIABLES!$B$21,0)</f>
        <v>0</v>
      </c>
      <c r="AF32" s="34">
        <f>IF($A32&lt;=3,VARIABLES!$B$22,IF($A32&lt;=6,VARIABLES!$B$23,VARIABLES!$B$24))*(1+VARIABLES!$B$25)^INT(($A32-1)/12)</f>
        <v>51685.600000000006</v>
      </c>
      <c r="AG32" s="34">
        <f>IF(MOD($A32,12)=0,AD32*VARIABLES!$B$26,0)</f>
        <v>0</v>
      </c>
      <c r="AH32" s="34">
        <f>VARIABLES!$B$27</f>
        <v>5000</v>
      </c>
      <c r="AI32" s="34">
        <f>IF(MOD($A32,12)=0,VARIABLES!$B$28,0)</f>
        <v>0</v>
      </c>
      <c r="AJ32" s="38">
        <f t="shared" si="5"/>
        <v>56685.600000000006</v>
      </c>
      <c r="AK32" s="39">
        <f>IF(OR($A32&lt;VARIABLES!$B$7,AND($A32&gt;=VARIABLES!$B$8,$A32&lt;VARIABLES!$B$10)),VARIABLES!$B$13,0)</f>
        <v>0</v>
      </c>
      <c r="AL32" s="40">
        <f t="shared" si="6"/>
        <v>89713.963974232582</v>
      </c>
      <c r="AM32" s="40">
        <f t="shared" si="7"/>
        <v>546239.82435984153</v>
      </c>
      <c r="AN32" s="41">
        <f t="shared" si="8"/>
        <v>0</v>
      </c>
    </row>
    <row r="33" spans="1:40" x14ac:dyDescent="0.2">
      <c r="A33" s="42">
        <v>30</v>
      </c>
      <c r="B33" s="42" t="str">
        <f>TEXT(DATE(VARIABLES!$B$70+INT((VARIABLES!$B$71+$A33-2)/12),MOD(VARIABLES!$B$71+$A33-2,12)+1,1),"mmm-yy")</f>
        <v>Nov-28</v>
      </c>
      <c r="C33" s="43">
        <f>IF($A33&lt;VARIABLES!$B$7,VARIABLES!$B$5/12,IF($A33&lt;VARIABLES!$B$8,VARIABLES!$B$6/12,IF($A33&lt;VARIABLES!$B$10,VARIABLES!$B$9/12,VARIABLES!$B$11/12)))</f>
        <v>4.9999999999999996E-2</v>
      </c>
      <c r="D33" s="44">
        <f>IF($A33&lt;VARIABLES!$B$31,0,IF($A33=VARIABLES!$B$31,VARIABLES!$B$32+VARIABLES!$B$33,VARIABLES!$B$33))</f>
        <v>200000</v>
      </c>
      <c r="E33" s="44">
        <f>D33*VARIABLES!$B$34</f>
        <v>1500</v>
      </c>
      <c r="F33" s="44">
        <f>IF($A33&lt;VARIABLES!$B$31,0,(IF($A33=VARIABLES!$B$31,0,G32)+D33)*C33*VARIABLES!$B$35)</f>
        <v>17748.690993483728</v>
      </c>
      <c r="G33" s="44">
        <f>IF($A33&lt;VARIABLES!$B$31,0,(IF($A33=VARIABLES!$B$31,0,G32)+D33)*(1+C33)-F33)</f>
        <v>14891151.743532848</v>
      </c>
      <c r="H33" s="44">
        <f>IF($A33&lt;VARIABLES!$B$38,0,IF($A33=VARIABLES!$B$38,VARIABLES!$B$39+VARIABLES!$B$40,VARIABLES!$B$40))</f>
        <v>40000</v>
      </c>
      <c r="I33" s="44">
        <f>H33*VARIABLES!$B$41</f>
        <v>300</v>
      </c>
      <c r="J33" s="44">
        <f>IF($A33&lt;VARIABLES!$B$38,0,(IF($A33=VARIABLES!$B$38,0,K32)+H33)*C33*VARIABLES!$B$42)</f>
        <v>11484.606632799027</v>
      </c>
      <c r="K33" s="44">
        <f>IF($A33&lt;VARIABLES!$B$38,0,(IF($A33=VARIABLES!$B$38,0,K32)+H33)*(1+C33)-J33)</f>
        <v>2400282.7862549969</v>
      </c>
      <c r="L33" s="44">
        <f>IF($A33&lt;VARIABLES!$B$45,0,IF($A33=VARIABLES!$B$45,VARIABLES!$B$46+VARIABLES!$B$47,VARIABLES!$B$47))</f>
        <v>0</v>
      </c>
      <c r="M33" s="44">
        <f>L33*VARIABLES!$B$48</f>
        <v>0</v>
      </c>
      <c r="N33" s="44">
        <f>IF($A33&lt;VARIABLES!$B$45,0,(IF($A33=VARIABLES!$B$45,0,O32)+L33)*C33*VARIABLES!$B$49)</f>
        <v>85742.499817698161</v>
      </c>
      <c r="O33" s="44">
        <f>IF($A33&lt;VARIABLES!$B$45,0,(IF($A33=VARIABLES!$B$45,0,O32)+L33)*(1+C33)-N33)</f>
        <v>17920182.461898915</v>
      </c>
      <c r="P33" s="44">
        <f>IF($A33&lt;VARIABLES!$B$52,0,IF($A33=VARIABLES!$B$52,VARIABLES!$B$53+VARIABLES!$B$54,VARIABLES!$B$54))</f>
        <v>20000</v>
      </c>
      <c r="Q33" s="44">
        <f>P33*VARIABLES!$B$55</f>
        <v>150</v>
      </c>
      <c r="R33" s="44">
        <f>IF($A33&lt;VARIABLES!$B$52,0,(IF($A33=VARIABLES!$B$52,0,S32)+P33)*C33*VARIABLES!$B$56)</f>
        <v>1526.3457152966</v>
      </c>
      <c r="S33" s="44">
        <f>IF($A33&lt;VARIABLES!$B$52,0,(IF($A33=VARIABLES!$B$52,0,S32)+P33)*(1+C33)-R33)</f>
        <v>1280604.0551338473</v>
      </c>
      <c r="T33" s="45">
        <f>IF($A33&lt;VARIABLES!$B$60,0,MIN(VARIABLES!$B$59,INT(($A33-VARIABLES!$B$60)/VARIABLES!$B$61)+1)*VARIABLES!$B$62)</f>
        <v>28</v>
      </c>
      <c r="U33" s="44">
        <f>T33*VARIABLES!$B$64+IF(AND($A33&gt;=VARIABLES!$B$60,MOD($A33-VARIABLES!$B$60,VARIABLES!$B$61)=0,INT(($A33-VARIABLES!$B$60)/VARIABLES!$B$61)&lt;VARIABLES!$B$59),VARIABLES!$B$62*VARIABLES!$B$63,0)</f>
        <v>190000</v>
      </c>
      <c r="V33" s="44">
        <f>U33*VARIABLES!$B$65</f>
        <v>1425</v>
      </c>
      <c r="W33" s="44">
        <f>IF($A33&lt;VARIABLES!$B$60,0,(IF($A33&lt;VARIABLES!$B$60+1,0,X32)+U33)*C33*VARIABLES!$B$66)</f>
        <v>29288.90727281908</v>
      </c>
      <c r="X33" s="44">
        <f>IF($A33&lt;VARIABLES!$B$60,0,(IF($A33&lt;VARIABLES!$B$60+1,0,X32)+U33)*(1+C33)-W33)</f>
        <v>6121381.6200191882</v>
      </c>
      <c r="Y33" s="44">
        <f t="shared" si="0"/>
        <v>450000</v>
      </c>
      <c r="Z33" s="44">
        <f t="shared" si="1"/>
        <v>3375</v>
      </c>
      <c r="AA33" s="44">
        <f t="shared" si="2"/>
        <v>145791.05043209658</v>
      </c>
      <c r="AB33" s="44">
        <f>(IF($A33=1,0,AD32)*VARIABLES!$B$18*VARIABLES!$B$16*VARIABLES!$B$17)+(Y33*VARIABLES!$B$16*VARIABLES!$B$17)</f>
        <v>5259.1540139609397</v>
      </c>
      <c r="AC33" s="36">
        <f t="shared" si="3"/>
        <v>154425.20444605753</v>
      </c>
      <c r="AD33" s="37">
        <f t="shared" si="4"/>
        <v>42613602.666839801</v>
      </c>
      <c r="AE33" s="44">
        <f>IF($A33=1,VARIABLES!$B$21,0)</f>
        <v>0</v>
      </c>
      <c r="AF33" s="44">
        <f>IF($A33&lt;=3,VARIABLES!$B$22,IF($A33&lt;=6,VARIABLES!$B$23,VARIABLES!$B$24))*(1+VARIABLES!$B$25)^INT(($A33-1)/12)</f>
        <v>51685.600000000006</v>
      </c>
      <c r="AG33" s="44">
        <f>IF(MOD($A33,12)=0,AD33*VARIABLES!$B$26,0)</f>
        <v>0</v>
      </c>
      <c r="AH33" s="44">
        <f>VARIABLES!$B$27</f>
        <v>5000</v>
      </c>
      <c r="AI33" s="44">
        <f>IF(MOD($A33,12)=0,VARIABLES!$B$28,0)</f>
        <v>0</v>
      </c>
      <c r="AJ33" s="38">
        <f t="shared" si="5"/>
        <v>56685.600000000006</v>
      </c>
      <c r="AK33" s="39">
        <f>IF(OR($A33&lt;VARIABLES!$B$7,AND($A33&gt;=VARIABLES!$B$8,$A33&lt;VARIABLES!$B$10)),VARIABLES!$B$13,0)</f>
        <v>0</v>
      </c>
      <c r="AL33" s="46">
        <f t="shared" si="6"/>
        <v>97739.604446057521</v>
      </c>
      <c r="AM33" s="46">
        <f t="shared" si="7"/>
        <v>643979.42880589911</v>
      </c>
      <c r="AN33" s="41">
        <f t="shared" si="8"/>
        <v>0</v>
      </c>
    </row>
    <row r="34" spans="1:40" x14ac:dyDescent="0.2">
      <c r="A34" s="32">
        <v>31</v>
      </c>
      <c r="B34" s="32" t="str">
        <f>TEXT(DATE(VARIABLES!$B$70+INT((VARIABLES!$B$71+$A34-2)/12),MOD(VARIABLES!$B$71+$A34-2,12)+1,1),"mmm-yy")</f>
        <v>Dec-28</v>
      </c>
      <c r="C34" s="33">
        <f>IF($A34&lt;VARIABLES!$B$7,VARIABLES!$B$5/12,IF($A34&lt;VARIABLES!$B$8,VARIABLES!$B$6/12,IF($A34&lt;VARIABLES!$B$10,VARIABLES!$B$9/12,VARIABLES!$B$11/12)))</f>
        <v>4.9999999999999996E-2</v>
      </c>
      <c r="D34" s="34">
        <f>IF($A34&lt;VARIABLES!$B$31,0,IF($A34=VARIABLES!$B$31,VARIABLES!$B$32+VARIABLES!$B$33,VARIABLES!$B$33))</f>
        <v>200000</v>
      </c>
      <c r="E34" s="34">
        <f>D34*VARIABLES!$B$34</f>
        <v>1500</v>
      </c>
      <c r="F34" s="34">
        <f>IF($A34&lt;VARIABLES!$B$31,0,(IF($A34=VARIABLES!$B$31,0,G33)+D34)*C34*VARIABLES!$B$35)</f>
        <v>18863.939679416057</v>
      </c>
      <c r="G34" s="34">
        <f>IF($A34&lt;VARIABLES!$B$31,0,(IF($A34=VARIABLES!$B$31,0,G33)+D34)*(1+C34)-F34)</f>
        <v>15826845.391030075</v>
      </c>
      <c r="H34" s="34">
        <f>IF($A34&lt;VARIABLES!$B$38,0,IF($A34=VARIABLES!$B$38,VARIABLES!$B$39+VARIABLES!$B$40,VARIABLES!$B$40))</f>
        <v>40000</v>
      </c>
      <c r="I34" s="34">
        <f>H34*VARIABLES!$B$41</f>
        <v>300</v>
      </c>
      <c r="J34" s="34">
        <f>IF($A34&lt;VARIABLES!$B$38,0,(IF($A34=VARIABLES!$B$38,0,K33)+H34)*C34*VARIABLES!$B$42)</f>
        <v>12201.413931274983</v>
      </c>
      <c r="K34" s="34">
        <f>IF($A34&lt;VARIABLES!$B$38,0,(IF($A34=VARIABLES!$B$38,0,K33)+H34)*(1+C34)-J34)</f>
        <v>2550095.5116364718</v>
      </c>
      <c r="L34" s="34">
        <f>IF($A34&lt;VARIABLES!$B$45,0,IF($A34=VARIABLES!$B$45,VARIABLES!$B$46+VARIABLES!$B$47,VARIABLES!$B$47))</f>
        <v>0</v>
      </c>
      <c r="M34" s="34">
        <f>L34*VARIABLES!$B$48</f>
        <v>0</v>
      </c>
      <c r="N34" s="34">
        <f>IF($A34&lt;VARIABLES!$B$45,0,(IF($A34=VARIABLES!$B$45,0,O33)+L34)*C34*VARIABLES!$B$49)</f>
        <v>89600.912309494568</v>
      </c>
      <c r="O34" s="34">
        <f>IF($A34&lt;VARIABLES!$B$45,0,(IF($A34=VARIABLES!$B$45,0,O33)+L34)*(1+C34)-N34)</f>
        <v>18726590.672684368</v>
      </c>
      <c r="P34" s="34">
        <f>IF($A34&lt;VARIABLES!$B$52,0,IF($A34=VARIABLES!$B$52,VARIABLES!$B$53+VARIABLES!$B$54,VARIABLES!$B$54))</f>
        <v>20000</v>
      </c>
      <c r="Q34" s="34">
        <f>P34*VARIABLES!$B$55</f>
        <v>150</v>
      </c>
      <c r="R34" s="34">
        <f>IF($A34&lt;VARIABLES!$B$52,0,(IF($A34=VARIABLES!$B$52,0,S33)+P34)*C34*VARIABLES!$B$56)</f>
        <v>1625.755068917309</v>
      </c>
      <c r="S34" s="34">
        <f>IF($A34&lt;VARIABLES!$B$52,0,(IF($A34=VARIABLES!$B$52,0,S33)+P34)*(1+C34)-R34)</f>
        <v>1364008.5028216224</v>
      </c>
      <c r="T34" s="35">
        <f>IF($A34&lt;VARIABLES!$B$60,0,MIN(VARIABLES!$B$59,INT(($A34-VARIABLES!$B$60)/VARIABLES!$B$61)+1)*VARIABLES!$B$62)</f>
        <v>29</v>
      </c>
      <c r="U34" s="34">
        <f>T34*VARIABLES!$B$64+IF(AND($A34&gt;=VARIABLES!$B$60,MOD($A34-VARIABLES!$B$60,VARIABLES!$B$61)=0,INT(($A34-VARIABLES!$B$60)/VARIABLES!$B$61)&lt;VARIABLES!$B$59),VARIABLES!$B$62*VARIABLES!$B$63,0)</f>
        <v>195000</v>
      </c>
      <c r="V34" s="34">
        <f>U34*VARIABLES!$B$65</f>
        <v>1462.5</v>
      </c>
      <c r="W34" s="34">
        <f>IF($A34&lt;VARIABLES!$B$60,0,(IF($A34&lt;VARIABLES!$B$60+1,0,X33)+U34)*C34*VARIABLES!$B$66)</f>
        <v>31581.908100095941</v>
      </c>
      <c r="X34" s="34">
        <f>IF($A34&lt;VARIABLES!$B$60,0,(IF($A34&lt;VARIABLES!$B$60+1,0,X33)+U34)*(1+C34)-W34)</f>
        <v>6600618.7929200521</v>
      </c>
      <c r="Y34" s="34">
        <f t="shared" si="0"/>
        <v>455000</v>
      </c>
      <c r="Z34" s="34">
        <f t="shared" si="1"/>
        <v>3412.5</v>
      </c>
      <c r="AA34" s="34">
        <f t="shared" si="2"/>
        <v>153873.92908919885</v>
      </c>
      <c r="AB34" s="34">
        <f>(IF($A34=1,0,AD33)*VARIABLES!$B$18*VARIABLES!$B$16*VARIABLES!$B$17)+(Y34*VARIABLES!$B$16*VARIABLES!$B$17)</f>
        <v>5554.2003333549756</v>
      </c>
      <c r="AC34" s="36">
        <f t="shared" si="3"/>
        <v>162840.62942255381</v>
      </c>
      <c r="AD34" s="37">
        <f t="shared" si="4"/>
        <v>45068158.871092588</v>
      </c>
      <c r="AE34" s="34">
        <f>IF($A34=1,VARIABLES!$B$21,0)</f>
        <v>0</v>
      </c>
      <c r="AF34" s="34">
        <f>IF($A34&lt;=3,VARIABLES!$B$22,IF($A34&lt;=6,VARIABLES!$B$23,VARIABLES!$B$24))*(1+VARIABLES!$B$25)^INT(($A34-1)/12)</f>
        <v>51685.600000000006</v>
      </c>
      <c r="AG34" s="34">
        <f>IF(MOD($A34,12)=0,AD34*VARIABLES!$B$26,0)</f>
        <v>0</v>
      </c>
      <c r="AH34" s="34">
        <f>VARIABLES!$B$27</f>
        <v>5000</v>
      </c>
      <c r="AI34" s="34">
        <f>IF(MOD($A34,12)=0,VARIABLES!$B$28,0)</f>
        <v>0</v>
      </c>
      <c r="AJ34" s="38">
        <f t="shared" si="5"/>
        <v>56685.600000000006</v>
      </c>
      <c r="AK34" s="39">
        <f>IF(OR($A34&lt;VARIABLES!$B$7,AND($A34&gt;=VARIABLES!$B$8,$A34&lt;VARIABLES!$B$10)),VARIABLES!$B$13,0)</f>
        <v>0</v>
      </c>
      <c r="AL34" s="40">
        <f t="shared" si="6"/>
        <v>106155.02942255381</v>
      </c>
      <c r="AM34" s="40">
        <f t="shared" si="7"/>
        <v>750134.45822845295</v>
      </c>
      <c r="AN34" s="41">
        <f t="shared" si="8"/>
        <v>0</v>
      </c>
    </row>
    <row r="35" spans="1:40" x14ac:dyDescent="0.2">
      <c r="A35" s="42">
        <v>32</v>
      </c>
      <c r="B35" s="42" t="str">
        <f>TEXT(DATE(VARIABLES!$B$70+INT((VARIABLES!$B$71+$A35-2)/12),MOD(VARIABLES!$B$71+$A35-2,12)+1,1),"mmm-yy")</f>
        <v>Jan-29</v>
      </c>
      <c r="C35" s="43">
        <f>IF($A35&lt;VARIABLES!$B$7,VARIABLES!$B$5/12,IF($A35&lt;VARIABLES!$B$8,VARIABLES!$B$6/12,IF($A35&lt;VARIABLES!$B$10,VARIABLES!$B$9/12,VARIABLES!$B$11/12)))</f>
        <v>4.9999999999999996E-2</v>
      </c>
      <c r="D35" s="44">
        <f>IF($A35&lt;VARIABLES!$B$31,0,IF($A35=VARIABLES!$B$31,VARIABLES!$B$32+VARIABLES!$B$33,VARIABLES!$B$33))</f>
        <v>200000</v>
      </c>
      <c r="E35" s="44">
        <f>D35*VARIABLES!$B$34</f>
        <v>1500</v>
      </c>
      <c r="F35" s="44">
        <f>IF($A35&lt;VARIABLES!$B$31,0,(IF($A35=VARIABLES!$B$31,0,G34)+D35)*C35*VARIABLES!$B$35)</f>
        <v>20033.556738787593</v>
      </c>
      <c r="G35" s="44">
        <f>IF($A35&lt;VARIABLES!$B$31,0,(IF($A35=VARIABLES!$B$31,0,G34)+D35)*(1+C35)-F35)</f>
        <v>16808154.103842795</v>
      </c>
      <c r="H35" s="44">
        <f>IF($A35&lt;VARIABLES!$B$38,0,IF($A35=VARIABLES!$B$38,VARIABLES!$B$39+VARIABLES!$B$40,VARIABLES!$B$40))</f>
        <v>40000</v>
      </c>
      <c r="I35" s="44">
        <f>H35*VARIABLES!$B$41</f>
        <v>300</v>
      </c>
      <c r="J35" s="44">
        <f>IF($A35&lt;VARIABLES!$B$38,0,(IF($A35=VARIABLES!$B$38,0,K34)+H35)*C35*VARIABLES!$B$42)</f>
        <v>12950.477558182358</v>
      </c>
      <c r="K35" s="44">
        <f>IF($A35&lt;VARIABLES!$B$38,0,(IF($A35=VARIABLES!$B$38,0,K34)+H35)*(1+C35)-J35)</f>
        <v>2706649.809660113</v>
      </c>
      <c r="L35" s="44">
        <f>IF($A35&lt;VARIABLES!$B$45,0,IF($A35=VARIABLES!$B$45,VARIABLES!$B$46+VARIABLES!$B$47,VARIABLES!$B$47))</f>
        <v>0</v>
      </c>
      <c r="M35" s="44">
        <f>L35*VARIABLES!$B$48</f>
        <v>0</v>
      </c>
      <c r="N35" s="44">
        <f>IF($A35&lt;VARIABLES!$B$45,0,(IF($A35=VARIABLES!$B$45,0,O34)+L35)*C35*VARIABLES!$B$49)</f>
        <v>93632.953363421839</v>
      </c>
      <c r="O35" s="44">
        <f>IF($A35&lt;VARIABLES!$B$45,0,(IF($A35=VARIABLES!$B$45,0,O34)+L35)*(1+C35)-N35)</f>
        <v>19569287.252955165</v>
      </c>
      <c r="P35" s="44">
        <f>IF($A35&lt;VARIABLES!$B$52,0,IF($A35=VARIABLES!$B$52,VARIABLES!$B$53+VARIABLES!$B$54,VARIABLES!$B$54))</f>
        <v>20000</v>
      </c>
      <c r="Q35" s="44">
        <f>P35*VARIABLES!$B$55</f>
        <v>150</v>
      </c>
      <c r="R35" s="44">
        <f>IF($A35&lt;VARIABLES!$B$52,0,(IF($A35=VARIABLES!$B$52,0,S34)+P35)*C35*VARIABLES!$B$56)</f>
        <v>1730.0106285270278</v>
      </c>
      <c r="S35" s="44">
        <f>IF($A35&lt;VARIABLES!$B$52,0,(IF($A35=VARIABLES!$B$52,0,S34)+P35)*(1+C35)-R35)</f>
        <v>1451478.9173341766</v>
      </c>
      <c r="T35" s="45">
        <f>IF($A35&lt;VARIABLES!$B$60,0,MIN(VARIABLES!$B$59,INT(($A35-VARIABLES!$B$60)/VARIABLES!$B$61)+1)*VARIABLES!$B$62)</f>
        <v>30</v>
      </c>
      <c r="U35" s="44">
        <f>T35*VARIABLES!$B$64+IF(AND($A35&gt;=VARIABLES!$B$60,MOD($A35-VARIABLES!$B$60,VARIABLES!$B$61)=0,INT(($A35-VARIABLES!$B$60)/VARIABLES!$B$61)&lt;VARIABLES!$B$59),VARIABLES!$B$62*VARIABLES!$B$63,0)</f>
        <v>200000</v>
      </c>
      <c r="V35" s="44">
        <f>U35*VARIABLES!$B$65</f>
        <v>1500</v>
      </c>
      <c r="W35" s="44">
        <f>IF($A35&lt;VARIABLES!$B$60,0,(IF($A35&lt;VARIABLES!$B$60+1,0,X34)+U35)*C35*VARIABLES!$B$66)</f>
        <v>34003.093964600259</v>
      </c>
      <c r="X35" s="44">
        <f>IF($A35&lt;VARIABLES!$B$60,0,(IF($A35&lt;VARIABLES!$B$60+1,0,X34)+U35)*(1+C35)-W35)</f>
        <v>7106646.6386014549</v>
      </c>
      <c r="Y35" s="44">
        <f t="shared" si="0"/>
        <v>460000</v>
      </c>
      <c r="Z35" s="44">
        <f t="shared" si="1"/>
        <v>3450</v>
      </c>
      <c r="AA35" s="44">
        <f t="shared" si="2"/>
        <v>162350.09225351908</v>
      </c>
      <c r="AB35" s="44">
        <f>(IF($A35=1,0,AD34)*VARIABLES!$B$18*VARIABLES!$B$16*VARIABLES!$B$17)+(Y35*VARIABLES!$B$16*VARIABLES!$B$17)</f>
        <v>5863.5198588865733</v>
      </c>
      <c r="AC35" s="36">
        <f t="shared" si="3"/>
        <v>171663.61211240565</v>
      </c>
      <c r="AD35" s="37">
        <f t="shared" si="4"/>
        <v>47642216.722393699</v>
      </c>
      <c r="AE35" s="44">
        <f>IF($A35=1,VARIABLES!$B$21,0)</f>
        <v>0</v>
      </c>
      <c r="AF35" s="44">
        <f>IF($A35&lt;=3,VARIABLES!$B$22,IF($A35&lt;=6,VARIABLES!$B$23,VARIABLES!$B$24))*(1+VARIABLES!$B$25)^INT(($A35-1)/12)</f>
        <v>51685.600000000006</v>
      </c>
      <c r="AG35" s="44">
        <f>IF(MOD($A35,12)=0,AD35*VARIABLES!$B$26,0)</f>
        <v>0</v>
      </c>
      <c r="AH35" s="44">
        <f>VARIABLES!$B$27</f>
        <v>5000</v>
      </c>
      <c r="AI35" s="44">
        <f>IF(MOD($A35,12)=0,VARIABLES!$B$28,0)</f>
        <v>0</v>
      </c>
      <c r="AJ35" s="38">
        <f t="shared" si="5"/>
        <v>56685.600000000006</v>
      </c>
      <c r="AK35" s="39">
        <f>IF(OR($A35&lt;VARIABLES!$B$7,AND($A35&gt;=VARIABLES!$B$8,$A35&lt;VARIABLES!$B$10)),VARIABLES!$B$13,0)</f>
        <v>0</v>
      </c>
      <c r="AL35" s="46">
        <f t="shared" si="6"/>
        <v>114978.01211240565</v>
      </c>
      <c r="AM35" s="46">
        <f t="shared" si="7"/>
        <v>865112.47034085856</v>
      </c>
      <c r="AN35" s="41">
        <f t="shared" si="8"/>
        <v>0</v>
      </c>
    </row>
    <row r="36" spans="1:40" x14ac:dyDescent="0.2">
      <c r="A36" s="32">
        <v>33</v>
      </c>
      <c r="B36" s="32" t="str">
        <f>TEXT(DATE(VARIABLES!$B$70+INT((VARIABLES!$B$71+$A36-2)/12),MOD(VARIABLES!$B$71+$A36-2,12)+1,1),"mmm-yy")</f>
        <v>Feb-29</v>
      </c>
      <c r="C36" s="33">
        <f>IF($A36&lt;VARIABLES!$B$7,VARIABLES!$B$5/12,IF($A36&lt;VARIABLES!$B$8,VARIABLES!$B$6/12,IF($A36&lt;VARIABLES!$B$10,VARIABLES!$B$9/12,VARIABLES!$B$11/12)))</f>
        <v>4.9999999999999996E-2</v>
      </c>
      <c r="D36" s="34">
        <f>IF($A36&lt;VARIABLES!$B$31,0,IF($A36=VARIABLES!$B$31,VARIABLES!$B$32+VARIABLES!$B$33,VARIABLES!$B$33))</f>
        <v>200000</v>
      </c>
      <c r="E36" s="34">
        <f>D36*VARIABLES!$B$34</f>
        <v>1500</v>
      </c>
      <c r="F36" s="34">
        <f>IF($A36&lt;VARIABLES!$B$31,0,(IF($A36=VARIABLES!$B$31,0,G35)+D36)*C36*VARIABLES!$B$35)</f>
        <v>21260.192629803496</v>
      </c>
      <c r="G36" s="34">
        <f>IF($A36&lt;VARIABLES!$B$31,0,(IF($A36=VARIABLES!$B$31,0,G35)+D36)*(1+C36)-F36)</f>
        <v>17837301.616405133</v>
      </c>
      <c r="H36" s="34">
        <f>IF($A36&lt;VARIABLES!$B$38,0,IF($A36=VARIABLES!$B$38,VARIABLES!$B$39+VARIABLES!$B$40,VARIABLES!$B$40))</f>
        <v>40000</v>
      </c>
      <c r="I36" s="34">
        <f>H36*VARIABLES!$B$41</f>
        <v>300</v>
      </c>
      <c r="J36" s="34">
        <f>IF($A36&lt;VARIABLES!$B$38,0,(IF($A36=VARIABLES!$B$38,0,K35)+H36)*C36*VARIABLES!$B$42)</f>
        <v>13733.249048300566</v>
      </c>
      <c r="K36" s="34">
        <f>IF($A36&lt;VARIABLES!$B$38,0,(IF($A36=VARIABLES!$B$38,0,K35)+H36)*(1+C36)-J36)</f>
        <v>2870249.0510948184</v>
      </c>
      <c r="L36" s="34">
        <f>IF($A36&lt;VARIABLES!$B$45,0,IF($A36=VARIABLES!$B$45,VARIABLES!$B$46+VARIABLES!$B$47,VARIABLES!$B$47))</f>
        <v>0</v>
      </c>
      <c r="M36" s="34">
        <f>L36*VARIABLES!$B$48</f>
        <v>0</v>
      </c>
      <c r="N36" s="34">
        <f>IF($A36&lt;VARIABLES!$B$45,0,(IF($A36=VARIABLES!$B$45,0,O35)+L36)*C36*VARIABLES!$B$49)</f>
        <v>97846.43626477581</v>
      </c>
      <c r="O36" s="34">
        <f>IF($A36&lt;VARIABLES!$B$45,0,(IF($A36=VARIABLES!$B$45,0,O35)+L36)*(1+C36)-N36)</f>
        <v>20449905.17933815</v>
      </c>
      <c r="P36" s="34">
        <f>IF($A36&lt;VARIABLES!$B$52,0,IF($A36=VARIABLES!$B$52,VARIABLES!$B$53+VARIABLES!$B$54,VARIABLES!$B$54))</f>
        <v>20000</v>
      </c>
      <c r="Q36" s="34">
        <f>P36*VARIABLES!$B$55</f>
        <v>150</v>
      </c>
      <c r="R36" s="34">
        <f>IF($A36&lt;VARIABLES!$B$52,0,(IF($A36=VARIABLES!$B$52,0,S35)+P36)*C36*VARIABLES!$B$56)</f>
        <v>1839.3486466677205</v>
      </c>
      <c r="S36" s="34">
        <f>IF($A36&lt;VARIABLES!$B$52,0,(IF($A36=VARIABLES!$B$52,0,S35)+P36)*(1+C36)-R36)</f>
        <v>1543213.5145542177</v>
      </c>
      <c r="T36" s="35">
        <f>IF($A36&lt;VARIABLES!$B$60,0,MIN(VARIABLES!$B$59,INT(($A36-VARIABLES!$B$60)/VARIABLES!$B$61)+1)*VARIABLES!$B$62)</f>
        <v>31</v>
      </c>
      <c r="U36" s="34">
        <f>T36*VARIABLES!$B$64+IF(AND($A36&gt;=VARIABLES!$B$60,MOD($A36-VARIABLES!$B$60,VARIABLES!$B$61)=0,INT(($A36-VARIABLES!$B$60)/VARIABLES!$B$61)&lt;VARIABLES!$B$59),VARIABLES!$B$62*VARIABLES!$B$63,0)</f>
        <v>205000</v>
      </c>
      <c r="V36" s="34">
        <f>U36*VARIABLES!$B$65</f>
        <v>1537.5</v>
      </c>
      <c r="W36" s="34">
        <f>IF($A36&lt;VARIABLES!$B$60,0,(IF($A36&lt;VARIABLES!$B$60+1,0,X35)+U36)*C36*VARIABLES!$B$66)</f>
        <v>36558.233193007269</v>
      </c>
      <c r="X36" s="34">
        <f>IF($A36&lt;VARIABLES!$B$60,0,(IF($A36&lt;VARIABLES!$B$60+1,0,X35)+U36)*(1+C36)-W36)</f>
        <v>7640670.7373385206</v>
      </c>
      <c r="Y36" s="34">
        <f t="shared" ref="Y36:Y67" si="9">D36+H36+L36+P36+U36</f>
        <v>465000</v>
      </c>
      <c r="Z36" s="34">
        <f t="shared" ref="Z36:Z67" si="10">E36+I36+M36+Q36+V36</f>
        <v>3487.5</v>
      </c>
      <c r="AA36" s="34">
        <f t="shared" ref="AA36:AA67" si="11">F36+J36+N36+R36+W36</f>
        <v>171237.45978255486</v>
      </c>
      <c r="AB36" s="34">
        <f>(IF($A36=1,0,AD35)*VARIABLES!$B$18*VARIABLES!$B$16*VARIABLES!$B$17)+(Y36*VARIABLES!$B$16*VARIABLES!$B$17)</f>
        <v>6187.7770902992124</v>
      </c>
      <c r="AC36" s="36">
        <f t="shared" ref="AC36:AC67" si="12">Z36+AA36+AB36</f>
        <v>180912.73687285406</v>
      </c>
      <c r="AD36" s="37">
        <f t="shared" ref="AD36:AD67" si="13">G36+K36+O36+S36+X36</f>
        <v>50341340.09873084</v>
      </c>
      <c r="AE36" s="34">
        <f>IF($A36=1,VARIABLES!$B$21,0)</f>
        <v>0</v>
      </c>
      <c r="AF36" s="34">
        <f>IF($A36&lt;=3,VARIABLES!$B$22,IF($A36&lt;=6,VARIABLES!$B$23,VARIABLES!$B$24))*(1+VARIABLES!$B$25)^INT(($A36-1)/12)</f>
        <v>51685.600000000006</v>
      </c>
      <c r="AG36" s="34">
        <f>IF(MOD($A36,12)=0,AD36*VARIABLES!$B$26,0)</f>
        <v>0</v>
      </c>
      <c r="AH36" s="34">
        <f>VARIABLES!$B$27</f>
        <v>5000</v>
      </c>
      <c r="AI36" s="34">
        <f>IF(MOD($A36,12)=0,VARIABLES!$B$28,0)</f>
        <v>0</v>
      </c>
      <c r="AJ36" s="38">
        <f t="shared" ref="AJ36:AJ67" si="14">AE36+AF36+AG36+AH36+AI36</f>
        <v>56685.600000000006</v>
      </c>
      <c r="AK36" s="39">
        <f>IF(OR($A36&lt;VARIABLES!$B$7,AND($A36&gt;=VARIABLES!$B$8,$A36&lt;VARIABLES!$B$10)),VARIABLES!$B$13,0)</f>
        <v>0</v>
      </c>
      <c r="AL36" s="40">
        <f t="shared" ref="AL36:AL67" si="15">AC36-AJ36-AK36</f>
        <v>124227.13687285405</v>
      </c>
      <c r="AM36" s="40">
        <f t="shared" si="7"/>
        <v>989339.60721371265</v>
      </c>
      <c r="AN36" s="41">
        <f t="shared" si="8"/>
        <v>0</v>
      </c>
    </row>
    <row r="37" spans="1:40" x14ac:dyDescent="0.2">
      <c r="A37" s="42">
        <v>34</v>
      </c>
      <c r="B37" s="42" t="str">
        <f>TEXT(DATE(VARIABLES!$B$70+INT((VARIABLES!$B$71+$A37-2)/12),MOD(VARIABLES!$B$71+$A37-2,12)+1,1),"mmm-yy")</f>
        <v>Mar-29</v>
      </c>
      <c r="C37" s="43">
        <f>IF($A37&lt;VARIABLES!$B$7,VARIABLES!$B$5/12,IF($A37&lt;VARIABLES!$B$8,VARIABLES!$B$6/12,IF($A37&lt;VARIABLES!$B$10,VARIABLES!$B$9/12,VARIABLES!$B$11/12)))</f>
        <v>4.9999999999999996E-2</v>
      </c>
      <c r="D37" s="44">
        <f>IF($A37&lt;VARIABLES!$B$31,0,IF($A37=VARIABLES!$B$31,VARIABLES!$B$32+VARIABLES!$B$33,VARIABLES!$B$33))</f>
        <v>200000</v>
      </c>
      <c r="E37" s="44">
        <f>D37*VARIABLES!$B$34</f>
        <v>1500</v>
      </c>
      <c r="F37" s="44">
        <f>IF($A37&lt;VARIABLES!$B$31,0,(IF($A37=VARIABLES!$B$31,0,G36)+D37)*C37*VARIABLES!$B$35)</f>
        <v>22546.627020506417</v>
      </c>
      <c r="G37" s="44">
        <f>IF($A37&lt;VARIABLES!$B$31,0,(IF($A37=VARIABLES!$B$31,0,G36)+D37)*(1+C37)-F37)</f>
        <v>18916620.070204884</v>
      </c>
      <c r="H37" s="44">
        <f>IF($A37&lt;VARIABLES!$B$38,0,IF($A37=VARIABLES!$B$38,VARIABLES!$B$39+VARIABLES!$B$40,VARIABLES!$B$40))</f>
        <v>40000</v>
      </c>
      <c r="I37" s="44">
        <f>H37*VARIABLES!$B$41</f>
        <v>300</v>
      </c>
      <c r="J37" s="44">
        <f>IF($A37&lt;VARIABLES!$B$38,0,(IF($A37=VARIABLES!$B$38,0,K36)+H37)*C37*VARIABLES!$B$42)</f>
        <v>14551.245255474092</v>
      </c>
      <c r="K37" s="44">
        <f>IF($A37&lt;VARIABLES!$B$38,0,(IF($A37=VARIABLES!$B$38,0,K36)+H37)*(1+C37)-J37)</f>
        <v>3041210.2583940853</v>
      </c>
      <c r="L37" s="44">
        <f>IF($A37&lt;VARIABLES!$B$45,0,IF($A37=VARIABLES!$B$45,VARIABLES!$B$46+VARIABLES!$B$47,VARIABLES!$B$47))</f>
        <v>0</v>
      </c>
      <c r="M37" s="44">
        <f>L37*VARIABLES!$B$48</f>
        <v>0</v>
      </c>
      <c r="N37" s="44">
        <f>IF($A37&lt;VARIABLES!$B$45,0,(IF($A37=VARIABLES!$B$45,0,O36)+L37)*C37*VARIABLES!$B$49)</f>
        <v>102249.52589669074</v>
      </c>
      <c r="O37" s="44">
        <f>IF($A37&lt;VARIABLES!$B$45,0,(IF($A37=VARIABLES!$B$45,0,O36)+L37)*(1+C37)-N37)</f>
        <v>21370150.912408367</v>
      </c>
      <c r="P37" s="44">
        <f>IF($A37&lt;VARIABLES!$B$52,0,IF($A37=VARIABLES!$B$52,VARIABLES!$B$53+VARIABLES!$B$54,VARIABLES!$B$54))</f>
        <v>20000</v>
      </c>
      <c r="Q37" s="44">
        <f>P37*VARIABLES!$B$55</f>
        <v>150</v>
      </c>
      <c r="R37" s="44">
        <f>IF($A37&lt;VARIABLES!$B$52,0,(IF($A37=VARIABLES!$B$52,0,S36)+P37)*C37*VARIABLES!$B$56)</f>
        <v>1954.0168931927722</v>
      </c>
      <c r="S37" s="44">
        <f>IF($A37&lt;VARIABLES!$B$52,0,(IF($A37=VARIABLES!$B$52,0,S36)+P37)*(1+C37)-R37)</f>
        <v>1639420.1733887361</v>
      </c>
      <c r="T37" s="45">
        <f>IF($A37&lt;VARIABLES!$B$60,0,MIN(VARIABLES!$B$59,INT(($A37-VARIABLES!$B$60)/VARIABLES!$B$61)+1)*VARIABLES!$B$62)</f>
        <v>32</v>
      </c>
      <c r="U37" s="44">
        <f>T37*VARIABLES!$B$64+IF(AND($A37&gt;=VARIABLES!$B$60,MOD($A37-VARIABLES!$B$60,VARIABLES!$B$61)=0,INT(($A37-VARIABLES!$B$60)/VARIABLES!$B$61)&lt;VARIABLES!$B$59),VARIABLES!$B$62*VARIABLES!$B$63,0)</f>
        <v>210000</v>
      </c>
      <c r="V37" s="44">
        <f>U37*VARIABLES!$B$65</f>
        <v>1575</v>
      </c>
      <c r="W37" s="44">
        <f>IF($A37&lt;VARIABLES!$B$60,0,(IF($A37&lt;VARIABLES!$B$60+1,0,X36)+U37)*C37*VARIABLES!$B$66)</f>
        <v>39253.353686692601</v>
      </c>
      <c r="X37" s="44">
        <f>IF($A37&lt;VARIABLES!$B$60,0,(IF($A37&lt;VARIABLES!$B$60+1,0,X36)+U37)*(1+C37)-W37)</f>
        <v>8203950.920518755</v>
      </c>
      <c r="Y37" s="44">
        <f t="shared" si="9"/>
        <v>470000</v>
      </c>
      <c r="Z37" s="44">
        <f t="shared" si="10"/>
        <v>3525</v>
      </c>
      <c r="AA37" s="44">
        <f t="shared" si="11"/>
        <v>180554.76875255664</v>
      </c>
      <c r="AB37" s="44">
        <f>(IF($A37=1,0,AD36)*VARIABLES!$B$18*VARIABLES!$B$16*VARIABLES!$B$17)+(Y37*VARIABLES!$B$16*VARIABLES!$B$17)</f>
        <v>6527.6675123413552</v>
      </c>
      <c r="AC37" s="36">
        <f t="shared" si="12"/>
        <v>190607.43626489799</v>
      </c>
      <c r="AD37" s="37">
        <f t="shared" si="13"/>
        <v>53171352.334914826</v>
      </c>
      <c r="AE37" s="44">
        <f>IF($A37=1,VARIABLES!$B$21,0)</f>
        <v>0</v>
      </c>
      <c r="AF37" s="44">
        <f>IF($A37&lt;=3,VARIABLES!$B$22,IF($A37&lt;=6,VARIABLES!$B$23,VARIABLES!$B$24))*(1+VARIABLES!$B$25)^INT(($A37-1)/12)</f>
        <v>51685.600000000006</v>
      </c>
      <c r="AG37" s="44">
        <f>IF(MOD($A37,12)=0,AD37*VARIABLES!$B$26,0)</f>
        <v>0</v>
      </c>
      <c r="AH37" s="44">
        <f>VARIABLES!$B$27</f>
        <v>5000</v>
      </c>
      <c r="AI37" s="44">
        <f>IF(MOD($A37,12)=0,VARIABLES!$B$28,0)</f>
        <v>0</v>
      </c>
      <c r="AJ37" s="38">
        <f t="shared" si="14"/>
        <v>56685.600000000006</v>
      </c>
      <c r="AK37" s="39">
        <f>IF(OR($A37&lt;VARIABLES!$B$7,AND($A37&gt;=VARIABLES!$B$8,$A37&lt;VARIABLES!$B$10)),VARIABLES!$B$13,0)</f>
        <v>0</v>
      </c>
      <c r="AL37" s="46">
        <f t="shared" si="15"/>
        <v>133921.83626489798</v>
      </c>
      <c r="AM37" s="46">
        <f t="shared" ref="AM37:AM68" si="16">AM36+AL37</f>
        <v>1123261.4434786106</v>
      </c>
      <c r="AN37" s="41">
        <f t="shared" ref="AN37:AN68" si="17">AN36+AK37</f>
        <v>0</v>
      </c>
    </row>
    <row r="38" spans="1:40" x14ac:dyDescent="0.2">
      <c r="A38" s="32">
        <v>35</v>
      </c>
      <c r="B38" s="32" t="str">
        <f>TEXT(DATE(VARIABLES!$B$70+INT((VARIABLES!$B$71+$A38-2)/12),MOD(VARIABLES!$B$71+$A38-2,12)+1,1),"mmm-yy")</f>
        <v>Apr-29</v>
      </c>
      <c r="C38" s="33">
        <f>IF($A38&lt;VARIABLES!$B$7,VARIABLES!$B$5/12,IF($A38&lt;VARIABLES!$B$8,VARIABLES!$B$6/12,IF($A38&lt;VARIABLES!$B$10,VARIABLES!$B$9/12,VARIABLES!$B$11/12)))</f>
        <v>4.9999999999999996E-2</v>
      </c>
      <c r="D38" s="34">
        <f>IF($A38&lt;VARIABLES!$B$31,0,IF($A38=VARIABLES!$B$31,VARIABLES!$B$32+VARIABLES!$B$33,VARIABLES!$B$33))</f>
        <v>200000</v>
      </c>
      <c r="E38" s="34">
        <f>D38*VARIABLES!$B$34</f>
        <v>1500</v>
      </c>
      <c r="F38" s="34">
        <f>IF($A38&lt;VARIABLES!$B$31,0,(IF($A38=VARIABLES!$B$31,0,G37)+D38)*C38*VARIABLES!$B$35)</f>
        <v>23895.775087756105</v>
      </c>
      <c r="G38" s="34">
        <f>IF($A38&lt;VARIABLES!$B$31,0,(IF($A38=VARIABLES!$B$31,0,G37)+D38)*(1+C38)-F38)</f>
        <v>20048555.298627373</v>
      </c>
      <c r="H38" s="34">
        <f>IF($A38&lt;VARIABLES!$B$38,0,IF($A38=VARIABLES!$B$38,VARIABLES!$B$39+VARIABLES!$B$40,VARIABLES!$B$40))</f>
        <v>40000</v>
      </c>
      <c r="I38" s="34">
        <f>H38*VARIABLES!$B$41</f>
        <v>300</v>
      </c>
      <c r="J38" s="34">
        <f>IF($A38&lt;VARIABLES!$B$38,0,(IF($A38=VARIABLES!$B$38,0,K37)+H38)*C38*VARIABLES!$B$42)</f>
        <v>15406.051291970427</v>
      </c>
      <c r="K38" s="34">
        <f>IF($A38&lt;VARIABLES!$B$38,0,(IF($A38=VARIABLES!$B$38,0,K37)+H38)*(1+C38)-J38)</f>
        <v>3219864.7200218192</v>
      </c>
      <c r="L38" s="34">
        <f>IF($A38&lt;VARIABLES!$B$45,0,IF($A38=VARIABLES!$B$45,VARIABLES!$B$46+VARIABLES!$B$47,VARIABLES!$B$47))</f>
        <v>0</v>
      </c>
      <c r="M38" s="34">
        <f>L38*VARIABLES!$B$48</f>
        <v>0</v>
      </c>
      <c r="N38" s="34">
        <f>IF($A38&lt;VARIABLES!$B$45,0,(IF($A38=VARIABLES!$B$45,0,O37)+L38)*C38*VARIABLES!$B$49)</f>
        <v>106850.75456204182</v>
      </c>
      <c r="O38" s="34">
        <f>IF($A38&lt;VARIABLES!$B$45,0,(IF($A38=VARIABLES!$B$45,0,O37)+L38)*(1+C38)-N38)</f>
        <v>22331807.703466743</v>
      </c>
      <c r="P38" s="34">
        <f>IF($A38&lt;VARIABLES!$B$52,0,IF($A38=VARIABLES!$B$52,VARIABLES!$B$53+VARIABLES!$B$54,VARIABLES!$B$54))</f>
        <v>20000</v>
      </c>
      <c r="Q38" s="34">
        <f>P38*VARIABLES!$B$55</f>
        <v>150</v>
      </c>
      <c r="R38" s="34">
        <f>IF($A38&lt;VARIABLES!$B$52,0,(IF($A38=VARIABLES!$B$52,0,S37)+P38)*C38*VARIABLES!$B$56)</f>
        <v>2074.2752167359199</v>
      </c>
      <c r="S38" s="34">
        <f>IF($A38&lt;VARIABLES!$B$52,0,(IF($A38=VARIABLES!$B$52,0,S37)+P38)*(1+C38)-R38)</f>
        <v>1740316.9068414371</v>
      </c>
      <c r="T38" s="35">
        <f>IF($A38&lt;VARIABLES!$B$60,0,MIN(VARIABLES!$B$59,INT(($A38-VARIABLES!$B$60)/VARIABLES!$B$61)+1)*VARIABLES!$B$62)</f>
        <v>33</v>
      </c>
      <c r="U38" s="34">
        <f>T38*VARIABLES!$B$64+IF(AND($A38&gt;=VARIABLES!$B$60,MOD($A38-VARIABLES!$B$60,VARIABLES!$B$61)=0,INT(($A38-VARIABLES!$B$60)/VARIABLES!$B$61)&lt;VARIABLES!$B$59),VARIABLES!$B$62*VARIABLES!$B$63,0)</f>
        <v>215000</v>
      </c>
      <c r="V38" s="34">
        <f>U38*VARIABLES!$B$65</f>
        <v>1612.5</v>
      </c>
      <c r="W38" s="34">
        <f>IF($A38&lt;VARIABLES!$B$60,0,(IF($A38&lt;VARIABLES!$B$60+1,0,X37)+U38)*C38*VARIABLES!$B$66)</f>
        <v>42094.754602593777</v>
      </c>
      <c r="X38" s="34">
        <f>IF($A38&lt;VARIABLES!$B$60,0,(IF($A38&lt;VARIABLES!$B$60+1,0,X37)+U38)*(1+C38)-W38)</f>
        <v>8797803.711942099</v>
      </c>
      <c r="Y38" s="34">
        <f t="shared" si="9"/>
        <v>475000</v>
      </c>
      <c r="Z38" s="34">
        <f t="shared" si="10"/>
        <v>3562.5</v>
      </c>
      <c r="AA38" s="34">
        <f t="shared" si="11"/>
        <v>190321.61076109807</v>
      </c>
      <c r="AB38" s="34">
        <f>(IF($A38=1,0,AD37)*VARIABLES!$B$18*VARIABLES!$B$16*VARIABLES!$B$17)+(Y38*VARIABLES!$B$16*VARIABLES!$B$17)</f>
        <v>6883.9190418643529</v>
      </c>
      <c r="AC38" s="36">
        <f t="shared" si="12"/>
        <v>200768.02980296241</v>
      </c>
      <c r="AD38" s="37">
        <f t="shared" si="13"/>
        <v>56138348.340899467</v>
      </c>
      <c r="AE38" s="34">
        <f>IF($A38=1,VARIABLES!$B$21,0)</f>
        <v>0</v>
      </c>
      <c r="AF38" s="34">
        <f>IF($A38&lt;=3,VARIABLES!$B$22,IF($A38&lt;=6,VARIABLES!$B$23,VARIABLES!$B$24))*(1+VARIABLES!$B$25)^INT(($A38-1)/12)</f>
        <v>51685.600000000006</v>
      </c>
      <c r="AG38" s="34">
        <f>IF(MOD($A38,12)=0,AD38*VARIABLES!$B$26,0)</f>
        <v>0</v>
      </c>
      <c r="AH38" s="34">
        <f>VARIABLES!$B$27</f>
        <v>5000</v>
      </c>
      <c r="AI38" s="34">
        <f>IF(MOD($A38,12)=0,VARIABLES!$B$28,0)</f>
        <v>0</v>
      </c>
      <c r="AJ38" s="38">
        <f t="shared" si="14"/>
        <v>56685.600000000006</v>
      </c>
      <c r="AK38" s="39">
        <f>IF(OR($A38&lt;VARIABLES!$B$7,AND($A38&gt;=VARIABLES!$B$8,$A38&lt;VARIABLES!$B$10)),VARIABLES!$B$13,0)</f>
        <v>0</v>
      </c>
      <c r="AL38" s="40">
        <f t="shared" si="15"/>
        <v>144082.4298029624</v>
      </c>
      <c r="AM38" s="40">
        <f t="shared" si="16"/>
        <v>1267343.8732815729</v>
      </c>
      <c r="AN38" s="41">
        <f t="shared" si="17"/>
        <v>0</v>
      </c>
    </row>
    <row r="39" spans="1:40" x14ac:dyDescent="0.2">
      <c r="A39" s="42">
        <v>36</v>
      </c>
      <c r="B39" s="42" t="str">
        <f>TEXT(DATE(VARIABLES!$B$70+INT((VARIABLES!$B$71+$A39-2)/12),MOD(VARIABLES!$B$71+$A39-2,12)+1,1),"mmm-yy")</f>
        <v>May-29</v>
      </c>
      <c r="C39" s="43">
        <f>IF($A39&lt;VARIABLES!$B$7,VARIABLES!$B$5/12,IF($A39&lt;VARIABLES!$B$8,VARIABLES!$B$6/12,IF($A39&lt;VARIABLES!$B$10,VARIABLES!$B$9/12,VARIABLES!$B$11/12)))</f>
        <v>4.9999999999999996E-2</v>
      </c>
      <c r="D39" s="44">
        <f>IF($A39&lt;VARIABLES!$B$31,0,IF($A39=VARIABLES!$B$31,VARIABLES!$B$32+VARIABLES!$B$33,VARIABLES!$B$33))</f>
        <v>200000</v>
      </c>
      <c r="E39" s="44">
        <f>D39*VARIABLES!$B$34</f>
        <v>1500</v>
      </c>
      <c r="F39" s="44">
        <f>IF($A39&lt;VARIABLES!$B$31,0,(IF($A39=VARIABLES!$B$31,0,G38)+D39)*C39*VARIABLES!$B$35)</f>
        <v>25310.694123284215</v>
      </c>
      <c r="G39" s="44">
        <f>IF($A39&lt;VARIABLES!$B$31,0,(IF($A39=VARIABLES!$B$31,0,G38)+D39)*(1+C39)-F39)</f>
        <v>21235672.369435459</v>
      </c>
      <c r="H39" s="44">
        <f>IF($A39&lt;VARIABLES!$B$38,0,IF($A39=VARIABLES!$B$38,VARIABLES!$B$39+VARIABLES!$B$40,VARIABLES!$B$40))</f>
        <v>40000</v>
      </c>
      <c r="I39" s="44">
        <f>H39*VARIABLES!$B$41</f>
        <v>300</v>
      </c>
      <c r="J39" s="44">
        <f>IF($A39&lt;VARIABLES!$B$38,0,(IF($A39=VARIABLES!$B$38,0,K38)+H39)*C39*VARIABLES!$B$42)</f>
        <v>16299.323600109097</v>
      </c>
      <c r="K39" s="44">
        <f>IF($A39&lt;VARIABLES!$B$38,0,(IF($A39=VARIABLES!$B$38,0,K38)+H39)*(1+C39)-J39)</f>
        <v>3406558.6324228011</v>
      </c>
      <c r="L39" s="44">
        <f>IF($A39&lt;VARIABLES!$B$45,0,IF($A39=VARIABLES!$B$45,VARIABLES!$B$46+VARIABLES!$B$47,VARIABLES!$B$47))</f>
        <v>0</v>
      </c>
      <c r="M39" s="44">
        <f>L39*VARIABLES!$B$48</f>
        <v>0</v>
      </c>
      <c r="N39" s="44">
        <f>IF($A39&lt;VARIABLES!$B$45,0,(IF($A39=VARIABLES!$B$45,0,O38)+L39)*C39*VARIABLES!$B$49)</f>
        <v>111659.03851733371</v>
      </c>
      <c r="O39" s="44">
        <f>IF($A39&lt;VARIABLES!$B$45,0,(IF($A39=VARIABLES!$B$45,0,O38)+L39)*(1+C39)-N39)</f>
        <v>23336739.050122749</v>
      </c>
      <c r="P39" s="44">
        <f>IF($A39&lt;VARIABLES!$B$52,0,IF($A39=VARIABLES!$B$52,VARIABLES!$B$53+VARIABLES!$B$54,VARIABLES!$B$54))</f>
        <v>20000</v>
      </c>
      <c r="Q39" s="44">
        <f>P39*VARIABLES!$B$55</f>
        <v>150</v>
      </c>
      <c r="R39" s="44">
        <f>IF($A39&lt;VARIABLES!$B$52,0,(IF($A39=VARIABLES!$B$52,0,S38)+P39)*C39*VARIABLES!$B$56)</f>
        <v>2200.3961335517961</v>
      </c>
      <c r="S39" s="44">
        <f>IF($A39&lt;VARIABLES!$B$52,0,(IF($A39=VARIABLES!$B$52,0,S38)+P39)*(1+C39)-R39)</f>
        <v>1846132.3560499572</v>
      </c>
      <c r="T39" s="45">
        <f>IF($A39&lt;VARIABLES!$B$60,0,MIN(VARIABLES!$B$59,INT(($A39-VARIABLES!$B$60)/VARIABLES!$B$61)+1)*VARIABLES!$B$62)</f>
        <v>34</v>
      </c>
      <c r="U39" s="44">
        <f>T39*VARIABLES!$B$64+IF(AND($A39&gt;=VARIABLES!$B$60,MOD($A39-VARIABLES!$B$60,VARIABLES!$B$61)=0,INT(($A39-VARIABLES!$B$60)/VARIABLES!$B$61)&lt;VARIABLES!$B$59),VARIABLES!$B$62*VARIABLES!$B$63,0)</f>
        <v>220000</v>
      </c>
      <c r="V39" s="44">
        <f>U39*VARIABLES!$B$65</f>
        <v>1650</v>
      </c>
      <c r="W39" s="44">
        <f>IF($A39&lt;VARIABLES!$B$60,0,(IF($A39&lt;VARIABLES!$B$60+1,0,X38)+U39)*C39*VARIABLES!$B$66)</f>
        <v>45089.018559710494</v>
      </c>
      <c r="X39" s="44">
        <f>IF($A39&lt;VARIABLES!$B$60,0,(IF($A39&lt;VARIABLES!$B$60+1,0,X38)+U39)*(1+C39)-W39)</f>
        <v>9423604.8789794929</v>
      </c>
      <c r="Y39" s="44">
        <f t="shared" si="9"/>
        <v>480000</v>
      </c>
      <c r="Z39" s="44">
        <f t="shared" si="10"/>
        <v>3600</v>
      </c>
      <c r="AA39" s="44">
        <f t="shared" si="11"/>
        <v>200558.4709339893</v>
      </c>
      <c r="AB39" s="44">
        <f>(IF($A39=1,0,AD38)*VARIABLES!$B$18*VARIABLES!$B$16*VARIABLES!$B$17)+(Y39*VARIABLES!$B$16*VARIABLES!$B$17)</f>
        <v>7257.2935426124332</v>
      </c>
      <c r="AC39" s="36">
        <f t="shared" si="12"/>
        <v>211415.76447660173</v>
      </c>
      <c r="AD39" s="37">
        <f t="shared" si="13"/>
        <v>59248707.287010461</v>
      </c>
      <c r="AE39" s="44">
        <f>IF($A39=1,VARIABLES!$B$21,0)</f>
        <v>0</v>
      </c>
      <c r="AF39" s="44">
        <f>IF($A39&lt;=3,VARIABLES!$B$22,IF($A39&lt;=6,VARIABLES!$B$23,VARIABLES!$B$24))*(1+VARIABLES!$B$25)^INT(($A39-1)/12)</f>
        <v>51685.600000000006</v>
      </c>
      <c r="AG39" s="44">
        <f>IF(MOD($A39,12)=0,AD39*VARIABLES!$B$26,0)</f>
        <v>148121.76821752614</v>
      </c>
      <c r="AH39" s="44">
        <f>VARIABLES!$B$27</f>
        <v>5000</v>
      </c>
      <c r="AI39" s="44">
        <f>IF(MOD($A39,12)=0,VARIABLES!$B$28,0)</f>
        <v>3000</v>
      </c>
      <c r="AJ39" s="38">
        <f t="shared" si="14"/>
        <v>207807.36821752615</v>
      </c>
      <c r="AK39" s="39">
        <f>IF(OR($A39&lt;VARIABLES!$B$7,AND($A39&gt;=VARIABLES!$B$8,$A39&lt;VARIABLES!$B$10)),VARIABLES!$B$13,0)</f>
        <v>0</v>
      </c>
      <c r="AL39" s="46">
        <f t="shared" si="15"/>
        <v>3608.3962590755837</v>
      </c>
      <c r="AM39" s="46">
        <f t="shared" si="16"/>
        <v>1270952.2695406484</v>
      </c>
      <c r="AN39" s="41">
        <f t="shared" si="17"/>
        <v>0</v>
      </c>
    </row>
    <row r="40" spans="1:40" x14ac:dyDescent="0.2">
      <c r="A40" s="32">
        <v>37</v>
      </c>
      <c r="B40" s="32" t="str">
        <f>TEXT(DATE(VARIABLES!$B$70+INT((VARIABLES!$B$71+$A40-2)/12),MOD(VARIABLES!$B$71+$A40-2,12)+1,1),"mmm-yy")</f>
        <v>Jun-29</v>
      </c>
      <c r="C40" s="33">
        <f>IF($A40&lt;VARIABLES!$B$7,VARIABLES!$B$5/12,IF($A40&lt;VARIABLES!$B$8,VARIABLES!$B$6/12,IF($A40&lt;VARIABLES!$B$10,VARIABLES!$B$9/12,VARIABLES!$B$11/12)))</f>
        <v>8.3333333333333332E-3</v>
      </c>
      <c r="D40" s="34">
        <f>IF($A40&lt;VARIABLES!$B$31,0,IF($A40=VARIABLES!$B$31,VARIABLES!$B$32+VARIABLES!$B$33,VARIABLES!$B$33))</f>
        <v>200000</v>
      </c>
      <c r="E40" s="34">
        <f>D40*VARIABLES!$B$34</f>
        <v>1500</v>
      </c>
      <c r="F40" s="34">
        <f>IF($A40&lt;VARIABLES!$B$31,0,(IF($A40=VARIABLES!$B$31,0,G39)+D40)*C40*VARIABLES!$B$35)</f>
        <v>4465.7650769657212</v>
      </c>
      <c r="G40" s="34">
        <f>IF($A40&lt;VARIABLES!$B$31,0,(IF($A40=VARIABLES!$B$31,0,G39)+D40)*(1+C40)-F40)</f>
        <v>21609837.207437124</v>
      </c>
      <c r="H40" s="34">
        <f>IF($A40&lt;VARIABLES!$B$38,0,IF($A40=VARIABLES!$B$38,VARIABLES!$B$39+VARIABLES!$B$40,VARIABLES!$B$40))</f>
        <v>40000</v>
      </c>
      <c r="I40" s="34">
        <f>H40*VARIABLES!$B$41</f>
        <v>300</v>
      </c>
      <c r="J40" s="34">
        <f>IF($A40&lt;VARIABLES!$B$38,0,(IF($A40=VARIABLES!$B$38,0,K39)+H40)*C40*VARIABLES!$B$42)</f>
        <v>2872.1321936856675</v>
      </c>
      <c r="K40" s="34">
        <f>IF($A40&lt;VARIABLES!$B$38,0,(IF($A40=VARIABLES!$B$38,0,K39)+H40)*(1+C40)-J40)</f>
        <v>3472407.8221659721</v>
      </c>
      <c r="L40" s="34">
        <f>IF($A40&lt;VARIABLES!$B$45,0,IF($A40=VARIABLES!$B$45,VARIABLES!$B$46+VARIABLES!$B$47,VARIABLES!$B$47))</f>
        <v>0</v>
      </c>
      <c r="M40" s="34">
        <f>L40*VARIABLES!$B$48</f>
        <v>0</v>
      </c>
      <c r="N40" s="34">
        <f>IF($A40&lt;VARIABLES!$B$45,0,(IF($A40=VARIABLES!$B$45,0,O39)+L40)*C40*VARIABLES!$B$49)</f>
        <v>19447.282541768956</v>
      </c>
      <c r="O40" s="34">
        <f>IF($A40&lt;VARIABLES!$B$45,0,(IF($A40=VARIABLES!$B$45,0,O39)+L40)*(1+C40)-N40)</f>
        <v>23511764.592998669</v>
      </c>
      <c r="P40" s="34">
        <f>IF($A40&lt;VARIABLES!$B$52,0,IF($A40=VARIABLES!$B$52,VARIABLES!$B$53+VARIABLES!$B$54,VARIABLES!$B$54))</f>
        <v>20000</v>
      </c>
      <c r="Q40" s="34">
        <f>P40*VARIABLES!$B$55</f>
        <v>150</v>
      </c>
      <c r="R40" s="34">
        <f>IF($A40&lt;VARIABLES!$B$52,0,(IF($A40=VARIABLES!$B$52,0,S39)+P40)*C40*VARIABLES!$B$56)</f>
        <v>388.77757417707443</v>
      </c>
      <c r="S40" s="34">
        <f>IF($A40&lt;VARIABLES!$B$52,0,(IF($A40=VARIABLES!$B$52,0,S39)+P40)*(1+C40)-R40)</f>
        <v>1881294.6814428631</v>
      </c>
      <c r="T40" s="35">
        <f>IF($A40&lt;VARIABLES!$B$60,0,MIN(VARIABLES!$B$59,INT(($A40-VARIABLES!$B$60)/VARIABLES!$B$61)+1)*VARIABLES!$B$62)</f>
        <v>35</v>
      </c>
      <c r="U40" s="34">
        <f>T40*VARIABLES!$B$64+IF(AND($A40&gt;=VARIABLES!$B$60,MOD($A40-VARIABLES!$B$60,VARIABLES!$B$61)=0,INT(($A40-VARIABLES!$B$60)/VARIABLES!$B$61)&lt;VARIABLES!$B$59),VARIABLES!$B$62*VARIABLES!$B$63,0)</f>
        <v>225000</v>
      </c>
      <c r="V40" s="34">
        <f>U40*VARIABLES!$B$65</f>
        <v>1687.5</v>
      </c>
      <c r="W40" s="34">
        <f>IF($A40&lt;VARIABLES!$B$60,0,(IF($A40&lt;VARIABLES!$B$60+1,0,X39)+U40)*C40*VARIABLES!$B$66)</f>
        <v>8040.5040658162443</v>
      </c>
      <c r="X40" s="34">
        <f>IF($A40&lt;VARIABLES!$B$60,0,(IF($A40&lt;VARIABLES!$B$60+1,0,X39)+U40)*(1+C40)-W40)</f>
        <v>9720969.4155718405</v>
      </c>
      <c r="Y40" s="34">
        <f t="shared" si="9"/>
        <v>485000</v>
      </c>
      <c r="Z40" s="34">
        <f t="shared" si="10"/>
        <v>3637.5</v>
      </c>
      <c r="AA40" s="34">
        <f t="shared" si="11"/>
        <v>35214.461452413663</v>
      </c>
      <c r="AB40" s="34">
        <f>(IF($A40=1,0,AD39)*VARIABLES!$B$18*VARIABLES!$B$16*VARIABLES!$B$17)+(Y40*VARIABLES!$B$16*VARIABLES!$B$17)</f>
        <v>7648.5884108763075</v>
      </c>
      <c r="AC40" s="36">
        <f t="shared" si="12"/>
        <v>46500.549863289969</v>
      </c>
      <c r="AD40" s="37">
        <f t="shared" si="13"/>
        <v>60196273.719616465</v>
      </c>
      <c r="AE40" s="34">
        <f>IF($A40=1,VARIABLES!$B$21,0)</f>
        <v>0</v>
      </c>
      <c r="AF40" s="34">
        <f>IF($A40&lt;=3,VARIABLES!$B$22,IF($A40&lt;=6,VARIABLES!$B$23,VARIABLES!$B$24))*(1+VARIABLES!$B$25)^INT(($A40-1)/12)</f>
        <v>54786.736000000012</v>
      </c>
      <c r="AG40" s="34">
        <f>IF(MOD($A40,12)=0,AD40*VARIABLES!$B$26,0)</f>
        <v>0</v>
      </c>
      <c r="AH40" s="34">
        <f>VARIABLES!$B$27</f>
        <v>5000</v>
      </c>
      <c r="AI40" s="34">
        <f>IF(MOD($A40,12)=0,VARIABLES!$B$28,0)</f>
        <v>0</v>
      </c>
      <c r="AJ40" s="38">
        <f t="shared" si="14"/>
        <v>59786.736000000012</v>
      </c>
      <c r="AK40" s="39">
        <f>IF(OR($A40&lt;VARIABLES!$B$7,AND($A40&gt;=VARIABLES!$B$8,$A40&lt;VARIABLES!$B$10)),VARIABLES!$B$13,0)</f>
        <v>0</v>
      </c>
      <c r="AL40" s="40">
        <f t="shared" si="15"/>
        <v>-13286.186136710043</v>
      </c>
      <c r="AM40" s="40">
        <f t="shared" si="16"/>
        <v>1257666.0834039384</v>
      </c>
      <c r="AN40" s="41">
        <f t="shared" si="17"/>
        <v>0</v>
      </c>
    </row>
    <row r="41" spans="1:40" x14ac:dyDescent="0.2">
      <c r="A41" s="42">
        <v>38</v>
      </c>
      <c r="B41" s="42" t="str">
        <f>TEXT(DATE(VARIABLES!$B$70+INT((VARIABLES!$B$71+$A41-2)/12),MOD(VARIABLES!$B$71+$A41-2,12)+1,1),"mmm-yy")</f>
        <v>Jul-29</v>
      </c>
      <c r="C41" s="43">
        <f>IF($A41&lt;VARIABLES!$B$7,VARIABLES!$B$5/12,IF($A41&lt;VARIABLES!$B$8,VARIABLES!$B$6/12,IF($A41&lt;VARIABLES!$B$10,VARIABLES!$B$9/12,VARIABLES!$B$11/12)))</f>
        <v>8.3333333333333332E-3</v>
      </c>
      <c r="D41" s="44">
        <f>IF($A41&lt;VARIABLES!$B$31,0,IF($A41=VARIABLES!$B$31,VARIABLES!$B$32+VARIABLES!$B$33,VARIABLES!$B$33))</f>
        <v>200000</v>
      </c>
      <c r="E41" s="44">
        <f>D41*VARIABLES!$B$34</f>
        <v>1500</v>
      </c>
      <c r="F41" s="44">
        <f>IF($A41&lt;VARIABLES!$B$31,0,(IF($A41=VARIABLES!$B$31,0,G40)+D41)*C41*VARIABLES!$B$35)</f>
        <v>4543.7160848827343</v>
      </c>
      <c r="G41" s="44">
        <f>IF($A41&lt;VARIABLES!$B$31,0,(IF($A41=VARIABLES!$B$31,0,G40)+D41)*(1+C41)-F41)</f>
        <v>21987042.13474755</v>
      </c>
      <c r="H41" s="44">
        <f>IF($A41&lt;VARIABLES!$B$38,0,IF($A41=VARIABLES!$B$38,VARIABLES!$B$39+VARIABLES!$B$40,VARIABLES!$B$40))</f>
        <v>40000</v>
      </c>
      <c r="I41" s="44">
        <f>H41*VARIABLES!$B$41</f>
        <v>300</v>
      </c>
      <c r="J41" s="44">
        <f>IF($A41&lt;VARIABLES!$B$38,0,(IF($A41=VARIABLES!$B$38,0,K40)+H41)*C41*VARIABLES!$B$42)</f>
        <v>2927.0065184716436</v>
      </c>
      <c r="K41" s="44">
        <f>IF($A41&lt;VARIABLES!$B$38,0,(IF($A41=VARIABLES!$B$38,0,K40)+H41)*(1+C41)-J41)</f>
        <v>3538750.8808322167</v>
      </c>
      <c r="L41" s="44">
        <f>IF($A41&lt;VARIABLES!$B$45,0,IF($A41=VARIABLES!$B$45,VARIABLES!$B$46+VARIABLES!$B$47,VARIABLES!$B$47))</f>
        <v>0</v>
      </c>
      <c r="M41" s="44">
        <f>L41*VARIABLES!$B$48</f>
        <v>0</v>
      </c>
      <c r="N41" s="44">
        <f>IF($A41&lt;VARIABLES!$B$45,0,(IF($A41=VARIABLES!$B$45,0,O40)+L41)*C41*VARIABLES!$B$49)</f>
        <v>19593.137160832222</v>
      </c>
      <c r="O41" s="44">
        <f>IF($A41&lt;VARIABLES!$B$45,0,(IF($A41=VARIABLES!$B$45,0,O40)+L41)*(1+C41)-N41)</f>
        <v>23688102.827446155</v>
      </c>
      <c r="P41" s="44">
        <f>IF($A41&lt;VARIABLES!$B$52,0,IF($A41=VARIABLES!$B$52,VARIABLES!$B$53+VARIABLES!$B$54,VARIABLES!$B$54))</f>
        <v>20000</v>
      </c>
      <c r="Q41" s="44">
        <f>P41*VARIABLES!$B$55</f>
        <v>150</v>
      </c>
      <c r="R41" s="44">
        <f>IF($A41&lt;VARIABLES!$B$52,0,(IF($A41=VARIABLES!$B$52,0,S40)+P41)*C41*VARIABLES!$B$56)</f>
        <v>396.10305863392983</v>
      </c>
      <c r="S41" s="44">
        <f>IF($A41&lt;VARIABLES!$B$52,0,(IF($A41=VARIABLES!$B$52,0,S40)+P41)*(1+C41)-R41)</f>
        <v>1916742.7007295864</v>
      </c>
      <c r="T41" s="45">
        <f>IF($A41&lt;VARIABLES!$B$60,0,MIN(VARIABLES!$B$59,INT(($A41-VARIABLES!$B$60)/VARIABLES!$B$61)+1)*VARIABLES!$B$62)</f>
        <v>36</v>
      </c>
      <c r="U41" s="44">
        <f>T41*VARIABLES!$B$64+IF(AND($A41&gt;=VARIABLES!$B$60,MOD($A41-VARIABLES!$B$60,VARIABLES!$B$61)=0,INT(($A41-VARIABLES!$B$60)/VARIABLES!$B$61)&lt;VARIABLES!$B$59),VARIABLES!$B$62*VARIABLES!$B$63,0)</f>
        <v>230000</v>
      </c>
      <c r="V41" s="44">
        <f>U41*VARIABLES!$B$65</f>
        <v>1725</v>
      </c>
      <c r="W41" s="44">
        <f>IF($A41&lt;VARIABLES!$B$60,0,(IF($A41&lt;VARIABLES!$B$60+1,0,X40)+U41)*C41*VARIABLES!$B$66)</f>
        <v>8292.4745129765342</v>
      </c>
      <c r="X41" s="44">
        <f>IF($A41&lt;VARIABLES!$B$60,0,(IF($A41&lt;VARIABLES!$B$60+1,0,X40)+U41)*(1+C41)-W41)</f>
        <v>10025601.686188631</v>
      </c>
      <c r="Y41" s="44">
        <f t="shared" si="9"/>
        <v>490000</v>
      </c>
      <c r="Z41" s="44">
        <f t="shared" si="10"/>
        <v>3675</v>
      </c>
      <c r="AA41" s="44">
        <f t="shared" si="11"/>
        <v>35752.437335797062</v>
      </c>
      <c r="AB41" s="44">
        <f>(IF($A41=1,0,AD40)*VARIABLES!$B$18*VARIABLES!$B$16*VARIABLES!$B$17)+(Y41*VARIABLES!$B$16*VARIABLES!$B$17)</f>
        <v>7769.5342149520584</v>
      </c>
      <c r="AC41" s="36">
        <f t="shared" si="12"/>
        <v>47196.97155074912</v>
      </c>
      <c r="AD41" s="37">
        <f t="shared" si="13"/>
        <v>61156240.22994414</v>
      </c>
      <c r="AE41" s="44">
        <f>IF($A41=1,VARIABLES!$B$21,0)</f>
        <v>0</v>
      </c>
      <c r="AF41" s="44">
        <f>IF($A41&lt;=3,VARIABLES!$B$22,IF($A41&lt;=6,VARIABLES!$B$23,VARIABLES!$B$24))*(1+VARIABLES!$B$25)^INT(($A41-1)/12)</f>
        <v>54786.736000000012</v>
      </c>
      <c r="AG41" s="44">
        <f>IF(MOD($A41,12)=0,AD41*VARIABLES!$B$26,0)</f>
        <v>0</v>
      </c>
      <c r="AH41" s="44">
        <f>VARIABLES!$B$27</f>
        <v>5000</v>
      </c>
      <c r="AI41" s="44">
        <f>IF(MOD($A41,12)=0,VARIABLES!$B$28,0)</f>
        <v>0</v>
      </c>
      <c r="AJ41" s="38">
        <f t="shared" si="14"/>
        <v>59786.736000000012</v>
      </c>
      <c r="AK41" s="39">
        <f>IF(OR($A41&lt;VARIABLES!$B$7,AND($A41&gt;=VARIABLES!$B$8,$A41&lt;VARIABLES!$B$10)),VARIABLES!$B$13,0)</f>
        <v>0</v>
      </c>
      <c r="AL41" s="46">
        <f t="shared" si="15"/>
        <v>-12589.764449250892</v>
      </c>
      <c r="AM41" s="46">
        <f t="shared" si="16"/>
        <v>1245076.3189546876</v>
      </c>
      <c r="AN41" s="41">
        <f t="shared" si="17"/>
        <v>0</v>
      </c>
    </row>
    <row r="42" spans="1:40" x14ac:dyDescent="0.2">
      <c r="A42" s="32">
        <v>39</v>
      </c>
      <c r="B42" s="32" t="str">
        <f>TEXT(DATE(VARIABLES!$B$70+INT((VARIABLES!$B$71+$A42-2)/12),MOD(VARIABLES!$B$71+$A42-2,12)+1,1),"mmm-yy")</f>
        <v>Aug-29</v>
      </c>
      <c r="C42" s="33">
        <f>IF($A42&lt;VARIABLES!$B$7,VARIABLES!$B$5/12,IF($A42&lt;VARIABLES!$B$8,VARIABLES!$B$6/12,IF($A42&lt;VARIABLES!$B$10,VARIABLES!$B$9/12,VARIABLES!$B$11/12)))</f>
        <v>8.3333333333333332E-3</v>
      </c>
      <c r="D42" s="34">
        <f>IF($A42&lt;VARIABLES!$B$31,0,IF($A42=VARIABLES!$B$31,VARIABLES!$B$32+VARIABLES!$B$33,VARIABLES!$B$33))</f>
        <v>200000</v>
      </c>
      <c r="E42" s="34">
        <f>D42*VARIABLES!$B$34</f>
        <v>1500</v>
      </c>
      <c r="F42" s="34">
        <f>IF($A42&lt;VARIABLES!$B$31,0,(IF($A42=VARIABLES!$B$31,0,G41)+D42)*C42*VARIABLES!$B$35)</f>
        <v>4622.3004447390731</v>
      </c>
      <c r="G42" s="34">
        <f>IF($A42&lt;VARIABLES!$B$31,0,(IF($A42=VARIABLES!$B$31,0,G41)+D42)*(1+C42)-F42)</f>
        <v>22367311.85209237</v>
      </c>
      <c r="H42" s="34">
        <f>IF($A42&lt;VARIABLES!$B$38,0,IF($A42=VARIABLES!$B$38,VARIABLES!$B$39+VARIABLES!$B$40,VARIABLES!$B$40))</f>
        <v>40000</v>
      </c>
      <c r="I42" s="34">
        <f>H42*VARIABLES!$B$41</f>
        <v>300</v>
      </c>
      <c r="J42" s="34">
        <f>IF($A42&lt;VARIABLES!$B$38,0,(IF($A42=VARIABLES!$B$38,0,K41)+H42)*C42*VARIABLES!$B$42)</f>
        <v>2982.2924006935141</v>
      </c>
      <c r="K42" s="34">
        <f>IF($A42&lt;VARIABLES!$B$38,0,(IF($A42=VARIABLES!$B$38,0,K41)+H42)*(1+C42)-J42)</f>
        <v>3605591.5124384584</v>
      </c>
      <c r="L42" s="34">
        <f>IF($A42&lt;VARIABLES!$B$45,0,IF($A42=VARIABLES!$B$45,VARIABLES!$B$46+VARIABLES!$B$47,VARIABLES!$B$47))</f>
        <v>0</v>
      </c>
      <c r="M42" s="34">
        <f>L42*VARIABLES!$B$48</f>
        <v>0</v>
      </c>
      <c r="N42" s="34">
        <f>IF($A42&lt;VARIABLES!$B$45,0,(IF($A42=VARIABLES!$B$45,0,O41)+L42)*C42*VARIABLES!$B$49)</f>
        <v>19740.085689538464</v>
      </c>
      <c r="O42" s="34">
        <f>IF($A42&lt;VARIABLES!$B$45,0,(IF($A42=VARIABLES!$B$45,0,O41)+L42)*(1+C42)-N42)</f>
        <v>23865763.598652001</v>
      </c>
      <c r="P42" s="34">
        <f>IF($A42&lt;VARIABLES!$B$52,0,IF($A42=VARIABLES!$B$52,VARIABLES!$B$53+VARIABLES!$B$54,VARIABLES!$B$54))</f>
        <v>20000</v>
      </c>
      <c r="Q42" s="34">
        <f>P42*VARIABLES!$B$55</f>
        <v>150</v>
      </c>
      <c r="R42" s="34">
        <f>IF($A42&lt;VARIABLES!$B$52,0,(IF($A42=VARIABLES!$B$52,0,S41)+P42)*C42*VARIABLES!$B$56)</f>
        <v>403.48806265199715</v>
      </c>
      <c r="S42" s="34">
        <f>IF($A42&lt;VARIABLES!$B$52,0,(IF($A42=VARIABLES!$B$52,0,S41)+P42)*(1+C42)-R42)</f>
        <v>1952478.7351730142</v>
      </c>
      <c r="T42" s="35">
        <f>IF($A42&lt;VARIABLES!$B$60,0,MIN(VARIABLES!$B$59,INT(($A42-VARIABLES!$B$60)/VARIABLES!$B$61)+1)*VARIABLES!$B$62)</f>
        <v>37</v>
      </c>
      <c r="U42" s="34">
        <f>T42*VARIABLES!$B$64+IF(AND($A42&gt;=VARIABLES!$B$60,MOD($A42-VARIABLES!$B$60,VARIABLES!$B$61)=0,INT(($A42-VARIABLES!$B$60)/VARIABLES!$B$61)&lt;VARIABLES!$B$59),VARIABLES!$B$62*VARIABLES!$B$63,0)</f>
        <v>235000</v>
      </c>
      <c r="V42" s="34">
        <f>U42*VARIABLES!$B$65</f>
        <v>1762.5</v>
      </c>
      <c r="W42" s="34">
        <f>IF($A42&lt;VARIABLES!$B$60,0,(IF($A42&lt;VARIABLES!$B$60+1,0,X41)+U42)*C42*VARIABLES!$B$66)</f>
        <v>8550.5014051571925</v>
      </c>
      <c r="X42" s="34">
        <f>IF($A42&lt;VARIABLES!$B$60,0,(IF($A42&lt;VARIABLES!$B$60+1,0,X41)+U42)*(1+C42)-W42)</f>
        <v>10337556.198835045</v>
      </c>
      <c r="Y42" s="34">
        <f t="shared" si="9"/>
        <v>495000</v>
      </c>
      <c r="Z42" s="34">
        <f t="shared" si="10"/>
        <v>3712.5</v>
      </c>
      <c r="AA42" s="34">
        <f t="shared" si="11"/>
        <v>36298.668002780243</v>
      </c>
      <c r="AB42" s="34">
        <f>(IF($A42=1,0,AD41)*VARIABLES!$B$18*VARIABLES!$B$16*VARIABLES!$B$17)+(Y42*VARIABLES!$B$16*VARIABLES!$B$17)</f>
        <v>7892.0300287430173</v>
      </c>
      <c r="AC42" s="36">
        <f t="shared" si="12"/>
        <v>47903.198031523258</v>
      </c>
      <c r="AD42" s="37">
        <f t="shared" si="13"/>
        <v>62128701.897190891</v>
      </c>
      <c r="AE42" s="34">
        <f>IF($A42=1,VARIABLES!$B$21,0)</f>
        <v>0</v>
      </c>
      <c r="AF42" s="34">
        <f>IF($A42&lt;=3,VARIABLES!$B$22,IF($A42&lt;=6,VARIABLES!$B$23,VARIABLES!$B$24))*(1+VARIABLES!$B$25)^INT(($A42-1)/12)</f>
        <v>54786.736000000012</v>
      </c>
      <c r="AG42" s="34">
        <f>IF(MOD($A42,12)=0,AD42*VARIABLES!$B$26,0)</f>
        <v>0</v>
      </c>
      <c r="AH42" s="34">
        <f>VARIABLES!$B$27</f>
        <v>5000</v>
      </c>
      <c r="AI42" s="34">
        <f>IF(MOD($A42,12)=0,VARIABLES!$B$28,0)</f>
        <v>0</v>
      </c>
      <c r="AJ42" s="38">
        <f t="shared" si="14"/>
        <v>59786.736000000012</v>
      </c>
      <c r="AK42" s="39">
        <f>IF(OR($A42&lt;VARIABLES!$B$7,AND($A42&gt;=VARIABLES!$B$8,$A42&lt;VARIABLES!$B$10)),VARIABLES!$B$13,0)</f>
        <v>0</v>
      </c>
      <c r="AL42" s="40">
        <f t="shared" si="15"/>
        <v>-11883.537968476754</v>
      </c>
      <c r="AM42" s="40">
        <f t="shared" si="16"/>
        <v>1233192.7809862108</v>
      </c>
      <c r="AN42" s="41">
        <f t="shared" si="17"/>
        <v>0</v>
      </c>
    </row>
    <row r="43" spans="1:40" x14ac:dyDescent="0.2">
      <c r="A43" s="42">
        <v>40</v>
      </c>
      <c r="B43" s="42" t="str">
        <f>TEXT(DATE(VARIABLES!$B$70+INT((VARIABLES!$B$71+$A43-2)/12),MOD(VARIABLES!$B$71+$A43-2,12)+1,1),"mmm-yy")</f>
        <v>Sept-29</v>
      </c>
      <c r="C43" s="43">
        <f>IF($A43&lt;VARIABLES!$B$7,VARIABLES!$B$5/12,IF($A43&lt;VARIABLES!$B$8,VARIABLES!$B$6/12,IF($A43&lt;VARIABLES!$B$10,VARIABLES!$B$9/12,VARIABLES!$B$11/12)))</f>
        <v>8.3333333333333332E-3</v>
      </c>
      <c r="D43" s="44">
        <f>IF($A43&lt;VARIABLES!$B$31,0,IF($A43=VARIABLES!$B$31,VARIABLES!$B$32+VARIABLES!$B$33,VARIABLES!$B$33))</f>
        <v>200000</v>
      </c>
      <c r="E43" s="44">
        <f>D43*VARIABLES!$B$34</f>
        <v>1500</v>
      </c>
      <c r="F43" s="44">
        <f>IF($A43&lt;VARIABLES!$B$31,0,(IF($A43=VARIABLES!$B$31,0,G42)+D43)*C43*VARIABLES!$B$35)</f>
        <v>4701.5233025192438</v>
      </c>
      <c r="G43" s="44">
        <f>IF($A43&lt;VARIABLES!$B$31,0,(IF($A43=VARIABLES!$B$31,0,G42)+D43)*(1+C43)-F43)</f>
        <v>22750671.260890622</v>
      </c>
      <c r="H43" s="44">
        <f>IF($A43&lt;VARIABLES!$B$38,0,IF($A43=VARIABLES!$B$38,VARIABLES!$B$39+VARIABLES!$B$40,VARIABLES!$B$40))</f>
        <v>40000</v>
      </c>
      <c r="I43" s="44">
        <f>H43*VARIABLES!$B$41</f>
        <v>300</v>
      </c>
      <c r="J43" s="44">
        <f>IF($A43&lt;VARIABLES!$B$38,0,(IF($A43=VARIABLES!$B$38,0,K42)+H43)*C43*VARIABLES!$B$42)</f>
        <v>3037.9929270320486</v>
      </c>
      <c r="K43" s="44">
        <f>IF($A43&lt;VARIABLES!$B$38,0,(IF($A43=VARIABLES!$B$38,0,K42)+H43)*(1+C43)-J43)</f>
        <v>3672933.4487817469</v>
      </c>
      <c r="L43" s="44">
        <f>IF($A43&lt;VARIABLES!$B$45,0,IF($A43=VARIABLES!$B$45,VARIABLES!$B$46+VARIABLES!$B$47,VARIABLES!$B$47))</f>
        <v>0</v>
      </c>
      <c r="M43" s="44">
        <f>L43*VARIABLES!$B$48</f>
        <v>0</v>
      </c>
      <c r="N43" s="44">
        <f>IF($A43&lt;VARIABLES!$B$45,0,(IF($A43=VARIABLES!$B$45,0,O42)+L43)*C43*VARIABLES!$B$49)</f>
        <v>19888.136332210004</v>
      </c>
      <c r="O43" s="44">
        <f>IF($A43&lt;VARIABLES!$B$45,0,(IF($A43=VARIABLES!$B$45,0,O42)+L43)*(1+C43)-N43)</f>
        <v>24044756.825641889</v>
      </c>
      <c r="P43" s="44">
        <f>IF($A43&lt;VARIABLES!$B$52,0,IF($A43=VARIABLES!$B$52,VARIABLES!$B$53+VARIABLES!$B$54,VARIABLES!$B$54))</f>
        <v>20000</v>
      </c>
      <c r="Q43" s="44">
        <f>P43*VARIABLES!$B$55</f>
        <v>150</v>
      </c>
      <c r="R43" s="44">
        <f>IF($A43&lt;VARIABLES!$B$52,0,(IF($A43=VARIABLES!$B$52,0,S42)+P43)*C43*VARIABLES!$B$56)</f>
        <v>410.93306982771128</v>
      </c>
      <c r="S43" s="44">
        <f>IF($A43&lt;VARIABLES!$B$52,0,(IF($A43=VARIABLES!$B$52,0,S42)+P43)*(1+C43)-R43)</f>
        <v>1988505.1248962949</v>
      </c>
      <c r="T43" s="45">
        <f>IF($A43&lt;VARIABLES!$B$60,0,MIN(VARIABLES!$B$59,INT(($A43-VARIABLES!$B$60)/VARIABLES!$B$61)+1)*VARIABLES!$B$62)</f>
        <v>38</v>
      </c>
      <c r="U43" s="44">
        <f>T43*VARIABLES!$B$64+IF(AND($A43&gt;=VARIABLES!$B$60,MOD($A43-VARIABLES!$B$60,VARIABLES!$B$61)=0,INT(($A43-VARIABLES!$B$60)/VARIABLES!$B$61)&lt;VARIABLES!$B$59),VARIABLES!$B$62*VARIABLES!$B$63,0)</f>
        <v>240000</v>
      </c>
      <c r="V43" s="44">
        <f>U43*VARIABLES!$B$65</f>
        <v>1800</v>
      </c>
      <c r="W43" s="44">
        <f>IF($A43&lt;VARIABLES!$B$60,0,(IF($A43&lt;VARIABLES!$B$60+1,0,X42)+U43)*C43*VARIABLES!$B$66)</f>
        <v>8814.6301656958713</v>
      </c>
      <c r="X43" s="44">
        <f>IF($A43&lt;VARIABLES!$B$60,0,(IF($A43&lt;VARIABLES!$B$60+1,0,X42)+U43)*(1+C43)-W43)</f>
        <v>10656887.870326307</v>
      </c>
      <c r="Y43" s="44">
        <f t="shared" si="9"/>
        <v>500000</v>
      </c>
      <c r="Z43" s="44">
        <f t="shared" si="10"/>
        <v>3750</v>
      </c>
      <c r="AA43" s="44">
        <f t="shared" si="11"/>
        <v>36853.21579728488</v>
      </c>
      <c r="AB43" s="44">
        <f>(IF($A43=1,0,AD42)*VARIABLES!$B$18*VARIABLES!$B$16*VARIABLES!$B$17)+(Y43*VARIABLES!$B$16*VARIABLES!$B$17)</f>
        <v>8016.0877371488614</v>
      </c>
      <c r="AC43" s="36">
        <f t="shared" si="12"/>
        <v>48619.30353443374</v>
      </c>
      <c r="AD43" s="37">
        <f t="shared" si="13"/>
        <v>63113754.53053686</v>
      </c>
      <c r="AE43" s="44">
        <f>IF($A43=1,VARIABLES!$B$21,0)</f>
        <v>0</v>
      </c>
      <c r="AF43" s="44">
        <f>IF($A43&lt;=3,VARIABLES!$B$22,IF($A43&lt;=6,VARIABLES!$B$23,VARIABLES!$B$24))*(1+VARIABLES!$B$25)^INT(($A43-1)/12)</f>
        <v>54786.736000000012</v>
      </c>
      <c r="AG43" s="44">
        <f>IF(MOD($A43,12)=0,AD43*VARIABLES!$B$26,0)</f>
        <v>0</v>
      </c>
      <c r="AH43" s="44">
        <f>VARIABLES!$B$27</f>
        <v>5000</v>
      </c>
      <c r="AI43" s="44">
        <f>IF(MOD($A43,12)=0,VARIABLES!$B$28,0)</f>
        <v>0</v>
      </c>
      <c r="AJ43" s="38">
        <f t="shared" si="14"/>
        <v>59786.736000000012</v>
      </c>
      <c r="AK43" s="39">
        <f>IF(OR($A43&lt;VARIABLES!$B$7,AND($A43&gt;=VARIABLES!$B$8,$A43&lt;VARIABLES!$B$10)),VARIABLES!$B$13,0)</f>
        <v>0</v>
      </c>
      <c r="AL43" s="46">
        <f t="shared" si="15"/>
        <v>-11167.432465566271</v>
      </c>
      <c r="AM43" s="46">
        <f t="shared" si="16"/>
        <v>1222025.3485206445</v>
      </c>
      <c r="AN43" s="41">
        <f t="shared" si="17"/>
        <v>0</v>
      </c>
    </row>
    <row r="44" spans="1:40" x14ac:dyDescent="0.2">
      <c r="A44" s="32">
        <v>41</v>
      </c>
      <c r="B44" s="32" t="str">
        <f>TEXT(DATE(VARIABLES!$B$70+INT((VARIABLES!$B$71+$A44-2)/12),MOD(VARIABLES!$B$71+$A44-2,12)+1,1),"mmm-yy")</f>
        <v>Oct-29</v>
      </c>
      <c r="C44" s="33">
        <f>IF($A44&lt;VARIABLES!$B$7,VARIABLES!$B$5/12,IF($A44&lt;VARIABLES!$B$8,VARIABLES!$B$6/12,IF($A44&lt;VARIABLES!$B$10,VARIABLES!$B$9/12,VARIABLES!$B$11/12)))</f>
        <v>8.3333333333333332E-3</v>
      </c>
      <c r="D44" s="34">
        <f>IF($A44&lt;VARIABLES!$B$31,0,IF($A44=VARIABLES!$B$31,VARIABLES!$B$32+VARIABLES!$B$33,VARIABLES!$B$33))</f>
        <v>200000</v>
      </c>
      <c r="E44" s="34">
        <f>D44*VARIABLES!$B$34</f>
        <v>1500</v>
      </c>
      <c r="F44" s="34">
        <f>IF($A44&lt;VARIABLES!$B$31,0,(IF($A44=VARIABLES!$B$31,0,G43)+D44)*C44*VARIABLES!$B$35)</f>
        <v>4781.3898460188793</v>
      </c>
      <c r="G44" s="34">
        <f>IF($A44&lt;VARIABLES!$B$31,0,(IF($A44=VARIABLES!$B$31,0,G43)+D44)*(1+C44)-F44)</f>
        <v>23137145.464885358</v>
      </c>
      <c r="H44" s="34">
        <f>IF($A44&lt;VARIABLES!$B$38,0,IF($A44=VARIABLES!$B$38,VARIABLES!$B$39+VARIABLES!$B$40,VARIABLES!$B$40))</f>
        <v>40000</v>
      </c>
      <c r="I44" s="34">
        <f>H44*VARIABLES!$B$41</f>
        <v>300</v>
      </c>
      <c r="J44" s="34">
        <f>IF($A44&lt;VARIABLES!$B$38,0,(IF($A44=VARIABLES!$B$38,0,K43)+H44)*C44*VARIABLES!$B$42)</f>
        <v>3094.1112073181225</v>
      </c>
      <c r="K44" s="34">
        <f>IF($A44&lt;VARIABLES!$B$38,0,(IF($A44=VARIABLES!$B$38,0,K43)+H44)*(1+C44)-J44)</f>
        <v>3740780.4496476101</v>
      </c>
      <c r="L44" s="34">
        <f>IF($A44&lt;VARIABLES!$B$45,0,IF($A44=VARIABLES!$B$45,VARIABLES!$B$46+VARIABLES!$B$47,VARIABLES!$B$47))</f>
        <v>0</v>
      </c>
      <c r="M44" s="34">
        <f>L44*VARIABLES!$B$48</f>
        <v>0</v>
      </c>
      <c r="N44" s="34">
        <f>IF($A44&lt;VARIABLES!$B$45,0,(IF($A44=VARIABLES!$B$45,0,O43)+L44)*C44*VARIABLES!$B$49)</f>
        <v>20037.297354701575</v>
      </c>
      <c r="O44" s="34">
        <f>IF($A44&lt;VARIABLES!$B$45,0,(IF($A44=VARIABLES!$B$45,0,O43)+L44)*(1+C44)-N44)</f>
        <v>24225092.501834203</v>
      </c>
      <c r="P44" s="34">
        <f>IF($A44&lt;VARIABLES!$B$52,0,IF($A44=VARIABLES!$B$52,VARIABLES!$B$53+VARIABLES!$B$54,VARIABLES!$B$54))</f>
        <v>20000</v>
      </c>
      <c r="Q44" s="34">
        <f>P44*VARIABLES!$B$55</f>
        <v>150</v>
      </c>
      <c r="R44" s="34">
        <f>IF($A44&lt;VARIABLES!$B$52,0,(IF($A44=VARIABLES!$B$52,0,S43)+P44)*C44*VARIABLES!$B$56)</f>
        <v>418.43856768672816</v>
      </c>
      <c r="S44" s="34">
        <f>IF($A44&lt;VARIABLES!$B$52,0,(IF($A44=VARIABLES!$B$52,0,S43)+P44)*(1+C44)-R44)</f>
        <v>2024824.2290360772</v>
      </c>
      <c r="T44" s="35">
        <f>IF($A44&lt;VARIABLES!$B$60,0,MIN(VARIABLES!$B$59,INT(($A44-VARIABLES!$B$60)/VARIABLES!$B$61)+1)*VARIABLES!$B$62)</f>
        <v>39</v>
      </c>
      <c r="U44" s="34">
        <f>T44*VARIABLES!$B$64+IF(AND($A44&gt;=VARIABLES!$B$60,MOD($A44-VARIABLES!$B$60,VARIABLES!$B$61)=0,INT(($A44-VARIABLES!$B$60)/VARIABLES!$B$61)&lt;VARIABLES!$B$59),VARIABLES!$B$62*VARIABLES!$B$63,0)</f>
        <v>245000</v>
      </c>
      <c r="V44" s="34">
        <f>U44*VARIABLES!$B$65</f>
        <v>1837.5</v>
      </c>
      <c r="W44" s="34">
        <f>IF($A44&lt;VARIABLES!$B$60,0,(IF($A44&lt;VARIABLES!$B$60+1,0,X43)+U44)*C44*VARIABLES!$B$66)</f>
        <v>9084.9065586052566</v>
      </c>
      <c r="X44" s="34">
        <f>IF($A44&lt;VARIABLES!$B$60,0,(IF($A44&lt;VARIABLES!$B$60+1,0,X43)+U44)*(1+C44)-W44)</f>
        <v>10983652.029353755</v>
      </c>
      <c r="Y44" s="34">
        <f t="shared" si="9"/>
        <v>505000</v>
      </c>
      <c r="Z44" s="34">
        <f t="shared" si="10"/>
        <v>3787.5</v>
      </c>
      <c r="AA44" s="34">
        <f t="shared" si="11"/>
        <v>37416.143534330564</v>
      </c>
      <c r="AB44" s="34">
        <f>(IF($A44=1,0,AD43)*VARIABLES!$B$18*VARIABLES!$B$16*VARIABLES!$B$17)+(Y44*VARIABLES!$B$16*VARIABLES!$B$17)</f>
        <v>8141.7193163171078</v>
      </c>
      <c r="AC44" s="36">
        <f t="shared" si="12"/>
        <v>49345.362850647674</v>
      </c>
      <c r="AD44" s="37">
        <f t="shared" si="13"/>
        <v>64111494.674757004</v>
      </c>
      <c r="AE44" s="34">
        <f>IF($A44=1,VARIABLES!$B$21,0)</f>
        <v>0</v>
      </c>
      <c r="AF44" s="34">
        <f>IF($A44&lt;=3,VARIABLES!$B$22,IF($A44&lt;=6,VARIABLES!$B$23,VARIABLES!$B$24))*(1+VARIABLES!$B$25)^INT(($A44-1)/12)</f>
        <v>54786.736000000012</v>
      </c>
      <c r="AG44" s="34">
        <f>IF(MOD($A44,12)=0,AD44*VARIABLES!$B$26,0)</f>
        <v>0</v>
      </c>
      <c r="AH44" s="34">
        <f>VARIABLES!$B$27</f>
        <v>5000</v>
      </c>
      <c r="AI44" s="34">
        <f>IF(MOD($A44,12)=0,VARIABLES!$B$28,0)</f>
        <v>0</v>
      </c>
      <c r="AJ44" s="38">
        <f t="shared" si="14"/>
        <v>59786.736000000012</v>
      </c>
      <c r="AK44" s="39">
        <f>IF(OR($A44&lt;VARIABLES!$B$7,AND($A44&gt;=VARIABLES!$B$8,$A44&lt;VARIABLES!$B$10)),VARIABLES!$B$13,0)</f>
        <v>0</v>
      </c>
      <c r="AL44" s="40">
        <f t="shared" si="15"/>
        <v>-10441.373149352337</v>
      </c>
      <c r="AM44" s="40">
        <f t="shared" si="16"/>
        <v>1211583.9753712921</v>
      </c>
      <c r="AN44" s="41">
        <f t="shared" si="17"/>
        <v>0</v>
      </c>
    </row>
    <row r="45" spans="1:40" x14ac:dyDescent="0.2">
      <c r="A45" s="42">
        <v>42</v>
      </c>
      <c r="B45" s="42" t="str">
        <f>TEXT(DATE(VARIABLES!$B$70+INT((VARIABLES!$B$71+$A45-2)/12),MOD(VARIABLES!$B$71+$A45-2,12)+1,1),"mmm-yy")</f>
        <v>Nov-29</v>
      </c>
      <c r="C45" s="43">
        <f>IF($A45&lt;VARIABLES!$B$7,VARIABLES!$B$5/12,IF($A45&lt;VARIABLES!$B$8,VARIABLES!$B$6/12,IF($A45&lt;VARIABLES!$B$10,VARIABLES!$B$9/12,VARIABLES!$B$11/12)))</f>
        <v>8.3333333333333332E-3</v>
      </c>
      <c r="D45" s="44">
        <f>IF($A45&lt;VARIABLES!$B$31,0,IF($A45=VARIABLES!$B$31,VARIABLES!$B$32+VARIABLES!$B$33,VARIABLES!$B$33))</f>
        <v>200000</v>
      </c>
      <c r="E45" s="44">
        <f>D45*VARIABLES!$B$34</f>
        <v>1500</v>
      </c>
      <c r="F45" s="44">
        <f>IF($A45&lt;VARIABLES!$B$31,0,(IF($A45=VARIABLES!$B$31,0,G44)+D45)*C45*VARIABLES!$B$35)</f>
        <v>4861.9053051844494</v>
      </c>
      <c r="G45" s="44">
        <f>IF($A45&lt;VARIABLES!$B$31,0,(IF($A45=VARIABLES!$B$31,0,G44)+D45)*(1+C45)-F45)</f>
        <v>23526759.77178755</v>
      </c>
      <c r="H45" s="44">
        <f>IF($A45&lt;VARIABLES!$B$38,0,IF($A45=VARIABLES!$B$38,VARIABLES!$B$39+VARIABLES!$B$40,VARIABLES!$B$40))</f>
        <v>40000</v>
      </c>
      <c r="I45" s="44">
        <f>H45*VARIABLES!$B$41</f>
        <v>300</v>
      </c>
      <c r="J45" s="44">
        <f>IF($A45&lt;VARIABLES!$B$38,0,(IF($A45=VARIABLES!$B$38,0,K44)+H45)*C45*VARIABLES!$B$42)</f>
        <v>3150.6503747063416</v>
      </c>
      <c r="K45" s="44">
        <f>IF($A45&lt;VARIABLES!$B$38,0,(IF($A45=VARIABLES!$B$38,0,K44)+H45)*(1+C45)-J45)</f>
        <v>3809136.3030199669</v>
      </c>
      <c r="L45" s="44">
        <f>IF($A45&lt;VARIABLES!$B$45,0,IF($A45=VARIABLES!$B$45,VARIABLES!$B$46+VARIABLES!$B$47,VARIABLES!$B$47))</f>
        <v>0</v>
      </c>
      <c r="M45" s="44">
        <f>L45*VARIABLES!$B$48</f>
        <v>0</v>
      </c>
      <c r="N45" s="44">
        <f>IF($A45&lt;VARIABLES!$B$45,0,(IF($A45=VARIABLES!$B$45,0,O44)+L45)*C45*VARIABLES!$B$49)</f>
        <v>20187.577084861838</v>
      </c>
      <c r="O45" s="44">
        <f>IF($A45&lt;VARIABLES!$B$45,0,(IF($A45=VARIABLES!$B$45,0,O44)+L45)*(1+C45)-N45)</f>
        <v>24406780.695597958</v>
      </c>
      <c r="P45" s="44">
        <f>IF($A45&lt;VARIABLES!$B$52,0,IF($A45=VARIABLES!$B$52,VARIABLES!$B$53+VARIABLES!$B$54,VARIABLES!$B$54))</f>
        <v>20000</v>
      </c>
      <c r="Q45" s="44">
        <f>P45*VARIABLES!$B$55</f>
        <v>150</v>
      </c>
      <c r="R45" s="44">
        <f>IF($A45&lt;VARIABLES!$B$52,0,(IF($A45=VARIABLES!$B$52,0,S44)+P45)*C45*VARIABLES!$B$56)</f>
        <v>426.0050477158494</v>
      </c>
      <c r="S45" s="44">
        <f>IF($A45&lt;VARIABLES!$B$52,0,(IF($A45=VARIABLES!$B$52,0,S44)+P45)*(1+C45)-R45)</f>
        <v>2061438.4258969952</v>
      </c>
      <c r="T45" s="45">
        <f>IF($A45&lt;VARIABLES!$B$60,0,MIN(VARIABLES!$B$59,INT(($A45-VARIABLES!$B$60)/VARIABLES!$B$61)+1)*VARIABLES!$B$62)</f>
        <v>40</v>
      </c>
      <c r="U45" s="44">
        <f>T45*VARIABLES!$B$64+IF(AND($A45&gt;=VARIABLES!$B$60,MOD($A45-VARIABLES!$B$60,VARIABLES!$B$61)=0,INT(($A45-VARIABLES!$B$60)/VARIABLES!$B$61)&lt;VARIABLES!$B$59),VARIABLES!$B$62*VARIABLES!$B$63,0)</f>
        <v>250000</v>
      </c>
      <c r="V45" s="44">
        <f>U45*VARIABLES!$B$65</f>
        <v>1875</v>
      </c>
      <c r="W45" s="44">
        <f>IF($A45&lt;VARIABLES!$B$60,0,(IF($A45&lt;VARIABLES!$B$60+1,0,X44)+U45)*C45*VARIABLES!$B$66)</f>
        <v>9361.3766911281291</v>
      </c>
      <c r="X45" s="44">
        <f>IF($A45&lt;VARIABLES!$B$60,0,(IF($A45&lt;VARIABLES!$B$60+1,0,X44)+U45)*(1+C45)-W45)</f>
        <v>11317904.419573907</v>
      </c>
      <c r="Y45" s="44">
        <f t="shared" si="9"/>
        <v>510000</v>
      </c>
      <c r="Z45" s="44">
        <f t="shared" si="10"/>
        <v>3825</v>
      </c>
      <c r="AA45" s="44">
        <f t="shared" si="11"/>
        <v>37987.514503596605</v>
      </c>
      <c r="AB45" s="44">
        <f>(IF($A45=1,0,AD44)*VARIABLES!$B$18*VARIABLES!$B$16*VARIABLES!$B$17)+(Y45*VARIABLES!$B$16*VARIABLES!$B$17)</f>
        <v>8268.9368343446258</v>
      </c>
      <c r="AC45" s="36">
        <f t="shared" si="12"/>
        <v>50081.451337941231</v>
      </c>
      <c r="AD45" s="37">
        <f t="shared" si="13"/>
        <v>65122019.615876377</v>
      </c>
      <c r="AE45" s="44">
        <f>IF($A45=1,VARIABLES!$B$21,0)</f>
        <v>0</v>
      </c>
      <c r="AF45" s="44">
        <f>IF($A45&lt;=3,VARIABLES!$B$22,IF($A45&lt;=6,VARIABLES!$B$23,VARIABLES!$B$24))*(1+VARIABLES!$B$25)^INT(($A45-1)/12)</f>
        <v>54786.736000000012</v>
      </c>
      <c r="AG45" s="44">
        <f>IF(MOD($A45,12)=0,AD45*VARIABLES!$B$26,0)</f>
        <v>0</v>
      </c>
      <c r="AH45" s="44">
        <f>VARIABLES!$B$27</f>
        <v>5000</v>
      </c>
      <c r="AI45" s="44">
        <f>IF(MOD($A45,12)=0,VARIABLES!$B$28,0)</f>
        <v>0</v>
      </c>
      <c r="AJ45" s="38">
        <f t="shared" si="14"/>
        <v>59786.736000000012</v>
      </c>
      <c r="AK45" s="39">
        <f>IF(OR($A45&lt;VARIABLES!$B$7,AND($A45&gt;=VARIABLES!$B$8,$A45&lt;VARIABLES!$B$10)),VARIABLES!$B$13,0)</f>
        <v>0</v>
      </c>
      <c r="AL45" s="46">
        <f t="shared" si="15"/>
        <v>-9705.2846620587807</v>
      </c>
      <c r="AM45" s="46">
        <f t="shared" si="16"/>
        <v>1201878.6907092333</v>
      </c>
      <c r="AN45" s="41">
        <f t="shared" si="17"/>
        <v>0</v>
      </c>
    </row>
    <row r="46" spans="1:40" x14ac:dyDescent="0.2">
      <c r="A46" s="32">
        <v>43</v>
      </c>
      <c r="B46" s="32" t="str">
        <f>TEXT(DATE(VARIABLES!$B$70+INT((VARIABLES!$B$71+$A46-2)/12),MOD(VARIABLES!$B$71+$A46-2,12)+1,1),"mmm-yy")</f>
        <v>Dec-29</v>
      </c>
      <c r="C46" s="33">
        <f>IF($A46&lt;VARIABLES!$B$7,VARIABLES!$B$5/12,IF($A46&lt;VARIABLES!$B$8,VARIABLES!$B$6/12,IF($A46&lt;VARIABLES!$B$10,VARIABLES!$B$9/12,VARIABLES!$B$11/12)))</f>
        <v>8.3333333333333332E-3</v>
      </c>
      <c r="D46" s="34">
        <f>IF($A46&lt;VARIABLES!$B$31,0,IF($A46=VARIABLES!$B$31,VARIABLES!$B$32+VARIABLES!$B$33,VARIABLES!$B$33))</f>
        <v>200000</v>
      </c>
      <c r="E46" s="34">
        <f>D46*VARIABLES!$B$34</f>
        <v>1500</v>
      </c>
      <c r="F46" s="34">
        <f>IF($A46&lt;VARIABLES!$B$31,0,(IF($A46=VARIABLES!$B$31,0,G45)+D46)*C46*VARIABLES!$B$35)</f>
        <v>4943.0749524557395</v>
      </c>
      <c r="G46" s="34">
        <f>IF($A46&lt;VARIABLES!$B$31,0,(IF($A46=VARIABLES!$B$31,0,G45)+D46)*(1+C46)-F46)</f>
        <v>23919539.694933321</v>
      </c>
      <c r="H46" s="34">
        <f>IF($A46&lt;VARIABLES!$B$38,0,IF($A46=VARIABLES!$B$38,VARIABLES!$B$39+VARIABLES!$B$40,VARIABLES!$B$40))</f>
        <v>40000</v>
      </c>
      <c r="I46" s="34">
        <f>H46*VARIABLES!$B$41</f>
        <v>300</v>
      </c>
      <c r="J46" s="34">
        <f>IF($A46&lt;VARIABLES!$B$38,0,(IF($A46=VARIABLES!$B$38,0,K45)+H46)*C46*VARIABLES!$B$42)</f>
        <v>3207.6135858499729</v>
      </c>
      <c r="K46" s="34">
        <f>IF($A46&lt;VARIABLES!$B$38,0,(IF($A46=VARIABLES!$B$38,0,K45)+H46)*(1+C46)-J46)</f>
        <v>3878004.8252926166</v>
      </c>
      <c r="L46" s="34">
        <f>IF($A46&lt;VARIABLES!$B$45,0,IF($A46=VARIABLES!$B$45,VARIABLES!$B$46+VARIABLES!$B$47,VARIABLES!$B$47))</f>
        <v>0</v>
      </c>
      <c r="M46" s="34">
        <f>L46*VARIABLES!$B$48</f>
        <v>0</v>
      </c>
      <c r="N46" s="34">
        <f>IF($A46&lt;VARIABLES!$B$45,0,(IF($A46=VARIABLES!$B$45,0,O45)+L46)*C46*VARIABLES!$B$49)</f>
        <v>20338.983912998301</v>
      </c>
      <c r="O46" s="34">
        <f>IF($A46&lt;VARIABLES!$B$45,0,(IF($A46=VARIABLES!$B$45,0,O45)+L46)*(1+C46)-N46)</f>
        <v>24589831.550814942</v>
      </c>
      <c r="P46" s="34">
        <f>IF($A46&lt;VARIABLES!$B$52,0,IF($A46=VARIABLES!$B$52,VARIABLES!$B$53+VARIABLES!$B$54,VARIABLES!$B$54))</f>
        <v>20000</v>
      </c>
      <c r="Q46" s="34">
        <f>P46*VARIABLES!$B$55</f>
        <v>150</v>
      </c>
      <c r="R46" s="34">
        <f>IF($A46&lt;VARIABLES!$B$52,0,(IF($A46=VARIABLES!$B$52,0,S45)+P46)*C46*VARIABLES!$B$56)</f>
        <v>433.63300539520736</v>
      </c>
      <c r="S46" s="34">
        <f>IF($A46&lt;VARIABLES!$B$52,0,(IF($A46=VARIABLES!$B$52,0,S45)+P46)*(1+C46)-R46)</f>
        <v>2098350.1131074084</v>
      </c>
      <c r="T46" s="35">
        <f>IF($A46&lt;VARIABLES!$B$60,0,MIN(VARIABLES!$B$59,INT(($A46-VARIABLES!$B$60)/VARIABLES!$B$61)+1)*VARIABLES!$B$62)</f>
        <v>41</v>
      </c>
      <c r="U46" s="34">
        <f>T46*VARIABLES!$B$64+IF(AND($A46&gt;=VARIABLES!$B$60,MOD($A46-VARIABLES!$B$60,VARIABLES!$B$61)=0,INT(($A46-VARIABLES!$B$60)/VARIABLES!$B$61)&lt;VARIABLES!$B$59),VARIABLES!$B$62*VARIABLES!$B$63,0)</f>
        <v>255000</v>
      </c>
      <c r="V46" s="34">
        <f>U46*VARIABLES!$B$65</f>
        <v>1912.5</v>
      </c>
      <c r="W46" s="34">
        <f>IF($A46&lt;VARIABLES!$B$60,0,(IF($A46&lt;VARIABLES!$B$60+1,0,X45)+U46)*C46*VARIABLES!$B$66)</f>
        <v>9644.0870163115887</v>
      </c>
      <c r="X46" s="34">
        <f>IF($A46&lt;VARIABLES!$B$60,0,(IF($A46&lt;VARIABLES!$B$60+1,0,X45)+U46)*(1+C46)-W46)</f>
        <v>11659701.202720709</v>
      </c>
      <c r="Y46" s="34">
        <f t="shared" si="9"/>
        <v>515000</v>
      </c>
      <c r="Z46" s="34">
        <f t="shared" si="10"/>
        <v>3862.5</v>
      </c>
      <c r="AA46" s="34">
        <f t="shared" si="11"/>
        <v>38567.392473010812</v>
      </c>
      <c r="AB46" s="34">
        <f>(IF($A46=1,0,AD45)*VARIABLES!$B$18*VARIABLES!$B$16*VARIABLES!$B$17)+(Y46*VARIABLES!$B$16*VARIABLES!$B$17)</f>
        <v>8397.7524519845465</v>
      </c>
      <c r="AC46" s="36">
        <f t="shared" si="12"/>
        <v>50827.644924995358</v>
      </c>
      <c r="AD46" s="37">
        <f t="shared" si="13"/>
        <v>66145427.386868998</v>
      </c>
      <c r="AE46" s="34">
        <f>IF($A46=1,VARIABLES!$B$21,0)</f>
        <v>0</v>
      </c>
      <c r="AF46" s="34">
        <f>IF($A46&lt;=3,VARIABLES!$B$22,IF($A46&lt;=6,VARIABLES!$B$23,VARIABLES!$B$24))*(1+VARIABLES!$B$25)^INT(($A46-1)/12)</f>
        <v>54786.736000000012</v>
      </c>
      <c r="AG46" s="34">
        <f>IF(MOD($A46,12)=0,AD46*VARIABLES!$B$26,0)</f>
        <v>0</v>
      </c>
      <c r="AH46" s="34">
        <f>VARIABLES!$B$27</f>
        <v>5000</v>
      </c>
      <c r="AI46" s="34">
        <f>IF(MOD($A46,12)=0,VARIABLES!$B$28,0)</f>
        <v>0</v>
      </c>
      <c r="AJ46" s="38">
        <f t="shared" si="14"/>
        <v>59786.736000000012</v>
      </c>
      <c r="AK46" s="39">
        <f>IF(OR($A46&lt;VARIABLES!$B$7,AND($A46&gt;=VARIABLES!$B$8,$A46&lt;VARIABLES!$B$10)),VARIABLES!$B$13,0)</f>
        <v>0</v>
      </c>
      <c r="AL46" s="40">
        <f t="shared" si="15"/>
        <v>-8959.0910750046532</v>
      </c>
      <c r="AM46" s="40">
        <f t="shared" si="16"/>
        <v>1192919.5996342287</v>
      </c>
      <c r="AN46" s="41">
        <f t="shared" si="17"/>
        <v>0</v>
      </c>
    </row>
    <row r="47" spans="1:40" x14ac:dyDescent="0.2">
      <c r="A47" s="42">
        <v>44</v>
      </c>
      <c r="B47" s="42" t="str">
        <f>TEXT(DATE(VARIABLES!$B$70+INT((VARIABLES!$B$71+$A47-2)/12),MOD(VARIABLES!$B$71+$A47-2,12)+1,1),"mmm-yy")</f>
        <v>Jan-30</v>
      </c>
      <c r="C47" s="43">
        <f>IF($A47&lt;VARIABLES!$B$7,VARIABLES!$B$5/12,IF($A47&lt;VARIABLES!$B$8,VARIABLES!$B$6/12,IF($A47&lt;VARIABLES!$B$10,VARIABLES!$B$9/12,VARIABLES!$B$11/12)))</f>
        <v>8.3333333333333332E-3</v>
      </c>
      <c r="D47" s="44">
        <f>IF($A47&lt;VARIABLES!$B$31,0,IF($A47=VARIABLES!$B$31,VARIABLES!$B$32+VARIABLES!$B$33,VARIABLES!$B$33))</f>
        <v>200000</v>
      </c>
      <c r="E47" s="44">
        <f>D47*VARIABLES!$B$34</f>
        <v>1500</v>
      </c>
      <c r="F47" s="44">
        <f>IF($A47&lt;VARIABLES!$B$31,0,(IF($A47=VARIABLES!$B$31,0,G46)+D47)*C47*VARIABLES!$B$35)</f>
        <v>5024.9041031111083</v>
      </c>
      <c r="G47" s="44">
        <f>IF($A47&lt;VARIABLES!$B$31,0,(IF($A47=VARIABLES!$B$31,0,G46)+D47)*(1+C47)-F47)</f>
        <v>24315510.954954654</v>
      </c>
      <c r="H47" s="44">
        <f>IF($A47&lt;VARIABLES!$B$38,0,IF($A47=VARIABLES!$B$38,VARIABLES!$B$39+VARIABLES!$B$40,VARIABLES!$B$40))</f>
        <v>40000</v>
      </c>
      <c r="I47" s="44">
        <f>H47*VARIABLES!$B$41</f>
        <v>300</v>
      </c>
      <c r="J47" s="44">
        <f>IF($A47&lt;VARIABLES!$B$38,0,(IF($A47=VARIABLES!$B$38,0,K46)+H47)*C47*VARIABLES!$B$42)</f>
        <v>3265.0040210771804</v>
      </c>
      <c r="K47" s="44">
        <f>IF($A47&lt;VARIABLES!$B$38,0,(IF($A47=VARIABLES!$B$38,0,K46)+H47)*(1+C47)-J47)</f>
        <v>3947389.8614823115</v>
      </c>
      <c r="L47" s="44">
        <f>IF($A47&lt;VARIABLES!$B$45,0,IF($A47=VARIABLES!$B$45,VARIABLES!$B$46+VARIABLES!$B$47,VARIABLES!$B$47))</f>
        <v>0</v>
      </c>
      <c r="M47" s="44">
        <f>L47*VARIABLES!$B$48</f>
        <v>0</v>
      </c>
      <c r="N47" s="44">
        <f>IF($A47&lt;VARIABLES!$B$45,0,(IF($A47=VARIABLES!$B$45,0,O46)+L47)*C47*VARIABLES!$B$49)</f>
        <v>20491.526292345785</v>
      </c>
      <c r="O47" s="44">
        <f>IF($A47&lt;VARIABLES!$B$45,0,(IF($A47=VARIABLES!$B$45,0,O46)+L47)*(1+C47)-N47)</f>
        <v>24774255.287446052</v>
      </c>
      <c r="P47" s="44">
        <f>IF($A47&lt;VARIABLES!$B$52,0,IF($A47=VARIABLES!$B$52,VARIABLES!$B$53+VARIABLES!$B$54,VARIABLES!$B$54))</f>
        <v>20000</v>
      </c>
      <c r="Q47" s="44">
        <f>P47*VARIABLES!$B$55</f>
        <v>150</v>
      </c>
      <c r="R47" s="44">
        <f>IF($A47&lt;VARIABLES!$B$52,0,(IF($A47=VARIABLES!$B$52,0,S46)+P47)*C47*VARIABLES!$B$56)</f>
        <v>441.32294023071012</v>
      </c>
      <c r="S47" s="44">
        <f>IF($A47&lt;VARIABLES!$B$52,0,(IF($A47=VARIABLES!$B$52,0,S46)+P47)*(1+C47)-R47)</f>
        <v>2135561.7077764058</v>
      </c>
      <c r="T47" s="45">
        <f>IF($A47&lt;VARIABLES!$B$60,0,MIN(VARIABLES!$B$59,INT(($A47-VARIABLES!$B$60)/VARIABLES!$B$61)+1)*VARIABLES!$B$62)</f>
        <v>42</v>
      </c>
      <c r="U47" s="44">
        <f>T47*VARIABLES!$B$64+IF(AND($A47&gt;=VARIABLES!$B$60,MOD($A47-VARIABLES!$B$60,VARIABLES!$B$61)=0,INT(($A47-VARIABLES!$B$60)/VARIABLES!$B$61)&lt;VARIABLES!$B$59),VARIABLES!$B$62*VARIABLES!$B$63,0)</f>
        <v>260000</v>
      </c>
      <c r="V47" s="44">
        <f>U47*VARIABLES!$B$65</f>
        <v>1950</v>
      </c>
      <c r="W47" s="44">
        <f>IF($A47&lt;VARIABLES!$B$60,0,(IF($A47&lt;VARIABLES!$B$60+1,0,X46)+U47)*C47*VARIABLES!$B$66)</f>
        <v>9933.0843356005917</v>
      </c>
      <c r="X47" s="44">
        <f>IF($A47&lt;VARIABLES!$B$60,0,(IF($A47&lt;VARIABLES!$B$60+1,0,X46)+U47)*(1+C47)-W47)</f>
        <v>12009098.961741114</v>
      </c>
      <c r="Y47" s="44">
        <f t="shared" si="9"/>
        <v>520000</v>
      </c>
      <c r="Z47" s="44">
        <f t="shared" si="10"/>
        <v>3900</v>
      </c>
      <c r="AA47" s="44">
        <f t="shared" si="11"/>
        <v>39155.841692365379</v>
      </c>
      <c r="AB47" s="44">
        <f>(IF($A47=1,0,AD46)*VARIABLES!$B$18*VARIABLES!$B$16*VARIABLES!$B$17)+(Y47*VARIABLES!$B$16*VARIABLES!$B$17)</f>
        <v>8528.1784233586259</v>
      </c>
      <c r="AC47" s="36">
        <f t="shared" si="12"/>
        <v>51584.020115724008</v>
      </c>
      <c r="AD47" s="37">
        <f t="shared" si="13"/>
        <v>67181816.77340053</v>
      </c>
      <c r="AE47" s="44">
        <f>IF($A47=1,VARIABLES!$B$21,0)</f>
        <v>0</v>
      </c>
      <c r="AF47" s="44">
        <f>IF($A47&lt;=3,VARIABLES!$B$22,IF($A47&lt;=6,VARIABLES!$B$23,VARIABLES!$B$24))*(1+VARIABLES!$B$25)^INT(($A47-1)/12)</f>
        <v>54786.736000000012</v>
      </c>
      <c r="AG47" s="44">
        <f>IF(MOD($A47,12)=0,AD47*VARIABLES!$B$26,0)</f>
        <v>0</v>
      </c>
      <c r="AH47" s="44">
        <f>VARIABLES!$B$27</f>
        <v>5000</v>
      </c>
      <c r="AI47" s="44">
        <f>IF(MOD($A47,12)=0,VARIABLES!$B$28,0)</f>
        <v>0</v>
      </c>
      <c r="AJ47" s="38">
        <f t="shared" si="14"/>
        <v>59786.736000000012</v>
      </c>
      <c r="AK47" s="39">
        <f>IF(OR($A47&lt;VARIABLES!$B$7,AND($A47&gt;=VARIABLES!$B$8,$A47&lt;VARIABLES!$B$10)),VARIABLES!$B$13,0)</f>
        <v>0</v>
      </c>
      <c r="AL47" s="46">
        <f t="shared" si="15"/>
        <v>-8202.7158842760036</v>
      </c>
      <c r="AM47" s="46">
        <f t="shared" si="16"/>
        <v>1184716.8837499528</v>
      </c>
      <c r="AN47" s="41">
        <f t="shared" si="17"/>
        <v>0</v>
      </c>
    </row>
    <row r="48" spans="1:40" x14ac:dyDescent="0.2">
      <c r="A48" s="32">
        <v>45</v>
      </c>
      <c r="B48" s="32" t="str">
        <f>TEXT(DATE(VARIABLES!$B$70+INT((VARIABLES!$B$71+$A48-2)/12),MOD(VARIABLES!$B$71+$A48-2,12)+1,1),"mmm-yy")</f>
        <v>Feb-30</v>
      </c>
      <c r="C48" s="33">
        <f>IF($A48&lt;VARIABLES!$B$7,VARIABLES!$B$5/12,IF($A48&lt;VARIABLES!$B$8,VARIABLES!$B$6/12,IF($A48&lt;VARIABLES!$B$10,VARIABLES!$B$9/12,VARIABLES!$B$11/12)))</f>
        <v>8.3333333333333332E-3</v>
      </c>
      <c r="D48" s="34">
        <f>IF($A48&lt;VARIABLES!$B$31,0,IF($A48=VARIABLES!$B$31,VARIABLES!$B$32+VARIABLES!$B$33,VARIABLES!$B$33))</f>
        <v>200000</v>
      </c>
      <c r="E48" s="34">
        <f>D48*VARIABLES!$B$34</f>
        <v>1500</v>
      </c>
      <c r="F48" s="34">
        <f>IF($A48&lt;VARIABLES!$B$31,0,(IF($A48=VARIABLES!$B$31,0,G47)+D48)*C48*VARIABLES!$B$35)</f>
        <v>5107.3981156155533</v>
      </c>
      <c r="G48" s="34">
        <f>IF($A48&lt;VARIABLES!$B$31,0,(IF($A48=VARIABLES!$B$31,0,G47)+D48)*(1+C48)-F48)</f>
        <v>24714699.48146366</v>
      </c>
      <c r="H48" s="34">
        <f>IF($A48&lt;VARIABLES!$B$38,0,IF($A48=VARIABLES!$B$38,VARIABLES!$B$39+VARIABLES!$B$40,VARIABLES!$B$40))</f>
        <v>40000</v>
      </c>
      <c r="I48" s="34">
        <f>H48*VARIABLES!$B$41</f>
        <v>300</v>
      </c>
      <c r="J48" s="34">
        <f>IF($A48&lt;VARIABLES!$B$38,0,(IF($A48=VARIABLES!$B$38,0,K47)+H48)*C48*VARIABLES!$B$42)</f>
        <v>3322.824884568593</v>
      </c>
      <c r="K48" s="34">
        <f>IF($A48&lt;VARIABLES!$B$38,0,(IF($A48=VARIABLES!$B$38,0,K47)+H48)*(1+C48)-J48)</f>
        <v>4017295.2854434284</v>
      </c>
      <c r="L48" s="34">
        <f>IF($A48&lt;VARIABLES!$B$45,0,IF($A48=VARIABLES!$B$45,VARIABLES!$B$46+VARIABLES!$B$47,VARIABLES!$B$47))</f>
        <v>0</v>
      </c>
      <c r="M48" s="34">
        <f>L48*VARIABLES!$B$48</f>
        <v>0</v>
      </c>
      <c r="N48" s="34">
        <f>IF($A48&lt;VARIABLES!$B$45,0,(IF($A48=VARIABLES!$B$45,0,O47)+L48)*C48*VARIABLES!$B$49)</f>
        <v>20645.212739538376</v>
      </c>
      <c r="O48" s="34">
        <f>IF($A48&lt;VARIABLES!$B$45,0,(IF($A48=VARIABLES!$B$45,0,O47)+L48)*(1+C48)-N48)</f>
        <v>24960062.202101897</v>
      </c>
      <c r="P48" s="34">
        <f>IF($A48&lt;VARIABLES!$B$52,0,IF($A48=VARIABLES!$B$52,VARIABLES!$B$53+VARIABLES!$B$54,VARIABLES!$B$54))</f>
        <v>20000</v>
      </c>
      <c r="Q48" s="34">
        <f>P48*VARIABLES!$B$55</f>
        <v>150</v>
      </c>
      <c r="R48" s="34">
        <f>IF($A48&lt;VARIABLES!$B$52,0,(IF($A48=VARIABLES!$B$52,0,S47)+P48)*C48*VARIABLES!$B$56)</f>
        <v>449.07535578675129</v>
      </c>
      <c r="S48" s="34">
        <f>IF($A48&lt;VARIABLES!$B$52,0,(IF($A48=VARIABLES!$B$52,0,S47)+P48)*(1+C48)-R48)</f>
        <v>2173075.646652089</v>
      </c>
      <c r="T48" s="35">
        <f>IF($A48&lt;VARIABLES!$B$60,0,MIN(VARIABLES!$B$59,INT(($A48-VARIABLES!$B$60)/VARIABLES!$B$61)+1)*VARIABLES!$B$62)</f>
        <v>43</v>
      </c>
      <c r="U48" s="34">
        <f>T48*VARIABLES!$B$64+IF(AND($A48&gt;=VARIABLES!$B$60,MOD($A48-VARIABLES!$B$60,VARIABLES!$B$61)=0,INT(($A48-VARIABLES!$B$60)/VARIABLES!$B$61)&lt;VARIABLES!$B$59),VARIABLES!$B$62*VARIABLES!$B$63,0)</f>
        <v>265000</v>
      </c>
      <c r="V48" s="34">
        <f>U48*VARIABLES!$B$65</f>
        <v>1987.5</v>
      </c>
      <c r="W48" s="34">
        <f>IF($A48&lt;VARIABLES!$B$60,0,(IF($A48&lt;VARIABLES!$B$60+1,0,X47)+U48)*C48*VARIABLES!$B$66)</f>
        <v>10228.41580145093</v>
      </c>
      <c r="X48" s="34">
        <f>IF($A48&lt;VARIABLES!$B$60,0,(IF($A48&lt;VARIABLES!$B$60+1,0,X47)+U48)*(1+C48)-W48)</f>
        <v>12366154.703954173</v>
      </c>
      <c r="Y48" s="34">
        <f t="shared" si="9"/>
        <v>525000</v>
      </c>
      <c r="Z48" s="34">
        <f t="shared" si="10"/>
        <v>3937.5</v>
      </c>
      <c r="AA48" s="34">
        <f t="shared" si="11"/>
        <v>39752.926896960198</v>
      </c>
      <c r="AB48" s="34">
        <f>(IF($A48=1,0,AD47)*VARIABLES!$B$18*VARIABLES!$B$16*VARIABLES!$B$17)+(Y48*VARIABLES!$B$16*VARIABLES!$B$17)</f>
        <v>8660.2270966750657</v>
      </c>
      <c r="AC48" s="36">
        <f t="shared" si="12"/>
        <v>52350.653993635264</v>
      </c>
      <c r="AD48" s="37">
        <f t="shared" si="13"/>
        <v>68231287.319615245</v>
      </c>
      <c r="AE48" s="34">
        <f>IF($A48=1,VARIABLES!$B$21,0)</f>
        <v>0</v>
      </c>
      <c r="AF48" s="34">
        <f>IF($A48&lt;=3,VARIABLES!$B$22,IF($A48&lt;=6,VARIABLES!$B$23,VARIABLES!$B$24))*(1+VARIABLES!$B$25)^INT(($A48-1)/12)</f>
        <v>54786.736000000012</v>
      </c>
      <c r="AG48" s="34">
        <f>IF(MOD($A48,12)=0,AD48*VARIABLES!$B$26,0)</f>
        <v>0</v>
      </c>
      <c r="AH48" s="34">
        <f>VARIABLES!$B$27</f>
        <v>5000</v>
      </c>
      <c r="AI48" s="34">
        <f>IF(MOD($A48,12)=0,VARIABLES!$B$28,0)</f>
        <v>0</v>
      </c>
      <c r="AJ48" s="38">
        <f t="shared" si="14"/>
        <v>59786.736000000012</v>
      </c>
      <c r="AK48" s="39">
        <f>IF(OR($A48&lt;VARIABLES!$B$7,AND($A48&gt;=VARIABLES!$B$8,$A48&lt;VARIABLES!$B$10)),VARIABLES!$B$13,0)</f>
        <v>0</v>
      </c>
      <c r="AL48" s="40">
        <f t="shared" si="15"/>
        <v>-7436.0820063647479</v>
      </c>
      <c r="AM48" s="40">
        <f t="shared" si="16"/>
        <v>1177280.8017435879</v>
      </c>
      <c r="AN48" s="41">
        <f t="shared" si="17"/>
        <v>0</v>
      </c>
    </row>
    <row r="49" spans="1:40" x14ac:dyDescent="0.2">
      <c r="A49" s="42">
        <v>46</v>
      </c>
      <c r="B49" s="42" t="str">
        <f>TEXT(DATE(VARIABLES!$B$70+INT((VARIABLES!$B$71+$A49-2)/12),MOD(VARIABLES!$B$71+$A49-2,12)+1,1),"mmm-yy")</f>
        <v>Mar-30</v>
      </c>
      <c r="C49" s="43">
        <f>IF($A49&lt;VARIABLES!$B$7,VARIABLES!$B$5/12,IF($A49&lt;VARIABLES!$B$8,VARIABLES!$B$6/12,IF($A49&lt;VARIABLES!$B$10,VARIABLES!$B$9/12,VARIABLES!$B$11/12)))</f>
        <v>8.3333333333333332E-3</v>
      </c>
      <c r="D49" s="44">
        <f>IF($A49&lt;VARIABLES!$B$31,0,IF($A49=VARIABLES!$B$31,VARIABLES!$B$32+VARIABLES!$B$33,VARIABLES!$B$33))</f>
        <v>200000</v>
      </c>
      <c r="E49" s="44">
        <f>D49*VARIABLES!$B$34</f>
        <v>1500</v>
      </c>
      <c r="F49" s="44">
        <f>IF($A49&lt;VARIABLES!$B$31,0,(IF($A49=VARIABLES!$B$31,0,G48)+D49)*C49*VARIABLES!$B$35)</f>
        <v>5190.5623919715963</v>
      </c>
      <c r="G49" s="44">
        <f>IF($A49&lt;VARIABLES!$B$31,0,(IF($A49=VARIABLES!$B$31,0,G48)+D49)*(1+C49)-F49)</f>
        <v>25117131.414750554</v>
      </c>
      <c r="H49" s="44">
        <f>IF($A49&lt;VARIABLES!$B$38,0,IF($A49=VARIABLES!$B$38,VARIABLES!$B$39+VARIABLES!$B$40,VARIABLES!$B$40))</f>
        <v>40000</v>
      </c>
      <c r="I49" s="44">
        <f>H49*VARIABLES!$B$41</f>
        <v>300</v>
      </c>
      <c r="J49" s="44">
        <f>IF($A49&lt;VARIABLES!$B$38,0,(IF($A49=VARIABLES!$B$38,0,K48)+H49)*C49*VARIABLES!$B$42)</f>
        <v>3381.0794045361904</v>
      </c>
      <c r="K49" s="44">
        <f>IF($A49&lt;VARIABLES!$B$38,0,(IF($A49=VARIABLES!$B$38,0,K48)+H49)*(1+C49)-J49)</f>
        <v>4087725.000084254</v>
      </c>
      <c r="L49" s="44">
        <f>IF($A49&lt;VARIABLES!$B$45,0,IF($A49=VARIABLES!$B$45,VARIABLES!$B$46+VARIABLES!$B$47,VARIABLES!$B$47))</f>
        <v>0</v>
      </c>
      <c r="M49" s="44">
        <f>L49*VARIABLES!$B$48</f>
        <v>0</v>
      </c>
      <c r="N49" s="44">
        <f>IF($A49&lt;VARIABLES!$B$45,0,(IF($A49=VARIABLES!$B$45,0,O48)+L49)*C49*VARIABLES!$B$49)</f>
        <v>20800.051835084916</v>
      </c>
      <c r="O49" s="44">
        <f>IF($A49&lt;VARIABLES!$B$45,0,(IF($A49=VARIABLES!$B$45,0,O48)+L49)*(1+C49)-N49)</f>
        <v>25147262.668617658</v>
      </c>
      <c r="P49" s="44">
        <f>IF($A49&lt;VARIABLES!$B$52,0,IF($A49=VARIABLES!$B$52,VARIABLES!$B$53+VARIABLES!$B$54,VARIABLES!$B$54))</f>
        <v>20000</v>
      </c>
      <c r="Q49" s="44">
        <f>P49*VARIABLES!$B$55</f>
        <v>150</v>
      </c>
      <c r="R49" s="44">
        <f>IF($A49&lt;VARIABLES!$B$52,0,(IF($A49=VARIABLES!$B$52,0,S48)+P49)*C49*VARIABLES!$B$56)</f>
        <v>456.89075971918521</v>
      </c>
      <c r="S49" s="44">
        <f>IF($A49&lt;VARIABLES!$B$52,0,(IF($A49=VARIABLES!$B$52,0,S48)+P49)*(1+C49)-R49)</f>
        <v>2210894.3862811374</v>
      </c>
      <c r="T49" s="45">
        <f>IF($A49&lt;VARIABLES!$B$60,0,MIN(VARIABLES!$B$59,INT(($A49-VARIABLES!$B$60)/VARIABLES!$B$61)+1)*VARIABLES!$B$62)</f>
        <v>44</v>
      </c>
      <c r="U49" s="44">
        <f>T49*VARIABLES!$B$64+IF(AND($A49&gt;=VARIABLES!$B$60,MOD($A49-VARIABLES!$B$60,VARIABLES!$B$61)=0,INT(($A49-VARIABLES!$B$60)/VARIABLES!$B$61)&lt;VARIABLES!$B$59),VARIABLES!$B$62*VARIABLES!$B$63,0)</f>
        <v>270000</v>
      </c>
      <c r="V49" s="44">
        <f>U49*VARIABLES!$B$65</f>
        <v>2025</v>
      </c>
      <c r="W49" s="44">
        <f>IF($A49&lt;VARIABLES!$B$60,0,(IF($A49&lt;VARIABLES!$B$60+1,0,X48)+U49)*C49*VARIABLES!$B$66)</f>
        <v>10530.128919961811</v>
      </c>
      <c r="X49" s="44">
        <f>IF($A49&lt;VARIABLES!$B$60,0,(IF($A49&lt;VARIABLES!$B$60+1,0,X48)+U49)*(1+C49)-W49)</f>
        <v>12730925.864233831</v>
      </c>
      <c r="Y49" s="44">
        <f t="shared" si="9"/>
        <v>530000</v>
      </c>
      <c r="Z49" s="44">
        <f t="shared" si="10"/>
        <v>3975</v>
      </c>
      <c r="AA49" s="44">
        <f t="shared" si="11"/>
        <v>40358.713311273699</v>
      </c>
      <c r="AB49" s="44">
        <f>(IF($A49=1,0,AD48)*VARIABLES!$B$18*VARIABLES!$B$16*VARIABLES!$B$17)+(Y49*VARIABLES!$B$16*VARIABLES!$B$17)</f>
        <v>8793.9109149519063</v>
      </c>
      <c r="AC49" s="36">
        <f t="shared" si="12"/>
        <v>53127.624226225606</v>
      </c>
      <c r="AD49" s="37">
        <f t="shared" si="13"/>
        <v>69293939.333967432</v>
      </c>
      <c r="AE49" s="44">
        <f>IF($A49=1,VARIABLES!$B$21,0)</f>
        <v>0</v>
      </c>
      <c r="AF49" s="44">
        <f>IF($A49&lt;=3,VARIABLES!$B$22,IF($A49&lt;=6,VARIABLES!$B$23,VARIABLES!$B$24))*(1+VARIABLES!$B$25)^INT(($A49-1)/12)</f>
        <v>54786.736000000012</v>
      </c>
      <c r="AG49" s="44">
        <f>IF(MOD($A49,12)=0,AD49*VARIABLES!$B$26,0)</f>
        <v>0</v>
      </c>
      <c r="AH49" s="44">
        <f>VARIABLES!$B$27</f>
        <v>5000</v>
      </c>
      <c r="AI49" s="44">
        <f>IF(MOD($A49,12)=0,VARIABLES!$B$28,0)</f>
        <v>0</v>
      </c>
      <c r="AJ49" s="38">
        <f t="shared" si="14"/>
        <v>59786.736000000012</v>
      </c>
      <c r="AK49" s="39">
        <f>IF(OR($A49&lt;VARIABLES!$B$7,AND($A49&gt;=VARIABLES!$B$8,$A49&lt;VARIABLES!$B$10)),VARIABLES!$B$13,0)</f>
        <v>0</v>
      </c>
      <c r="AL49" s="46">
        <f t="shared" si="15"/>
        <v>-6659.1117737744062</v>
      </c>
      <c r="AM49" s="46">
        <f t="shared" si="16"/>
        <v>1170621.6899698135</v>
      </c>
      <c r="AN49" s="41">
        <f t="shared" si="17"/>
        <v>0</v>
      </c>
    </row>
    <row r="50" spans="1:40" x14ac:dyDescent="0.2">
      <c r="A50" s="32">
        <v>47</v>
      </c>
      <c r="B50" s="32" t="str">
        <f>TEXT(DATE(VARIABLES!$B$70+INT((VARIABLES!$B$71+$A50-2)/12),MOD(VARIABLES!$B$71+$A50-2,12)+1,1),"mmm-yy")</f>
        <v>Apr-30</v>
      </c>
      <c r="C50" s="33">
        <f>IF($A50&lt;VARIABLES!$B$7,VARIABLES!$B$5/12,IF($A50&lt;VARIABLES!$B$8,VARIABLES!$B$6/12,IF($A50&lt;VARIABLES!$B$10,VARIABLES!$B$9/12,VARIABLES!$B$11/12)))</f>
        <v>8.3333333333333332E-3</v>
      </c>
      <c r="D50" s="34">
        <f>IF($A50&lt;VARIABLES!$B$31,0,IF($A50=VARIABLES!$B$31,VARIABLES!$B$32+VARIABLES!$B$33,VARIABLES!$B$33))</f>
        <v>200000</v>
      </c>
      <c r="E50" s="34">
        <f>D50*VARIABLES!$B$34</f>
        <v>1500</v>
      </c>
      <c r="F50" s="34">
        <f>IF($A50&lt;VARIABLES!$B$31,0,(IF($A50=VARIABLES!$B$31,0,G49)+D50)*C50*VARIABLES!$B$35)</f>
        <v>5274.4023780730322</v>
      </c>
      <c r="G50" s="34">
        <f>IF($A50&lt;VARIABLES!$B$31,0,(IF($A50=VARIABLES!$B$31,0,G49)+D50)*(1+C50)-F50)</f>
        <v>25522833.107495401</v>
      </c>
      <c r="H50" s="34">
        <f>IF($A50&lt;VARIABLES!$B$38,0,IF($A50=VARIABLES!$B$38,VARIABLES!$B$39+VARIABLES!$B$40,VARIABLES!$B$40))</f>
        <v>40000</v>
      </c>
      <c r="I50" s="34">
        <f>H50*VARIABLES!$B$41</f>
        <v>300</v>
      </c>
      <c r="J50" s="34">
        <f>IF($A50&lt;VARIABLES!$B$38,0,(IF($A50=VARIABLES!$B$38,0,K49)+H50)*C50*VARIABLES!$B$42)</f>
        <v>3439.7708334035451</v>
      </c>
      <c r="K50" s="34">
        <f>IF($A50&lt;VARIABLES!$B$38,0,(IF($A50=VARIABLES!$B$38,0,K49)+H50)*(1+C50)-J50)</f>
        <v>4158682.9375848859</v>
      </c>
      <c r="L50" s="34">
        <f>IF($A50&lt;VARIABLES!$B$45,0,IF($A50=VARIABLES!$B$45,VARIABLES!$B$46+VARIABLES!$B$47,VARIABLES!$B$47))</f>
        <v>0</v>
      </c>
      <c r="M50" s="34">
        <f>L50*VARIABLES!$B$48</f>
        <v>0</v>
      </c>
      <c r="N50" s="34">
        <f>IF($A50&lt;VARIABLES!$B$45,0,(IF($A50=VARIABLES!$B$45,0,O49)+L50)*C50*VARIABLES!$B$49)</f>
        <v>20956.052223848048</v>
      </c>
      <c r="O50" s="34">
        <f>IF($A50&lt;VARIABLES!$B$45,0,(IF($A50=VARIABLES!$B$45,0,O49)+L50)*(1+C50)-N50)</f>
        <v>25335867.13863229</v>
      </c>
      <c r="P50" s="34">
        <f>IF($A50&lt;VARIABLES!$B$52,0,IF($A50=VARIABLES!$B$52,VARIABLES!$B$53+VARIABLES!$B$54,VARIABLES!$B$54))</f>
        <v>20000</v>
      </c>
      <c r="Q50" s="34">
        <f>P50*VARIABLES!$B$55</f>
        <v>150</v>
      </c>
      <c r="R50" s="34">
        <f>IF($A50&lt;VARIABLES!$B$52,0,(IF($A50=VARIABLES!$B$52,0,S49)+P50)*C50*VARIABLES!$B$56)</f>
        <v>464.76966380857033</v>
      </c>
      <c r="S50" s="34">
        <f>IF($A50&lt;VARIABLES!$B$52,0,(IF($A50=VARIABLES!$B$52,0,S49)+P50)*(1+C50)-R50)</f>
        <v>2249020.4031696715</v>
      </c>
      <c r="T50" s="35">
        <f>IF($A50&lt;VARIABLES!$B$60,0,MIN(VARIABLES!$B$59,INT(($A50-VARIABLES!$B$60)/VARIABLES!$B$61)+1)*VARIABLES!$B$62)</f>
        <v>45</v>
      </c>
      <c r="U50" s="34">
        <f>T50*VARIABLES!$B$64+IF(AND($A50&gt;=VARIABLES!$B$60,MOD($A50-VARIABLES!$B$60,VARIABLES!$B$61)=0,INT(($A50-VARIABLES!$B$60)/VARIABLES!$B$61)&lt;VARIABLES!$B$59),VARIABLES!$B$62*VARIABLES!$B$63,0)</f>
        <v>275000</v>
      </c>
      <c r="V50" s="34">
        <f>U50*VARIABLES!$B$65</f>
        <v>2062.5</v>
      </c>
      <c r="W50" s="34">
        <f>IF($A50&lt;VARIABLES!$B$60,0,(IF($A50&lt;VARIABLES!$B$60+1,0,X49)+U50)*C50*VARIABLES!$B$66)</f>
        <v>10838.271553528193</v>
      </c>
      <c r="X50" s="34">
        <f>IF($A50&lt;VARIABLES!$B$60,0,(IF($A50&lt;VARIABLES!$B$60+1,0,X49)+U50)*(1+C50)-W50)</f>
        <v>13103470.308215585</v>
      </c>
      <c r="Y50" s="34">
        <f t="shared" si="9"/>
        <v>535000</v>
      </c>
      <c r="Z50" s="34">
        <f t="shared" si="10"/>
        <v>4012.5</v>
      </c>
      <c r="AA50" s="34">
        <f t="shared" si="11"/>
        <v>40973.26665266139</v>
      </c>
      <c r="AB50" s="34">
        <f>(IF($A50=1,0,AD49)*VARIABLES!$B$18*VARIABLES!$B$16*VARIABLES!$B$17)+(Y50*VARIABLES!$B$16*VARIABLES!$B$17)</f>
        <v>8929.2424167459285</v>
      </c>
      <c r="AC50" s="36">
        <f t="shared" si="12"/>
        <v>53915.009069407315</v>
      </c>
      <c r="AD50" s="37">
        <f t="shared" si="13"/>
        <v>70369873.895097822</v>
      </c>
      <c r="AE50" s="34">
        <f>IF($A50=1,VARIABLES!$B$21,0)</f>
        <v>0</v>
      </c>
      <c r="AF50" s="34">
        <f>IF($A50&lt;=3,VARIABLES!$B$22,IF($A50&lt;=6,VARIABLES!$B$23,VARIABLES!$B$24))*(1+VARIABLES!$B$25)^INT(($A50-1)/12)</f>
        <v>54786.736000000012</v>
      </c>
      <c r="AG50" s="34">
        <f>IF(MOD($A50,12)=0,AD50*VARIABLES!$B$26,0)</f>
        <v>0</v>
      </c>
      <c r="AH50" s="34">
        <f>VARIABLES!$B$27</f>
        <v>5000</v>
      </c>
      <c r="AI50" s="34">
        <f>IF(MOD($A50,12)=0,VARIABLES!$B$28,0)</f>
        <v>0</v>
      </c>
      <c r="AJ50" s="38">
        <f t="shared" si="14"/>
        <v>59786.736000000012</v>
      </c>
      <c r="AK50" s="39">
        <f>IF(OR($A50&lt;VARIABLES!$B$7,AND($A50&gt;=VARIABLES!$B$8,$A50&lt;VARIABLES!$B$10)),VARIABLES!$B$13,0)</f>
        <v>0</v>
      </c>
      <c r="AL50" s="40">
        <f t="shared" si="15"/>
        <v>-5871.7269305926966</v>
      </c>
      <c r="AM50" s="40">
        <f t="shared" si="16"/>
        <v>1164749.9630392208</v>
      </c>
      <c r="AN50" s="41">
        <f t="shared" si="17"/>
        <v>0</v>
      </c>
    </row>
    <row r="51" spans="1:40" x14ac:dyDescent="0.2">
      <c r="A51" s="42">
        <v>48</v>
      </c>
      <c r="B51" s="42" t="str">
        <f>TEXT(DATE(VARIABLES!$B$70+INT((VARIABLES!$B$71+$A51-2)/12),MOD(VARIABLES!$B$71+$A51-2,12)+1,1),"mmm-yy")</f>
        <v>May-30</v>
      </c>
      <c r="C51" s="43">
        <f>IF($A51&lt;VARIABLES!$B$7,VARIABLES!$B$5/12,IF($A51&lt;VARIABLES!$B$8,VARIABLES!$B$6/12,IF($A51&lt;VARIABLES!$B$10,VARIABLES!$B$9/12,VARIABLES!$B$11/12)))</f>
        <v>8.3333333333333332E-3</v>
      </c>
      <c r="D51" s="44">
        <f>IF($A51&lt;VARIABLES!$B$31,0,IF($A51=VARIABLES!$B$31,VARIABLES!$B$32+VARIABLES!$B$33,VARIABLES!$B$33))</f>
        <v>200000</v>
      </c>
      <c r="E51" s="44">
        <f>D51*VARIABLES!$B$34</f>
        <v>1500</v>
      </c>
      <c r="F51" s="44">
        <f>IF($A51&lt;VARIABLES!$B$31,0,(IF($A51=VARIABLES!$B$31,0,G50)+D51)*C51*VARIABLES!$B$35)</f>
        <v>5358.9235640615425</v>
      </c>
      <c r="G51" s="44">
        <f>IF($A51&lt;VARIABLES!$B$31,0,(IF($A51=VARIABLES!$B$31,0,G50)+D51)*(1+C51)-F51)</f>
        <v>25931831.1264938</v>
      </c>
      <c r="H51" s="44">
        <f>IF($A51&lt;VARIABLES!$B$38,0,IF($A51=VARIABLES!$B$38,VARIABLES!$B$39+VARIABLES!$B$40,VARIABLES!$B$40))</f>
        <v>40000</v>
      </c>
      <c r="I51" s="44">
        <f>H51*VARIABLES!$B$41</f>
        <v>300</v>
      </c>
      <c r="J51" s="44">
        <f>IF($A51&lt;VARIABLES!$B$38,0,(IF($A51=VARIABLES!$B$38,0,K50)+H51)*C51*VARIABLES!$B$42)</f>
        <v>3498.9024479874056</v>
      </c>
      <c r="K51" s="44">
        <f>IF($A51&lt;VARIABLES!$B$38,0,(IF($A51=VARIABLES!$B$38,0,K50)+H51)*(1+C51)-J51)</f>
        <v>4230173.0596167725</v>
      </c>
      <c r="L51" s="44">
        <f>IF($A51&lt;VARIABLES!$B$45,0,IF($A51=VARIABLES!$B$45,VARIABLES!$B$46+VARIABLES!$B$47,VARIABLES!$B$47))</f>
        <v>0</v>
      </c>
      <c r="M51" s="44">
        <f>L51*VARIABLES!$B$48</f>
        <v>0</v>
      </c>
      <c r="N51" s="44">
        <f>IF($A51&lt;VARIABLES!$B$45,0,(IF($A51=VARIABLES!$B$45,0,O50)+L51)*C51*VARIABLES!$B$49)</f>
        <v>21113.222615526909</v>
      </c>
      <c r="O51" s="44">
        <f>IF($A51&lt;VARIABLES!$B$45,0,(IF($A51=VARIABLES!$B$45,0,O50)+L51)*(1+C51)-N51)</f>
        <v>25525886.142172035</v>
      </c>
      <c r="P51" s="44">
        <f>IF($A51&lt;VARIABLES!$B$52,0,IF($A51=VARIABLES!$B$52,VARIABLES!$B$53+VARIABLES!$B$54,VARIABLES!$B$54))</f>
        <v>20000</v>
      </c>
      <c r="Q51" s="44">
        <f>P51*VARIABLES!$B$55</f>
        <v>150</v>
      </c>
      <c r="R51" s="44">
        <f>IF($A51&lt;VARIABLES!$B$52,0,(IF($A51=VARIABLES!$B$52,0,S50)+P51)*C51*VARIABLES!$B$56)</f>
        <v>472.71258399368156</v>
      </c>
      <c r="S51" s="44">
        <f>IF($A51&lt;VARIABLES!$B$52,0,(IF($A51=VARIABLES!$B$52,0,S50)+P51)*(1+C51)-R51)</f>
        <v>2287456.1939454251</v>
      </c>
      <c r="T51" s="45">
        <f>IF($A51&lt;VARIABLES!$B$60,0,MIN(VARIABLES!$B$59,INT(($A51-VARIABLES!$B$60)/VARIABLES!$B$61)+1)*VARIABLES!$B$62)</f>
        <v>46</v>
      </c>
      <c r="U51" s="44">
        <f>T51*VARIABLES!$B$64+IF(AND($A51&gt;=VARIABLES!$B$60,MOD($A51-VARIABLES!$B$60,VARIABLES!$B$61)=0,INT(($A51-VARIABLES!$B$60)/VARIABLES!$B$61)&lt;VARIABLES!$B$59),VARIABLES!$B$62*VARIABLES!$B$63,0)</f>
        <v>280000</v>
      </c>
      <c r="V51" s="44">
        <f>U51*VARIABLES!$B$65</f>
        <v>2100</v>
      </c>
      <c r="W51" s="44">
        <f>IF($A51&lt;VARIABLES!$B$60,0,(IF($A51&lt;VARIABLES!$B$60+1,0,X50)+U51)*C51*VARIABLES!$B$66)</f>
        <v>11152.891923512987</v>
      </c>
      <c r="X51" s="44">
        <f>IF($A51&lt;VARIABLES!$B$60,0,(IF($A51&lt;VARIABLES!$B$60+1,0,X50)+U51)*(1+C51)-W51)</f>
        <v>13483846.3355272</v>
      </c>
      <c r="Y51" s="44">
        <f t="shared" si="9"/>
        <v>540000</v>
      </c>
      <c r="Z51" s="44">
        <f t="shared" si="10"/>
        <v>4050</v>
      </c>
      <c r="AA51" s="44">
        <f t="shared" si="11"/>
        <v>41596.653135082524</v>
      </c>
      <c r="AB51" s="44">
        <f>(IF($A51=1,0,AD50)*VARIABLES!$B$18*VARIABLES!$B$16*VARIABLES!$B$17)+(Y51*VARIABLES!$B$16*VARIABLES!$B$17)</f>
        <v>9066.2342368872287</v>
      </c>
      <c r="AC51" s="36">
        <f t="shared" si="12"/>
        <v>54712.887371969751</v>
      </c>
      <c r="AD51" s="37">
        <f t="shared" si="13"/>
        <v>71459192.857755229</v>
      </c>
      <c r="AE51" s="44">
        <f>IF($A51=1,VARIABLES!$B$21,0)</f>
        <v>0</v>
      </c>
      <c r="AF51" s="44">
        <f>IF($A51&lt;=3,VARIABLES!$B$22,IF($A51&lt;=6,VARIABLES!$B$23,VARIABLES!$B$24))*(1+VARIABLES!$B$25)^INT(($A51-1)/12)</f>
        <v>54786.736000000012</v>
      </c>
      <c r="AG51" s="44">
        <f>IF(MOD($A51,12)=0,AD51*VARIABLES!$B$26,0)</f>
        <v>178647.98214438808</v>
      </c>
      <c r="AH51" s="44">
        <f>VARIABLES!$B$27</f>
        <v>5000</v>
      </c>
      <c r="AI51" s="44">
        <f>IF(MOD($A51,12)=0,VARIABLES!$B$28,0)</f>
        <v>3000</v>
      </c>
      <c r="AJ51" s="38">
        <f t="shared" si="14"/>
        <v>241434.71814438808</v>
      </c>
      <c r="AK51" s="39">
        <f>IF(OR($A51&lt;VARIABLES!$B$7,AND($A51&gt;=VARIABLES!$B$8,$A51&lt;VARIABLES!$B$10)),VARIABLES!$B$13,0)</f>
        <v>0</v>
      </c>
      <c r="AL51" s="46">
        <f t="shared" si="15"/>
        <v>-186721.83077241833</v>
      </c>
      <c r="AM51" s="46">
        <f t="shared" si="16"/>
        <v>978028.13226680248</v>
      </c>
      <c r="AN51" s="41">
        <f t="shared" si="17"/>
        <v>0</v>
      </c>
    </row>
    <row r="52" spans="1:40" x14ac:dyDescent="0.2">
      <c r="A52" s="32">
        <v>49</v>
      </c>
      <c r="B52" s="32" t="str">
        <f>TEXT(DATE(VARIABLES!$B$70+INT((VARIABLES!$B$71+$A52-2)/12),MOD(VARIABLES!$B$71+$A52-2,12)+1,1),"mmm-yy")</f>
        <v>Jun-30</v>
      </c>
      <c r="C52" s="33">
        <f>IF($A52&lt;VARIABLES!$B$7,VARIABLES!$B$5/12,IF($A52&lt;VARIABLES!$B$8,VARIABLES!$B$6/12,IF($A52&lt;VARIABLES!$B$10,VARIABLES!$B$9/12,VARIABLES!$B$11/12)))</f>
        <v>4.1666666666666664E-2</v>
      </c>
      <c r="D52" s="34">
        <f>IF($A52&lt;VARIABLES!$B$31,0,IF($A52=VARIABLES!$B$31,VARIABLES!$B$32+VARIABLES!$B$33,VARIABLES!$B$33))</f>
        <v>200000</v>
      </c>
      <c r="E52" s="34">
        <f>D52*VARIABLES!$B$34</f>
        <v>1500</v>
      </c>
      <c r="F52" s="34">
        <f>IF($A52&lt;VARIABLES!$B$31,0,(IF($A52=VARIABLES!$B$31,0,G51)+D52)*C52*VARIABLES!$B$35)</f>
        <v>27220.657423431043</v>
      </c>
      <c r="G52" s="34">
        <f>IF($A52&lt;VARIABLES!$B$31,0,(IF($A52=VARIABLES!$B$31,0,G51)+D52)*(1+C52)-F52)</f>
        <v>27193436.766007613</v>
      </c>
      <c r="H52" s="34">
        <f>IF($A52&lt;VARIABLES!$B$38,0,IF($A52=VARIABLES!$B$38,VARIABLES!$B$39+VARIABLES!$B$40,VARIABLES!$B$40))</f>
        <v>40000</v>
      </c>
      <c r="I52" s="34">
        <f>H52*VARIABLES!$B$41</f>
        <v>300</v>
      </c>
      <c r="J52" s="34">
        <f>IF($A52&lt;VARIABLES!$B$38,0,(IF($A52=VARIABLES!$B$38,0,K51)+H52)*C52*VARIABLES!$B$42)</f>
        <v>17792.38774840322</v>
      </c>
      <c r="K52" s="34">
        <f>IF($A52&lt;VARIABLES!$B$38,0,(IF($A52=VARIABLES!$B$38,0,K51)+H52)*(1+C52)-J52)</f>
        <v>4430304.5493524019</v>
      </c>
      <c r="L52" s="34">
        <f>IF($A52&lt;VARIABLES!$B$45,0,IF($A52=VARIABLES!$B$45,VARIABLES!$B$46+VARIABLES!$B$47,VARIABLES!$B$47))</f>
        <v>0</v>
      </c>
      <c r="M52" s="34">
        <f>L52*VARIABLES!$B$48</f>
        <v>0</v>
      </c>
      <c r="N52" s="34">
        <f>IF($A52&lt;VARIABLES!$B$45,0,(IF($A52=VARIABLES!$B$45,0,O51)+L52)*C52*VARIABLES!$B$49)</f>
        <v>106357.85892571682</v>
      </c>
      <c r="O52" s="34">
        <f>IF($A52&lt;VARIABLES!$B$45,0,(IF($A52=VARIABLES!$B$45,0,O51)+L52)*(1+C52)-N52)</f>
        <v>26483106.872503489</v>
      </c>
      <c r="P52" s="34">
        <f>IF($A52&lt;VARIABLES!$B$52,0,IF($A52=VARIABLES!$B$52,VARIABLES!$B$53+VARIABLES!$B$54,VARIABLES!$B$54))</f>
        <v>20000</v>
      </c>
      <c r="Q52" s="34">
        <f>P52*VARIABLES!$B$55</f>
        <v>150</v>
      </c>
      <c r="R52" s="34">
        <f>IF($A52&lt;VARIABLES!$B$52,0,(IF($A52=VARIABLES!$B$52,0,S51)+P52)*C52*VARIABLES!$B$56)</f>
        <v>2403.6002020264846</v>
      </c>
      <c r="S52" s="34">
        <f>IF($A52&lt;VARIABLES!$B$52,0,(IF($A52=VARIABLES!$B$52,0,S51)+P52)*(1+C52)-R52)</f>
        <v>2401196.6018244582</v>
      </c>
      <c r="T52" s="35">
        <f>IF($A52&lt;VARIABLES!$B$60,0,MIN(VARIABLES!$B$59,INT(($A52-VARIABLES!$B$60)/VARIABLES!$B$61)+1)*VARIABLES!$B$62)</f>
        <v>47</v>
      </c>
      <c r="U52" s="34">
        <f>T52*VARIABLES!$B$64+IF(AND($A52&gt;=VARIABLES!$B$60,MOD($A52-VARIABLES!$B$60,VARIABLES!$B$61)=0,INT(($A52-VARIABLES!$B$60)/VARIABLES!$B$61)&lt;VARIABLES!$B$59),VARIABLES!$B$62*VARIABLES!$B$63,0)</f>
        <v>285000</v>
      </c>
      <c r="V52" s="34">
        <f>U52*VARIABLES!$B$65</f>
        <v>2137.5</v>
      </c>
      <c r="W52" s="34">
        <f>IF($A52&lt;VARIABLES!$B$60,0,(IF($A52&lt;VARIABLES!$B$60+1,0,X51)+U52)*C52*VARIABLES!$B$66)</f>
        <v>57370.193064696672</v>
      </c>
      <c r="X52" s="34">
        <f>IF($A52&lt;VARIABLES!$B$60,0,(IF($A52&lt;VARIABLES!$B$60+1,0,X51)+U52)*(1+C52)-W52)</f>
        <v>14285178.07310947</v>
      </c>
      <c r="Y52" s="34">
        <f t="shared" si="9"/>
        <v>545000</v>
      </c>
      <c r="Z52" s="34">
        <f t="shared" si="10"/>
        <v>4087.5</v>
      </c>
      <c r="AA52" s="34">
        <f t="shared" si="11"/>
        <v>211144.69736427424</v>
      </c>
      <c r="AB52" s="34">
        <f>(IF($A52=1,0,AD51)*VARIABLES!$B$18*VARIABLES!$B$16*VARIABLES!$B$17)+(Y52*VARIABLES!$B$16*VARIABLES!$B$17)</f>
        <v>9204.899107219404</v>
      </c>
      <c r="AC52" s="36">
        <f t="shared" si="12"/>
        <v>224437.09647149366</v>
      </c>
      <c r="AD52" s="37">
        <f t="shared" si="13"/>
        <v>74793222.862797439</v>
      </c>
      <c r="AE52" s="34">
        <f>IF($A52=1,VARIABLES!$B$21,0)</f>
        <v>0</v>
      </c>
      <c r="AF52" s="34">
        <f>IF($A52&lt;=3,VARIABLES!$B$22,IF($A52&lt;=6,VARIABLES!$B$23,VARIABLES!$B$24))*(1+VARIABLES!$B$25)^INT(($A52-1)/12)</f>
        <v>58073.940160000013</v>
      </c>
      <c r="AG52" s="34">
        <f>IF(MOD($A52,12)=0,AD52*VARIABLES!$B$26,0)</f>
        <v>0</v>
      </c>
      <c r="AH52" s="34">
        <f>VARIABLES!$B$27</f>
        <v>5000</v>
      </c>
      <c r="AI52" s="34">
        <f>IF(MOD($A52,12)=0,VARIABLES!$B$28,0)</f>
        <v>0</v>
      </c>
      <c r="AJ52" s="38">
        <f t="shared" si="14"/>
        <v>63073.940160000013</v>
      </c>
      <c r="AK52" s="39">
        <f>IF(OR($A52&lt;VARIABLES!$B$7,AND($A52&gt;=VARIABLES!$B$8,$A52&lt;VARIABLES!$B$10)),VARIABLES!$B$13,0)</f>
        <v>0</v>
      </c>
      <c r="AL52" s="40">
        <f t="shared" si="15"/>
        <v>161363.15631149366</v>
      </c>
      <c r="AM52" s="40">
        <f t="shared" si="16"/>
        <v>1139391.2885782961</v>
      </c>
      <c r="AN52" s="41">
        <f t="shared" si="17"/>
        <v>0</v>
      </c>
    </row>
    <row r="53" spans="1:40" x14ac:dyDescent="0.2">
      <c r="A53" s="42">
        <v>50</v>
      </c>
      <c r="B53" s="42" t="str">
        <f>TEXT(DATE(VARIABLES!$B$70+INT((VARIABLES!$B$71+$A53-2)/12),MOD(VARIABLES!$B$71+$A53-2,12)+1,1),"mmm-yy")</f>
        <v>Jul-30</v>
      </c>
      <c r="C53" s="43">
        <f>IF($A53&lt;VARIABLES!$B$7,VARIABLES!$B$5/12,IF($A53&lt;VARIABLES!$B$8,VARIABLES!$B$6/12,IF($A53&lt;VARIABLES!$B$10,VARIABLES!$B$9/12,VARIABLES!$B$11/12)))</f>
        <v>4.1666666666666664E-2</v>
      </c>
      <c r="D53" s="44">
        <f>IF($A53&lt;VARIABLES!$B$31,0,IF($A53=VARIABLES!$B$31,VARIABLES!$B$32+VARIABLES!$B$33,VARIABLES!$B$33))</f>
        <v>200000</v>
      </c>
      <c r="E53" s="44">
        <f>D53*VARIABLES!$B$34</f>
        <v>1500</v>
      </c>
      <c r="F53" s="44">
        <f>IF($A53&lt;VARIABLES!$B$31,0,(IF($A53=VARIABLES!$B$31,0,G52)+D53)*C53*VARIABLES!$B$35)</f>
        <v>28534.829964591263</v>
      </c>
      <c r="G53" s="44">
        <f>IF($A53&lt;VARIABLES!$B$31,0,(IF($A53=VARIABLES!$B$31,0,G52)+D53)*(1+C53)-F53)</f>
        <v>28506295.134626672</v>
      </c>
      <c r="H53" s="44">
        <f>IF($A53&lt;VARIABLES!$B$38,0,IF($A53=VARIABLES!$B$38,VARIABLES!$B$39+VARIABLES!$B$40,VARIABLES!$B$40))</f>
        <v>40000</v>
      </c>
      <c r="I53" s="44">
        <f>H53*VARIABLES!$B$41</f>
        <v>300</v>
      </c>
      <c r="J53" s="44">
        <f>IF($A53&lt;VARIABLES!$B$38,0,(IF($A53=VARIABLES!$B$38,0,K52)+H53)*C53*VARIABLES!$B$42)</f>
        <v>18626.268955635005</v>
      </c>
      <c r="K53" s="44">
        <f>IF($A53&lt;VARIABLES!$B$38,0,(IF($A53=VARIABLES!$B$38,0,K52)+H53)*(1+C53)-J53)</f>
        <v>4637940.969953117</v>
      </c>
      <c r="L53" s="44">
        <f>IF($A53&lt;VARIABLES!$B$45,0,IF($A53=VARIABLES!$B$45,VARIABLES!$B$46+VARIABLES!$B$47,VARIABLES!$B$47))</f>
        <v>0</v>
      </c>
      <c r="M53" s="44">
        <f>L53*VARIABLES!$B$48</f>
        <v>0</v>
      </c>
      <c r="N53" s="44">
        <f>IF($A53&lt;VARIABLES!$B$45,0,(IF($A53=VARIABLES!$B$45,0,O52)+L53)*C53*VARIABLES!$B$49)</f>
        <v>110346.2786354312</v>
      </c>
      <c r="O53" s="44">
        <f>IF($A53&lt;VARIABLES!$B$45,0,(IF($A53=VARIABLES!$B$45,0,O52)+L53)*(1+C53)-N53)</f>
        <v>27476223.380222373</v>
      </c>
      <c r="P53" s="44">
        <f>IF($A53&lt;VARIABLES!$B$52,0,IF($A53=VARIABLES!$B$52,VARIABLES!$B$53+VARIABLES!$B$54,VARIABLES!$B$54))</f>
        <v>20000</v>
      </c>
      <c r="Q53" s="44">
        <f>P53*VARIABLES!$B$55</f>
        <v>150</v>
      </c>
      <c r="R53" s="44">
        <f>IF($A53&lt;VARIABLES!$B$52,0,(IF($A53=VARIABLES!$B$52,0,S52)+P53)*C53*VARIABLES!$B$56)</f>
        <v>2522.079793567144</v>
      </c>
      <c r="S53" s="44">
        <f>IF($A53&lt;VARIABLES!$B$52,0,(IF($A53=VARIABLES!$B$52,0,S52)+P53)*(1+C53)-R53)</f>
        <v>2519557.713773577</v>
      </c>
      <c r="T53" s="45">
        <f>IF($A53&lt;VARIABLES!$B$60,0,MIN(VARIABLES!$B$59,INT(($A53-VARIABLES!$B$60)/VARIABLES!$B$61)+1)*VARIABLES!$B$62)</f>
        <v>48</v>
      </c>
      <c r="U53" s="44">
        <f>T53*VARIABLES!$B$64+IF(AND($A53&gt;=VARIABLES!$B$60,MOD($A53-VARIABLES!$B$60,VARIABLES!$B$61)=0,INT(($A53-VARIABLES!$B$60)/VARIABLES!$B$61)&lt;VARIABLES!$B$59),VARIABLES!$B$62*VARIABLES!$B$63,0)</f>
        <v>290000</v>
      </c>
      <c r="V53" s="44">
        <f>U53*VARIABLES!$B$65</f>
        <v>2175</v>
      </c>
      <c r="W53" s="44">
        <f>IF($A53&lt;VARIABLES!$B$60,0,(IF($A53&lt;VARIABLES!$B$60+1,0,X52)+U53)*C53*VARIABLES!$B$66)</f>
        <v>60729.908637956127</v>
      </c>
      <c r="X53" s="44">
        <f>IF($A53&lt;VARIABLES!$B$60,0,(IF($A53&lt;VARIABLES!$B$60+1,0,X52)+U53)*(1+C53)-W53)</f>
        <v>15121747.250851076</v>
      </c>
      <c r="Y53" s="44">
        <f t="shared" si="9"/>
        <v>550000</v>
      </c>
      <c r="Z53" s="44">
        <f t="shared" si="10"/>
        <v>4125</v>
      </c>
      <c r="AA53" s="44">
        <f t="shared" si="11"/>
        <v>220759.36598718076</v>
      </c>
      <c r="AB53" s="44">
        <f>(IF($A53=1,0,AD52)*VARIABLES!$B$18*VARIABLES!$B$16*VARIABLES!$B$17)+(Y53*VARIABLES!$B$16*VARIABLES!$B$17)</f>
        <v>9624.15285784968</v>
      </c>
      <c r="AC53" s="36">
        <f t="shared" si="12"/>
        <v>234508.51884503046</v>
      </c>
      <c r="AD53" s="37">
        <f t="shared" si="13"/>
        <v>78261764.449426815</v>
      </c>
      <c r="AE53" s="44">
        <f>IF($A53=1,VARIABLES!$B$21,0)</f>
        <v>0</v>
      </c>
      <c r="AF53" s="44">
        <f>IF($A53&lt;=3,VARIABLES!$B$22,IF($A53&lt;=6,VARIABLES!$B$23,VARIABLES!$B$24))*(1+VARIABLES!$B$25)^INT(($A53-1)/12)</f>
        <v>58073.940160000013</v>
      </c>
      <c r="AG53" s="44">
        <f>IF(MOD($A53,12)=0,AD53*VARIABLES!$B$26,0)</f>
        <v>0</v>
      </c>
      <c r="AH53" s="44">
        <f>VARIABLES!$B$27</f>
        <v>5000</v>
      </c>
      <c r="AI53" s="44">
        <f>IF(MOD($A53,12)=0,VARIABLES!$B$28,0)</f>
        <v>0</v>
      </c>
      <c r="AJ53" s="38">
        <f t="shared" si="14"/>
        <v>63073.940160000013</v>
      </c>
      <c r="AK53" s="39">
        <f>IF(OR($A53&lt;VARIABLES!$B$7,AND($A53&gt;=VARIABLES!$B$8,$A53&lt;VARIABLES!$B$10)),VARIABLES!$B$13,0)</f>
        <v>0</v>
      </c>
      <c r="AL53" s="46">
        <f t="shared" si="15"/>
        <v>171434.57868503046</v>
      </c>
      <c r="AM53" s="46">
        <f t="shared" si="16"/>
        <v>1310825.8672633264</v>
      </c>
      <c r="AN53" s="41">
        <f t="shared" si="17"/>
        <v>0</v>
      </c>
    </row>
    <row r="54" spans="1:40" x14ac:dyDescent="0.2">
      <c r="A54" s="32">
        <v>51</v>
      </c>
      <c r="B54" s="32" t="str">
        <f>TEXT(DATE(VARIABLES!$B$70+INT((VARIABLES!$B$71+$A54-2)/12),MOD(VARIABLES!$B$71+$A54-2,12)+1,1),"mmm-yy")</f>
        <v>Aug-30</v>
      </c>
      <c r="C54" s="33">
        <f>IF($A54&lt;VARIABLES!$B$7,VARIABLES!$B$5/12,IF($A54&lt;VARIABLES!$B$8,VARIABLES!$B$6/12,IF($A54&lt;VARIABLES!$B$10,VARIABLES!$B$9/12,VARIABLES!$B$11/12)))</f>
        <v>4.1666666666666664E-2</v>
      </c>
      <c r="D54" s="34">
        <f>IF($A54&lt;VARIABLES!$B$31,0,IF($A54=VARIABLES!$B$31,VARIABLES!$B$32+VARIABLES!$B$33,VARIABLES!$B$33))</f>
        <v>200000</v>
      </c>
      <c r="E54" s="34">
        <f>D54*VARIABLES!$B$34</f>
        <v>1500</v>
      </c>
      <c r="F54" s="34">
        <f>IF($A54&lt;VARIABLES!$B$31,0,(IF($A54=VARIABLES!$B$31,0,G53)+D54)*C54*VARIABLES!$B$35)</f>
        <v>29902.390765236116</v>
      </c>
      <c r="G54" s="34">
        <f>IF($A54&lt;VARIABLES!$B$31,0,(IF($A54=VARIABLES!$B$31,0,G53)+D54)*(1+C54)-F54)</f>
        <v>29872488.374470882</v>
      </c>
      <c r="H54" s="34">
        <f>IF($A54&lt;VARIABLES!$B$38,0,IF($A54=VARIABLES!$B$38,VARIABLES!$B$39+VARIABLES!$B$40,VARIABLES!$B$40))</f>
        <v>40000</v>
      </c>
      <c r="I54" s="34">
        <f>H54*VARIABLES!$B$41</f>
        <v>300</v>
      </c>
      <c r="J54" s="34">
        <f>IF($A54&lt;VARIABLES!$B$38,0,(IF($A54=VARIABLES!$B$38,0,K53)+H54)*C54*VARIABLES!$B$42)</f>
        <v>19491.420708137986</v>
      </c>
      <c r="K54" s="34">
        <f>IF($A54&lt;VARIABLES!$B$38,0,(IF($A54=VARIABLES!$B$38,0,K53)+H54)*(1+C54)-J54)</f>
        <v>4853363.7563263597</v>
      </c>
      <c r="L54" s="34">
        <f>IF($A54&lt;VARIABLES!$B$45,0,IF($A54=VARIABLES!$B$45,VARIABLES!$B$46+VARIABLES!$B$47,VARIABLES!$B$47))</f>
        <v>0</v>
      </c>
      <c r="M54" s="34">
        <f>L54*VARIABLES!$B$48</f>
        <v>0</v>
      </c>
      <c r="N54" s="34">
        <f>IF($A54&lt;VARIABLES!$B$45,0,(IF($A54=VARIABLES!$B$45,0,O53)+L54)*C54*VARIABLES!$B$49)</f>
        <v>114484.26408425989</v>
      </c>
      <c r="O54" s="34">
        <f>IF($A54&lt;VARIABLES!$B$45,0,(IF($A54=VARIABLES!$B$45,0,O53)+L54)*(1+C54)-N54)</f>
        <v>28506581.756980713</v>
      </c>
      <c r="P54" s="34">
        <f>IF($A54&lt;VARIABLES!$B$52,0,IF($A54=VARIABLES!$B$52,VARIABLES!$B$53+VARIABLES!$B$54,VARIABLES!$B$54))</f>
        <v>20000</v>
      </c>
      <c r="Q54" s="34">
        <f>P54*VARIABLES!$B$55</f>
        <v>150</v>
      </c>
      <c r="R54" s="34">
        <f>IF($A54&lt;VARIABLES!$B$52,0,(IF($A54=VARIABLES!$B$52,0,S53)+P54)*C54*VARIABLES!$B$56)</f>
        <v>2645.3726185141427</v>
      </c>
      <c r="S54" s="34">
        <f>IF($A54&lt;VARIABLES!$B$52,0,(IF($A54=VARIABLES!$B$52,0,S53)+P54)*(1+C54)-R54)</f>
        <v>2642727.2458956288</v>
      </c>
      <c r="T54" s="35">
        <f>IF($A54&lt;VARIABLES!$B$60,0,MIN(VARIABLES!$B$59,INT(($A54-VARIABLES!$B$60)/VARIABLES!$B$61)+1)*VARIABLES!$B$62)</f>
        <v>49</v>
      </c>
      <c r="U54" s="34">
        <f>T54*VARIABLES!$B$64+IF(AND($A54&gt;=VARIABLES!$B$60,MOD($A54-VARIABLES!$B$60,VARIABLES!$B$61)=0,INT(($A54-VARIABLES!$B$60)/VARIABLES!$B$61)&lt;VARIABLES!$B$59),VARIABLES!$B$62*VARIABLES!$B$63,0)</f>
        <v>295000</v>
      </c>
      <c r="V54" s="34">
        <f>U54*VARIABLES!$B$65</f>
        <v>2212.5</v>
      </c>
      <c r="W54" s="34">
        <f>IF($A54&lt;VARIABLES!$B$60,0,(IF($A54&lt;VARIABLES!$B$60+1,0,X53)+U54)*C54*VARIABLES!$B$66)</f>
        <v>64236.44687854615</v>
      </c>
      <c r="X54" s="34">
        <f>IF($A54&lt;VARIABLES!$B$60,0,(IF($A54&lt;VARIABLES!$B$60+1,0,X53)+U54)*(1+C54)-W54)</f>
        <v>15994875.272757992</v>
      </c>
      <c r="Y54" s="34">
        <f t="shared" si="9"/>
        <v>555000</v>
      </c>
      <c r="Z54" s="34">
        <f t="shared" si="10"/>
        <v>4162.5</v>
      </c>
      <c r="AA54" s="34">
        <f t="shared" si="11"/>
        <v>230759.89505469429</v>
      </c>
      <c r="AB54" s="34">
        <f>(IF($A54=1,0,AD53)*VARIABLES!$B$18*VARIABLES!$B$16*VARIABLES!$B$17)+(Y54*VARIABLES!$B$16*VARIABLES!$B$17)</f>
        <v>10060.220556178352</v>
      </c>
      <c r="AC54" s="36">
        <f t="shared" si="12"/>
        <v>244982.61561087266</v>
      </c>
      <c r="AD54" s="37">
        <f t="shared" si="13"/>
        <v>81870036.406431586</v>
      </c>
      <c r="AE54" s="34">
        <f>IF($A54=1,VARIABLES!$B$21,0)</f>
        <v>0</v>
      </c>
      <c r="AF54" s="34">
        <f>IF($A54&lt;=3,VARIABLES!$B$22,IF($A54&lt;=6,VARIABLES!$B$23,VARIABLES!$B$24))*(1+VARIABLES!$B$25)^INT(($A54-1)/12)</f>
        <v>58073.940160000013</v>
      </c>
      <c r="AG54" s="34">
        <f>IF(MOD($A54,12)=0,AD54*VARIABLES!$B$26,0)</f>
        <v>0</v>
      </c>
      <c r="AH54" s="34">
        <f>VARIABLES!$B$27</f>
        <v>5000</v>
      </c>
      <c r="AI54" s="34">
        <f>IF(MOD($A54,12)=0,VARIABLES!$B$28,0)</f>
        <v>0</v>
      </c>
      <c r="AJ54" s="38">
        <f t="shared" si="14"/>
        <v>63073.940160000013</v>
      </c>
      <c r="AK54" s="39">
        <f>IF(OR($A54&lt;VARIABLES!$B$7,AND($A54&gt;=VARIABLES!$B$8,$A54&lt;VARIABLES!$B$10)),VARIABLES!$B$13,0)</f>
        <v>0</v>
      </c>
      <c r="AL54" s="40">
        <f t="shared" si="15"/>
        <v>181908.67545087263</v>
      </c>
      <c r="AM54" s="40">
        <f t="shared" si="16"/>
        <v>1492734.5427141991</v>
      </c>
      <c r="AN54" s="41">
        <f t="shared" si="17"/>
        <v>0</v>
      </c>
    </row>
    <row r="55" spans="1:40" x14ac:dyDescent="0.2">
      <c r="A55" s="42">
        <v>52</v>
      </c>
      <c r="B55" s="42" t="str">
        <f>TEXT(DATE(VARIABLES!$B$70+INT((VARIABLES!$B$71+$A55-2)/12),MOD(VARIABLES!$B$71+$A55-2,12)+1,1),"mmm-yy")</f>
        <v>Sept-30</v>
      </c>
      <c r="C55" s="43">
        <f>IF($A55&lt;VARIABLES!$B$7,VARIABLES!$B$5/12,IF($A55&lt;VARIABLES!$B$8,VARIABLES!$B$6/12,IF($A55&lt;VARIABLES!$B$10,VARIABLES!$B$9/12,VARIABLES!$B$11/12)))</f>
        <v>4.1666666666666664E-2</v>
      </c>
      <c r="D55" s="44">
        <f>IF($A55&lt;VARIABLES!$B$31,0,IF($A55=VARIABLES!$B$31,VARIABLES!$B$32+VARIABLES!$B$33,VARIABLES!$B$33))</f>
        <v>200000</v>
      </c>
      <c r="E55" s="44">
        <f>D55*VARIABLES!$B$34</f>
        <v>1500</v>
      </c>
      <c r="F55" s="44">
        <f>IF($A55&lt;VARIABLES!$B$31,0,(IF($A55=VARIABLES!$B$31,0,G54)+D55)*C55*VARIABLES!$B$35)</f>
        <v>31325.508723407169</v>
      </c>
      <c r="G55" s="44">
        <f>IF($A55&lt;VARIABLES!$B$31,0,(IF($A55=VARIABLES!$B$31,0,G54)+D55)*(1+C55)-F55)</f>
        <v>31294183.214683764</v>
      </c>
      <c r="H55" s="44">
        <f>IF($A55&lt;VARIABLES!$B$38,0,IF($A55=VARIABLES!$B$38,VARIABLES!$B$39+VARIABLES!$B$40,VARIABLES!$B$40))</f>
        <v>40000</v>
      </c>
      <c r="I55" s="44">
        <f>H55*VARIABLES!$B$41</f>
        <v>300</v>
      </c>
      <c r="J55" s="44">
        <f>IF($A55&lt;VARIABLES!$B$38,0,(IF($A55=VARIABLES!$B$38,0,K54)+H55)*C55*VARIABLES!$B$42)</f>
        <v>20389.015651359834</v>
      </c>
      <c r="K55" s="44">
        <f>IF($A55&lt;VARIABLES!$B$38,0,(IF($A55=VARIABLES!$B$38,0,K54)+H55)*(1+C55)-J55)</f>
        <v>5076864.8971885983</v>
      </c>
      <c r="L55" s="44">
        <f>IF($A55&lt;VARIABLES!$B$45,0,IF($A55=VARIABLES!$B$45,VARIABLES!$B$46+VARIABLES!$B$47,VARIABLES!$B$47))</f>
        <v>0</v>
      </c>
      <c r="M55" s="44">
        <f>L55*VARIABLES!$B$48</f>
        <v>0</v>
      </c>
      <c r="N55" s="44">
        <f>IF($A55&lt;VARIABLES!$B$45,0,(IF($A55=VARIABLES!$B$45,0,O54)+L55)*C55*VARIABLES!$B$49)</f>
        <v>118777.42398741964</v>
      </c>
      <c r="O55" s="44">
        <f>IF($A55&lt;VARIABLES!$B$45,0,(IF($A55=VARIABLES!$B$45,0,O54)+L55)*(1+C55)-N55)</f>
        <v>29575578.572867494</v>
      </c>
      <c r="P55" s="44">
        <f>IF($A55&lt;VARIABLES!$B$52,0,IF($A55=VARIABLES!$B$52,VARIABLES!$B$53+VARIABLES!$B$54,VARIABLES!$B$54))</f>
        <v>20000</v>
      </c>
      <c r="Q55" s="44">
        <f>P55*VARIABLES!$B$55</f>
        <v>150</v>
      </c>
      <c r="R55" s="44">
        <f>IF($A55&lt;VARIABLES!$B$52,0,(IF($A55=VARIABLES!$B$52,0,S54)+P55)*C55*VARIABLES!$B$56)</f>
        <v>2773.6742144746131</v>
      </c>
      <c r="S55" s="44">
        <f>IF($A55&lt;VARIABLES!$B$52,0,(IF($A55=VARIABLES!$B$52,0,S54)+P55)*(1+C55)-R55)</f>
        <v>2770900.5402601394</v>
      </c>
      <c r="T55" s="45">
        <f>IF($A55&lt;VARIABLES!$B$60,0,MIN(VARIABLES!$B$59,INT(($A55-VARIABLES!$B$60)/VARIABLES!$B$61)+1)*VARIABLES!$B$62)</f>
        <v>50</v>
      </c>
      <c r="U55" s="44">
        <f>T55*VARIABLES!$B$64+IF(AND($A55&gt;=VARIABLES!$B$60,MOD($A55-VARIABLES!$B$60,VARIABLES!$B$61)=0,INT(($A55-VARIABLES!$B$60)/VARIABLES!$B$61)&lt;VARIABLES!$B$59),VARIABLES!$B$62*VARIABLES!$B$63,0)</f>
        <v>300000</v>
      </c>
      <c r="V55" s="44">
        <f>U55*VARIABLES!$B$65</f>
        <v>2250</v>
      </c>
      <c r="W55" s="44">
        <f>IF($A55&lt;VARIABLES!$B$60,0,(IF($A55&lt;VARIABLES!$B$60+1,0,X54)+U55)*C55*VARIABLES!$B$66)</f>
        <v>67895.313636491643</v>
      </c>
      <c r="X55" s="44">
        <f>IF($A55&lt;VARIABLES!$B$60,0,(IF($A55&lt;VARIABLES!$B$60+1,0,X54)+U55)*(1+C55)-W55)</f>
        <v>16905933.095486417</v>
      </c>
      <c r="Y55" s="44">
        <f t="shared" si="9"/>
        <v>560000</v>
      </c>
      <c r="Z55" s="44">
        <f t="shared" si="10"/>
        <v>4200</v>
      </c>
      <c r="AA55" s="44">
        <f t="shared" si="11"/>
        <v>241160.93621315289</v>
      </c>
      <c r="AB55" s="44">
        <f>(IF($A55=1,0,AD54)*VARIABLES!$B$18*VARIABLES!$B$16*VARIABLES!$B$17)+(Y55*VARIABLES!$B$16*VARIABLES!$B$17)</f>
        <v>10513.754550803949</v>
      </c>
      <c r="AC55" s="36">
        <f t="shared" si="12"/>
        <v>255874.69076395684</v>
      </c>
      <c r="AD55" s="37">
        <f t="shared" si="13"/>
        <v>85623460.320486411</v>
      </c>
      <c r="AE55" s="44">
        <f>IF($A55=1,VARIABLES!$B$21,0)</f>
        <v>0</v>
      </c>
      <c r="AF55" s="44">
        <f>IF($A55&lt;=3,VARIABLES!$B$22,IF($A55&lt;=6,VARIABLES!$B$23,VARIABLES!$B$24))*(1+VARIABLES!$B$25)^INT(($A55-1)/12)</f>
        <v>58073.940160000013</v>
      </c>
      <c r="AG55" s="44">
        <f>IF(MOD($A55,12)=0,AD55*VARIABLES!$B$26,0)</f>
        <v>0</v>
      </c>
      <c r="AH55" s="44">
        <f>VARIABLES!$B$27</f>
        <v>5000</v>
      </c>
      <c r="AI55" s="44">
        <f>IF(MOD($A55,12)=0,VARIABLES!$B$28,0)</f>
        <v>0</v>
      </c>
      <c r="AJ55" s="38">
        <f t="shared" si="14"/>
        <v>63073.940160000013</v>
      </c>
      <c r="AK55" s="39">
        <f>IF(OR($A55&lt;VARIABLES!$B$7,AND($A55&gt;=VARIABLES!$B$8,$A55&lt;VARIABLES!$B$10)),VARIABLES!$B$13,0)</f>
        <v>0</v>
      </c>
      <c r="AL55" s="46">
        <f t="shared" si="15"/>
        <v>192800.75060395681</v>
      </c>
      <c r="AM55" s="46">
        <f t="shared" si="16"/>
        <v>1685535.2933181559</v>
      </c>
      <c r="AN55" s="41">
        <f t="shared" si="17"/>
        <v>0</v>
      </c>
    </row>
    <row r="56" spans="1:40" x14ac:dyDescent="0.2">
      <c r="A56" s="32">
        <v>53</v>
      </c>
      <c r="B56" s="32" t="str">
        <f>TEXT(DATE(VARIABLES!$B$70+INT((VARIABLES!$B$71+$A56-2)/12),MOD(VARIABLES!$B$71+$A56-2,12)+1,1),"mmm-yy")</f>
        <v>Oct-30</v>
      </c>
      <c r="C56" s="33">
        <f>IF($A56&lt;VARIABLES!$B$7,VARIABLES!$B$5/12,IF($A56&lt;VARIABLES!$B$8,VARIABLES!$B$6/12,IF($A56&lt;VARIABLES!$B$10,VARIABLES!$B$9/12,VARIABLES!$B$11/12)))</f>
        <v>4.1666666666666664E-2</v>
      </c>
      <c r="D56" s="34">
        <f>IF($A56&lt;VARIABLES!$B$31,0,IF($A56=VARIABLES!$B$31,VARIABLES!$B$32+VARIABLES!$B$33,VARIABLES!$B$33))</f>
        <v>200000</v>
      </c>
      <c r="E56" s="34">
        <f>D56*VARIABLES!$B$34</f>
        <v>1500</v>
      </c>
      <c r="F56" s="34">
        <f>IF($A56&lt;VARIABLES!$B$31,0,(IF($A56=VARIABLES!$B$31,0,G55)+D56)*C56*VARIABLES!$B$35)</f>
        <v>32806.440848628925</v>
      </c>
      <c r="G56" s="34">
        <f>IF($A56&lt;VARIABLES!$B$31,0,(IF($A56=VARIABLES!$B$31,0,G55)+D56)*(1+C56)-F56)</f>
        <v>32773634.407780293</v>
      </c>
      <c r="H56" s="34">
        <f>IF($A56&lt;VARIABLES!$B$38,0,IF($A56=VARIABLES!$B$38,VARIABLES!$B$39+VARIABLES!$B$40,VARIABLES!$B$40))</f>
        <v>40000</v>
      </c>
      <c r="I56" s="34">
        <f>H56*VARIABLES!$B$41</f>
        <v>300</v>
      </c>
      <c r="J56" s="34">
        <f>IF($A56&lt;VARIABLES!$B$38,0,(IF($A56=VARIABLES!$B$38,0,K55)+H56)*C56*VARIABLES!$B$42)</f>
        <v>21320.270404952491</v>
      </c>
      <c r="K56" s="34">
        <f>IF($A56&lt;VARIABLES!$B$38,0,(IF($A56=VARIABLES!$B$38,0,K55)+H56)*(1+C56)-J56)</f>
        <v>5308747.3308331706</v>
      </c>
      <c r="L56" s="34">
        <f>IF($A56&lt;VARIABLES!$B$45,0,IF($A56=VARIABLES!$B$45,VARIABLES!$B$46+VARIABLES!$B$47,VARIABLES!$B$47))</f>
        <v>0</v>
      </c>
      <c r="M56" s="34">
        <f>L56*VARIABLES!$B$48</f>
        <v>0</v>
      </c>
      <c r="N56" s="34">
        <f>IF($A56&lt;VARIABLES!$B$45,0,(IF($A56=VARIABLES!$B$45,0,O55)+L56)*C56*VARIABLES!$B$49)</f>
        <v>123231.57738694789</v>
      </c>
      <c r="O56" s="34">
        <f>IF($A56&lt;VARIABLES!$B$45,0,(IF($A56=VARIABLES!$B$45,0,O55)+L56)*(1+C56)-N56)</f>
        <v>30684662.769350026</v>
      </c>
      <c r="P56" s="34">
        <f>IF($A56&lt;VARIABLES!$B$52,0,IF($A56=VARIABLES!$B$52,VARIABLES!$B$53+VARIABLES!$B$54,VARIABLES!$B$54))</f>
        <v>20000</v>
      </c>
      <c r="Q56" s="34">
        <f>P56*VARIABLES!$B$55</f>
        <v>150</v>
      </c>
      <c r="R56" s="34">
        <f>IF($A56&lt;VARIABLES!$B$52,0,(IF($A56=VARIABLES!$B$52,0,S55)+P56)*C56*VARIABLES!$B$56)</f>
        <v>2907.1880627709784</v>
      </c>
      <c r="S56" s="34">
        <f>IF($A56&lt;VARIABLES!$B$52,0,(IF($A56=VARIABLES!$B$52,0,S55)+P56)*(1+C56)-R56)</f>
        <v>2904280.8747082078</v>
      </c>
      <c r="T56" s="35">
        <f>IF($A56&lt;VARIABLES!$B$60,0,MIN(VARIABLES!$B$59,INT(($A56-VARIABLES!$B$60)/VARIABLES!$B$61)+1)*VARIABLES!$B$62)</f>
        <v>51</v>
      </c>
      <c r="U56" s="34">
        <f>T56*VARIABLES!$B$64+IF(AND($A56&gt;=VARIABLES!$B$60,MOD($A56-VARIABLES!$B$60,VARIABLES!$B$61)=0,INT(($A56-VARIABLES!$B$60)/VARIABLES!$B$61)&lt;VARIABLES!$B$59),VARIABLES!$B$62*VARIABLES!$B$63,0)</f>
        <v>305000</v>
      </c>
      <c r="V56" s="34">
        <f>U56*VARIABLES!$B$65</f>
        <v>2287.5</v>
      </c>
      <c r="W56" s="34">
        <f>IF($A56&lt;VARIABLES!$B$60,0,(IF($A56&lt;VARIABLES!$B$60+1,0,X55)+U56)*C56*VARIABLES!$B$66)</f>
        <v>71712.221231193398</v>
      </c>
      <c r="X56" s="34">
        <f>IF($A56&lt;VARIABLES!$B$60,0,(IF($A56&lt;VARIABLES!$B$60+1,0,X55)+U56)*(1+C56)-W56)</f>
        <v>17856343.08656716</v>
      </c>
      <c r="Y56" s="34">
        <f t="shared" si="9"/>
        <v>565000</v>
      </c>
      <c r="Z56" s="34">
        <f t="shared" si="10"/>
        <v>4237.5</v>
      </c>
      <c r="AA56" s="34">
        <f t="shared" si="11"/>
        <v>251977.69793449368</v>
      </c>
      <c r="AB56" s="34">
        <f>(IF($A56=1,0,AD55)*VARIABLES!$B$18*VARIABLES!$B$16*VARIABLES!$B$17)+(Y56*VARIABLES!$B$16*VARIABLES!$B$17)</f>
        <v>10985.432540060801</v>
      </c>
      <c r="AC56" s="36">
        <f t="shared" si="12"/>
        <v>267200.63047455449</v>
      </c>
      <c r="AD56" s="37">
        <f t="shared" si="13"/>
        <v>89527668.469238862</v>
      </c>
      <c r="AE56" s="34">
        <f>IF($A56=1,VARIABLES!$B$21,0)</f>
        <v>0</v>
      </c>
      <c r="AF56" s="34">
        <f>IF($A56&lt;=3,VARIABLES!$B$22,IF($A56&lt;=6,VARIABLES!$B$23,VARIABLES!$B$24))*(1+VARIABLES!$B$25)^INT(($A56-1)/12)</f>
        <v>58073.940160000013</v>
      </c>
      <c r="AG56" s="34">
        <f>IF(MOD($A56,12)=0,AD56*VARIABLES!$B$26,0)</f>
        <v>0</v>
      </c>
      <c r="AH56" s="34">
        <f>VARIABLES!$B$27</f>
        <v>5000</v>
      </c>
      <c r="AI56" s="34">
        <f>IF(MOD($A56,12)=0,VARIABLES!$B$28,0)</f>
        <v>0</v>
      </c>
      <c r="AJ56" s="38">
        <f t="shared" si="14"/>
        <v>63073.940160000013</v>
      </c>
      <c r="AK56" s="39">
        <f>IF(OR($A56&lt;VARIABLES!$B$7,AND($A56&gt;=VARIABLES!$B$8,$A56&lt;VARIABLES!$B$10)),VARIABLES!$B$13,0)</f>
        <v>0</v>
      </c>
      <c r="AL56" s="40">
        <f t="shared" si="15"/>
        <v>204126.69031455449</v>
      </c>
      <c r="AM56" s="40">
        <f t="shared" si="16"/>
        <v>1889661.9836327103</v>
      </c>
      <c r="AN56" s="41">
        <f t="shared" si="17"/>
        <v>0</v>
      </c>
    </row>
    <row r="57" spans="1:40" x14ac:dyDescent="0.2">
      <c r="A57" s="42">
        <v>54</v>
      </c>
      <c r="B57" s="42" t="str">
        <f>TEXT(DATE(VARIABLES!$B$70+INT((VARIABLES!$B$71+$A57-2)/12),MOD(VARIABLES!$B$71+$A57-2,12)+1,1),"mmm-yy")</f>
        <v>Nov-30</v>
      </c>
      <c r="C57" s="43">
        <f>IF($A57&lt;VARIABLES!$B$7,VARIABLES!$B$5/12,IF($A57&lt;VARIABLES!$B$8,VARIABLES!$B$6/12,IF($A57&lt;VARIABLES!$B$10,VARIABLES!$B$9/12,VARIABLES!$B$11/12)))</f>
        <v>4.1666666666666664E-2</v>
      </c>
      <c r="D57" s="44">
        <f>IF($A57&lt;VARIABLES!$B$31,0,IF($A57=VARIABLES!$B$31,VARIABLES!$B$32+VARIABLES!$B$33,VARIABLES!$B$33))</f>
        <v>200000</v>
      </c>
      <c r="E57" s="44">
        <f>D57*VARIABLES!$B$34</f>
        <v>1500</v>
      </c>
      <c r="F57" s="44">
        <f>IF($A57&lt;VARIABLES!$B$31,0,(IF($A57=VARIABLES!$B$31,0,G56)+D57)*C57*VARIABLES!$B$35)</f>
        <v>34347.535841437806</v>
      </c>
      <c r="G57" s="44">
        <f>IF($A57&lt;VARIABLES!$B$31,0,(IF($A57=VARIABLES!$B$31,0,G56)+D57)*(1+C57)-F57)</f>
        <v>34313188.305596374</v>
      </c>
      <c r="H57" s="44">
        <f>IF($A57&lt;VARIABLES!$B$38,0,IF($A57=VARIABLES!$B$38,VARIABLES!$B$39+VARIABLES!$B$40,VARIABLES!$B$40))</f>
        <v>40000</v>
      </c>
      <c r="I57" s="44">
        <f>H57*VARIABLES!$B$41</f>
        <v>300</v>
      </c>
      <c r="J57" s="44">
        <f>IF($A57&lt;VARIABLES!$B$38,0,(IF($A57=VARIABLES!$B$38,0,K56)+H57)*C57*VARIABLES!$B$42)</f>
        <v>22286.447211804876</v>
      </c>
      <c r="K57" s="44">
        <f>IF($A57&lt;VARIABLES!$B$38,0,(IF($A57=VARIABLES!$B$38,0,K56)+H57)*(1+C57)-J57)</f>
        <v>5549325.3557394147</v>
      </c>
      <c r="L57" s="44">
        <f>IF($A57&lt;VARIABLES!$B$45,0,IF($A57=VARIABLES!$B$45,VARIABLES!$B$46+VARIABLES!$B$47,VARIABLES!$B$47))</f>
        <v>0</v>
      </c>
      <c r="M57" s="44">
        <f>L57*VARIABLES!$B$48</f>
        <v>0</v>
      </c>
      <c r="N57" s="44">
        <f>IF($A57&lt;VARIABLES!$B$45,0,(IF($A57=VARIABLES!$B$45,0,O56)+L57)*C57*VARIABLES!$B$49)</f>
        <v>127852.76153895844</v>
      </c>
      <c r="O57" s="44">
        <f>IF($A57&lt;VARIABLES!$B$45,0,(IF($A57=VARIABLES!$B$45,0,O56)+L57)*(1+C57)-N57)</f>
        <v>31835337.623200651</v>
      </c>
      <c r="P57" s="44">
        <f>IF($A57&lt;VARIABLES!$B$52,0,IF($A57=VARIABLES!$B$52,VARIABLES!$B$53+VARIABLES!$B$54,VARIABLES!$B$54))</f>
        <v>20000</v>
      </c>
      <c r="Q57" s="44">
        <f>P57*VARIABLES!$B$55</f>
        <v>150</v>
      </c>
      <c r="R57" s="44">
        <f>IF($A57&lt;VARIABLES!$B$52,0,(IF($A57=VARIABLES!$B$52,0,S56)+P57)*C57*VARIABLES!$B$56)</f>
        <v>3046.1259111543832</v>
      </c>
      <c r="S57" s="44">
        <f>IF($A57&lt;VARIABLES!$B$52,0,(IF($A57=VARIABLES!$B$52,0,S56)+P57)*(1+C57)-R57)</f>
        <v>3043079.785243229</v>
      </c>
      <c r="T57" s="45">
        <f>IF($A57&lt;VARIABLES!$B$60,0,MIN(VARIABLES!$B$59,INT(($A57-VARIABLES!$B$60)/VARIABLES!$B$61)+1)*VARIABLES!$B$62)</f>
        <v>52</v>
      </c>
      <c r="U57" s="44">
        <f>T57*VARIABLES!$B$64+IF(AND($A57&gt;=VARIABLES!$B$60,MOD($A57-VARIABLES!$B$60,VARIABLES!$B$61)=0,INT(($A57-VARIABLES!$B$60)/VARIABLES!$B$61)&lt;VARIABLES!$B$59),VARIABLES!$B$62*VARIABLES!$B$63,0)</f>
        <v>310000</v>
      </c>
      <c r="V57" s="44">
        <f>U57*VARIABLES!$B$65</f>
        <v>2325</v>
      </c>
      <c r="W57" s="44">
        <f>IF($A57&lt;VARIABLES!$B$60,0,(IF($A57&lt;VARIABLES!$B$60+1,0,X56)+U57)*C57*VARIABLES!$B$66)</f>
        <v>75693.096194029829</v>
      </c>
      <c r="X57" s="44">
        <f>IF($A57&lt;VARIABLES!$B$60,0,(IF($A57&lt;VARIABLES!$B$60+1,0,X56)+U57)*(1+C57)-W57)</f>
        <v>18847580.952313431</v>
      </c>
      <c r="Y57" s="44">
        <f t="shared" si="9"/>
        <v>570000</v>
      </c>
      <c r="Z57" s="44">
        <f t="shared" si="10"/>
        <v>4275</v>
      </c>
      <c r="AA57" s="44">
        <f t="shared" si="11"/>
        <v>263225.96669738536</v>
      </c>
      <c r="AB57" s="44">
        <f>(IF($A57=1,0,AD56)*VARIABLES!$B$18*VARIABLES!$B$16*VARIABLES!$B$17)+(Y57*VARIABLES!$B$16*VARIABLES!$B$17)</f>
        <v>11475.958558654858</v>
      </c>
      <c r="AC57" s="36">
        <f t="shared" si="12"/>
        <v>278976.92525604024</v>
      </c>
      <c r="AD57" s="37">
        <f t="shared" si="13"/>
        <v>93588512.022093087</v>
      </c>
      <c r="AE57" s="44">
        <f>IF($A57=1,VARIABLES!$B$21,0)</f>
        <v>0</v>
      </c>
      <c r="AF57" s="44">
        <f>IF($A57&lt;=3,VARIABLES!$B$22,IF($A57&lt;=6,VARIABLES!$B$23,VARIABLES!$B$24))*(1+VARIABLES!$B$25)^INT(($A57-1)/12)</f>
        <v>58073.940160000013</v>
      </c>
      <c r="AG57" s="44">
        <f>IF(MOD($A57,12)=0,AD57*VARIABLES!$B$26,0)</f>
        <v>0</v>
      </c>
      <c r="AH57" s="44">
        <f>VARIABLES!$B$27</f>
        <v>5000</v>
      </c>
      <c r="AI57" s="44">
        <f>IF(MOD($A57,12)=0,VARIABLES!$B$28,0)</f>
        <v>0</v>
      </c>
      <c r="AJ57" s="38">
        <f t="shared" si="14"/>
        <v>63073.940160000013</v>
      </c>
      <c r="AK57" s="39">
        <f>IF(OR($A57&lt;VARIABLES!$B$7,AND($A57&gt;=VARIABLES!$B$8,$A57&lt;VARIABLES!$B$10)),VARIABLES!$B$13,0)</f>
        <v>0</v>
      </c>
      <c r="AL57" s="46">
        <f t="shared" si="15"/>
        <v>215902.98509604024</v>
      </c>
      <c r="AM57" s="46">
        <f t="shared" si="16"/>
        <v>2105564.9687287505</v>
      </c>
      <c r="AN57" s="41">
        <f t="shared" si="17"/>
        <v>0</v>
      </c>
    </row>
    <row r="58" spans="1:40" x14ac:dyDescent="0.2">
      <c r="A58" s="32">
        <v>55</v>
      </c>
      <c r="B58" s="32" t="str">
        <f>TEXT(DATE(VARIABLES!$B$70+INT((VARIABLES!$B$71+$A58-2)/12),MOD(VARIABLES!$B$71+$A58-2,12)+1,1),"mmm-yy")</f>
        <v>Dec-30</v>
      </c>
      <c r="C58" s="33">
        <f>IF($A58&lt;VARIABLES!$B$7,VARIABLES!$B$5/12,IF($A58&lt;VARIABLES!$B$8,VARIABLES!$B$6/12,IF($A58&lt;VARIABLES!$B$10,VARIABLES!$B$9/12,VARIABLES!$B$11/12)))</f>
        <v>4.1666666666666664E-2</v>
      </c>
      <c r="D58" s="34">
        <f>IF($A58&lt;VARIABLES!$B$31,0,IF($A58=VARIABLES!$B$31,VARIABLES!$B$32+VARIABLES!$B$33,VARIABLES!$B$33))</f>
        <v>200000</v>
      </c>
      <c r="E58" s="34">
        <f>D58*VARIABLES!$B$34</f>
        <v>1500</v>
      </c>
      <c r="F58" s="34">
        <f>IF($A58&lt;VARIABLES!$B$31,0,(IF($A58=VARIABLES!$B$31,0,G57)+D58)*C58*VARIABLES!$B$35)</f>
        <v>35951.237818329559</v>
      </c>
      <c r="G58" s="34">
        <f>IF($A58&lt;VARIABLES!$B$31,0,(IF($A58=VARIABLES!$B$31,0,G57)+D58)*(1+C58)-F58)</f>
        <v>35915286.580511227</v>
      </c>
      <c r="H58" s="34">
        <f>IF($A58&lt;VARIABLES!$B$38,0,IF($A58=VARIABLES!$B$38,VARIABLES!$B$39+VARIABLES!$B$40,VARIABLES!$B$40))</f>
        <v>40000</v>
      </c>
      <c r="I58" s="34">
        <f>H58*VARIABLES!$B$41</f>
        <v>300</v>
      </c>
      <c r="J58" s="34">
        <f>IF($A58&lt;VARIABLES!$B$38,0,(IF($A58=VARIABLES!$B$38,0,K57)+H58)*C58*VARIABLES!$B$42)</f>
        <v>23288.855648914228</v>
      </c>
      <c r="K58" s="34">
        <f>IF($A58&lt;VARIABLES!$B$38,0,(IF($A58=VARIABLES!$B$38,0,K57)+H58)*(1+C58)-J58)</f>
        <v>5798925.0565796429</v>
      </c>
      <c r="L58" s="34">
        <f>IF($A58&lt;VARIABLES!$B$45,0,IF($A58=VARIABLES!$B$45,VARIABLES!$B$46+VARIABLES!$B$47,VARIABLES!$B$47))</f>
        <v>0</v>
      </c>
      <c r="M58" s="34">
        <f>L58*VARIABLES!$B$48</f>
        <v>0</v>
      </c>
      <c r="N58" s="34">
        <f>IF($A58&lt;VARIABLES!$B$45,0,(IF($A58=VARIABLES!$B$45,0,O57)+L58)*C58*VARIABLES!$B$49)</f>
        <v>132647.24009666938</v>
      </c>
      <c r="O58" s="34">
        <f>IF($A58&lt;VARIABLES!$B$45,0,(IF($A58=VARIABLES!$B$45,0,O57)+L58)*(1+C58)-N58)</f>
        <v>33029162.784070678</v>
      </c>
      <c r="P58" s="34">
        <f>IF($A58&lt;VARIABLES!$B$52,0,IF($A58=VARIABLES!$B$52,VARIABLES!$B$53+VARIABLES!$B$54,VARIABLES!$B$54))</f>
        <v>20000</v>
      </c>
      <c r="Q58" s="34">
        <f>P58*VARIABLES!$B$55</f>
        <v>150</v>
      </c>
      <c r="R58" s="34">
        <f>IF($A58&lt;VARIABLES!$B$52,0,(IF($A58=VARIABLES!$B$52,0,S57)+P58)*C58*VARIABLES!$B$56)</f>
        <v>3190.7081096283637</v>
      </c>
      <c r="S58" s="34">
        <f>IF($A58&lt;VARIABLES!$B$52,0,(IF($A58=VARIABLES!$B$52,0,S57)+P58)*(1+C58)-R58)</f>
        <v>3187517.4015187356</v>
      </c>
      <c r="T58" s="35">
        <f>IF($A58&lt;VARIABLES!$B$60,0,MIN(VARIABLES!$B$59,INT(($A58-VARIABLES!$B$60)/VARIABLES!$B$61)+1)*VARIABLES!$B$62)</f>
        <v>53</v>
      </c>
      <c r="U58" s="34">
        <f>T58*VARIABLES!$B$64+IF(AND($A58&gt;=VARIABLES!$B$60,MOD($A58-VARIABLES!$B$60,VARIABLES!$B$61)=0,INT(($A58-VARIABLES!$B$60)/VARIABLES!$B$61)&lt;VARIABLES!$B$59),VARIABLES!$B$62*VARIABLES!$B$63,0)</f>
        <v>315000</v>
      </c>
      <c r="V58" s="34">
        <f>U58*VARIABLES!$B$65</f>
        <v>2362.5</v>
      </c>
      <c r="W58" s="34">
        <f>IF($A58&lt;VARIABLES!$B$60,0,(IF($A58&lt;VARIABLES!$B$60+1,0,X57)+U58)*C58*VARIABLES!$B$66)</f>
        <v>79844.087301305961</v>
      </c>
      <c r="X58" s="34">
        <f>IF($A58&lt;VARIABLES!$B$60,0,(IF($A58&lt;VARIABLES!$B$60+1,0,X57)+U58)*(1+C58)-W58)</f>
        <v>19881177.738025185</v>
      </c>
      <c r="Y58" s="34">
        <f t="shared" si="9"/>
        <v>575000</v>
      </c>
      <c r="Z58" s="34">
        <f t="shared" si="10"/>
        <v>4312.5</v>
      </c>
      <c r="AA58" s="34">
        <f t="shared" si="11"/>
        <v>274922.1289748475</v>
      </c>
      <c r="AB58" s="34">
        <f>(IF($A58=1,0,AD57)*VARIABLES!$B$18*VARIABLES!$B$16*VARIABLES!$B$17)+(Y58*VARIABLES!$B$16*VARIABLES!$B$17)</f>
        <v>11986.064002761635</v>
      </c>
      <c r="AC58" s="36">
        <f t="shared" si="12"/>
        <v>291220.69297760911</v>
      </c>
      <c r="AD58" s="37">
        <f t="shared" si="13"/>
        <v>97812069.560705468</v>
      </c>
      <c r="AE58" s="34">
        <f>IF($A58=1,VARIABLES!$B$21,0)</f>
        <v>0</v>
      </c>
      <c r="AF58" s="34">
        <f>IF($A58&lt;=3,VARIABLES!$B$22,IF($A58&lt;=6,VARIABLES!$B$23,VARIABLES!$B$24))*(1+VARIABLES!$B$25)^INT(($A58-1)/12)</f>
        <v>58073.940160000013</v>
      </c>
      <c r="AG58" s="34">
        <f>IF(MOD($A58,12)=0,AD58*VARIABLES!$B$26,0)</f>
        <v>0</v>
      </c>
      <c r="AH58" s="34">
        <f>VARIABLES!$B$27</f>
        <v>5000</v>
      </c>
      <c r="AI58" s="34">
        <f>IF(MOD($A58,12)=0,VARIABLES!$B$28,0)</f>
        <v>0</v>
      </c>
      <c r="AJ58" s="38">
        <f t="shared" si="14"/>
        <v>63073.940160000013</v>
      </c>
      <c r="AK58" s="39">
        <f>IF(OR($A58&lt;VARIABLES!$B$7,AND($A58&gt;=VARIABLES!$B$8,$A58&lt;VARIABLES!$B$10)),VARIABLES!$B$13,0)</f>
        <v>0</v>
      </c>
      <c r="AL58" s="40">
        <f t="shared" si="15"/>
        <v>228146.75281760911</v>
      </c>
      <c r="AM58" s="40">
        <f t="shared" si="16"/>
        <v>2333711.7215463594</v>
      </c>
      <c r="AN58" s="41">
        <f t="shared" si="17"/>
        <v>0</v>
      </c>
    </row>
    <row r="59" spans="1:40" x14ac:dyDescent="0.2">
      <c r="A59" s="42">
        <v>56</v>
      </c>
      <c r="B59" s="42" t="str">
        <f>TEXT(DATE(VARIABLES!$B$70+INT((VARIABLES!$B$71+$A59-2)/12),MOD(VARIABLES!$B$71+$A59-2,12)+1,1),"mmm-yy")</f>
        <v>Jan-31</v>
      </c>
      <c r="C59" s="43">
        <f>IF($A59&lt;VARIABLES!$B$7,VARIABLES!$B$5/12,IF($A59&lt;VARIABLES!$B$8,VARIABLES!$B$6/12,IF($A59&lt;VARIABLES!$B$10,VARIABLES!$B$9/12,VARIABLES!$B$11/12)))</f>
        <v>4.1666666666666664E-2</v>
      </c>
      <c r="D59" s="44">
        <f>IF($A59&lt;VARIABLES!$B$31,0,IF($A59=VARIABLES!$B$31,VARIABLES!$B$32+VARIABLES!$B$33,VARIABLES!$B$33))</f>
        <v>200000</v>
      </c>
      <c r="E59" s="44">
        <f>D59*VARIABLES!$B$34</f>
        <v>1500</v>
      </c>
      <c r="F59" s="44">
        <f>IF($A59&lt;VARIABLES!$B$31,0,(IF($A59=VARIABLES!$B$31,0,G58)+D59)*C59*VARIABLES!$B$35)</f>
        <v>37620.090188032533</v>
      </c>
      <c r="G59" s="44">
        <f>IF($A59&lt;VARIABLES!$B$31,0,(IF($A59=VARIABLES!$B$31,0,G58)+D59)*(1+C59)-F59)</f>
        <v>37582470.097844496</v>
      </c>
      <c r="H59" s="44">
        <f>IF($A59&lt;VARIABLES!$B$38,0,IF($A59=VARIABLES!$B$38,VARIABLES!$B$39+VARIABLES!$B$40,VARIABLES!$B$40))</f>
        <v>40000</v>
      </c>
      <c r="I59" s="44">
        <f>H59*VARIABLES!$B$41</f>
        <v>300</v>
      </c>
      <c r="J59" s="44">
        <f>IF($A59&lt;VARIABLES!$B$38,0,(IF($A59=VARIABLES!$B$38,0,K58)+H59)*C59*VARIABLES!$B$42)</f>
        <v>24328.854402415178</v>
      </c>
      <c r="K59" s="44">
        <f>IF($A59&lt;VARIABLES!$B$38,0,(IF($A59=VARIABLES!$B$38,0,K58)+H59)*(1+C59)-J59)</f>
        <v>6057884.7462013802</v>
      </c>
      <c r="L59" s="44">
        <f>IF($A59&lt;VARIABLES!$B$45,0,IF($A59=VARIABLES!$B$45,VARIABLES!$B$46+VARIABLES!$B$47,VARIABLES!$B$47))</f>
        <v>0</v>
      </c>
      <c r="M59" s="44">
        <f>L59*VARIABLES!$B$48</f>
        <v>0</v>
      </c>
      <c r="N59" s="44">
        <f>IF($A59&lt;VARIABLES!$B$45,0,(IF($A59=VARIABLES!$B$45,0,O58)+L59)*C59*VARIABLES!$B$49)</f>
        <v>137621.51160029447</v>
      </c>
      <c r="O59" s="44">
        <f>IF($A59&lt;VARIABLES!$B$45,0,(IF($A59=VARIABLES!$B$45,0,O58)+L59)*(1+C59)-N59)</f>
        <v>34267756.388473332</v>
      </c>
      <c r="P59" s="44">
        <f>IF($A59&lt;VARIABLES!$B$52,0,IF($A59=VARIABLES!$B$52,VARIABLES!$B$53+VARIABLES!$B$54,VARIABLES!$B$54))</f>
        <v>20000</v>
      </c>
      <c r="Q59" s="44">
        <f>P59*VARIABLES!$B$55</f>
        <v>150</v>
      </c>
      <c r="R59" s="44">
        <f>IF($A59&lt;VARIABLES!$B$52,0,(IF($A59=VARIABLES!$B$52,0,S58)+P59)*C59*VARIABLES!$B$56)</f>
        <v>3341.1639599153496</v>
      </c>
      <c r="S59" s="44">
        <f>IF($A59&lt;VARIABLES!$B$52,0,(IF($A59=VARIABLES!$B$52,0,S58)+P59)*(1+C59)-R59)</f>
        <v>3337822.7959554344</v>
      </c>
      <c r="T59" s="45">
        <f>IF($A59&lt;VARIABLES!$B$60,0,MIN(VARIABLES!$B$59,INT(($A59-VARIABLES!$B$60)/VARIABLES!$B$61)+1)*VARIABLES!$B$62)</f>
        <v>54</v>
      </c>
      <c r="U59" s="44">
        <f>T59*VARIABLES!$B$64+IF(AND($A59&gt;=VARIABLES!$B$60,MOD($A59-VARIABLES!$B$60,VARIABLES!$B$61)=0,INT(($A59-VARIABLES!$B$60)/VARIABLES!$B$61)&lt;VARIABLES!$B$59),VARIABLES!$B$62*VARIABLES!$B$63,0)</f>
        <v>320000</v>
      </c>
      <c r="V59" s="44">
        <f>U59*VARIABLES!$B$65</f>
        <v>2400</v>
      </c>
      <c r="W59" s="44">
        <f>IF($A59&lt;VARIABLES!$B$60,0,(IF($A59&lt;VARIABLES!$B$60+1,0,X58)+U59)*C59*VARIABLES!$B$66)</f>
        <v>84171.573908438266</v>
      </c>
      <c r="X59" s="44">
        <f>IF($A59&lt;VARIABLES!$B$60,0,(IF($A59&lt;VARIABLES!$B$60+1,0,X58)+U59)*(1+C59)-W59)</f>
        <v>20958721.903201133</v>
      </c>
      <c r="Y59" s="44">
        <f t="shared" si="9"/>
        <v>580000</v>
      </c>
      <c r="Z59" s="44">
        <f t="shared" si="10"/>
        <v>4350</v>
      </c>
      <c r="AA59" s="44">
        <f t="shared" si="11"/>
        <v>287083.19405909581</v>
      </c>
      <c r="AB59" s="44">
        <f>(IF($A59=1,0,AD58)*VARIABLES!$B$18*VARIABLES!$B$16*VARIABLES!$B$17)+(Y59*VARIABLES!$B$16*VARIABLES!$B$17)</f>
        <v>12516.508695088183</v>
      </c>
      <c r="AC59" s="36">
        <f t="shared" si="12"/>
        <v>303949.70275418402</v>
      </c>
      <c r="AD59" s="37">
        <f t="shared" si="13"/>
        <v>102204655.93167578</v>
      </c>
      <c r="AE59" s="44">
        <f>IF($A59=1,VARIABLES!$B$21,0)</f>
        <v>0</v>
      </c>
      <c r="AF59" s="44">
        <f>IF($A59&lt;=3,VARIABLES!$B$22,IF($A59&lt;=6,VARIABLES!$B$23,VARIABLES!$B$24))*(1+VARIABLES!$B$25)^INT(($A59-1)/12)</f>
        <v>58073.940160000013</v>
      </c>
      <c r="AG59" s="44">
        <f>IF(MOD($A59,12)=0,AD59*VARIABLES!$B$26,0)</f>
        <v>0</v>
      </c>
      <c r="AH59" s="44">
        <f>VARIABLES!$B$27</f>
        <v>5000</v>
      </c>
      <c r="AI59" s="44">
        <f>IF(MOD($A59,12)=0,VARIABLES!$B$28,0)</f>
        <v>0</v>
      </c>
      <c r="AJ59" s="38">
        <f t="shared" si="14"/>
        <v>63073.940160000013</v>
      </c>
      <c r="AK59" s="39">
        <f>IF(OR($A59&lt;VARIABLES!$B$7,AND($A59&gt;=VARIABLES!$B$8,$A59&lt;VARIABLES!$B$10)),VARIABLES!$B$13,0)</f>
        <v>0</v>
      </c>
      <c r="AL59" s="46">
        <f t="shared" si="15"/>
        <v>240875.76259418402</v>
      </c>
      <c r="AM59" s="46">
        <f t="shared" si="16"/>
        <v>2574587.4841405433</v>
      </c>
      <c r="AN59" s="41">
        <f t="shared" si="17"/>
        <v>0</v>
      </c>
    </row>
    <row r="60" spans="1:40" x14ac:dyDescent="0.2">
      <c r="A60" s="32">
        <v>57</v>
      </c>
      <c r="B60" s="32" t="str">
        <f>TEXT(DATE(VARIABLES!$B$70+INT((VARIABLES!$B$71+$A60-2)/12),MOD(VARIABLES!$B$71+$A60-2,12)+1,1),"mmm-yy")</f>
        <v>Feb-31</v>
      </c>
      <c r="C60" s="33">
        <f>IF($A60&lt;VARIABLES!$B$7,VARIABLES!$B$5/12,IF($A60&lt;VARIABLES!$B$8,VARIABLES!$B$6/12,IF($A60&lt;VARIABLES!$B$10,VARIABLES!$B$9/12,VARIABLES!$B$11/12)))</f>
        <v>4.1666666666666664E-2</v>
      </c>
      <c r="D60" s="34">
        <f>IF($A60&lt;VARIABLES!$B$31,0,IF($A60=VARIABLES!$B$31,VARIABLES!$B$32+VARIABLES!$B$33,VARIABLES!$B$33))</f>
        <v>200000</v>
      </c>
      <c r="E60" s="34">
        <f>D60*VARIABLES!$B$34</f>
        <v>1500</v>
      </c>
      <c r="F60" s="34">
        <f>IF($A60&lt;VARIABLES!$B$31,0,(IF($A60=VARIABLES!$B$31,0,G59)+D60)*C60*VARIABLES!$B$35)</f>
        <v>39356.739685254688</v>
      </c>
      <c r="G60" s="34">
        <f>IF($A60&lt;VARIABLES!$B$31,0,(IF($A60=VARIABLES!$B$31,0,G59)+D60)*(1+C60)-F60)</f>
        <v>39317382.945569433</v>
      </c>
      <c r="H60" s="34">
        <f>IF($A60&lt;VARIABLES!$B$38,0,IF($A60=VARIABLES!$B$38,VARIABLES!$B$39+VARIABLES!$B$40,VARIABLES!$B$40))</f>
        <v>40000</v>
      </c>
      <c r="I60" s="34">
        <f>H60*VARIABLES!$B$41</f>
        <v>300</v>
      </c>
      <c r="J60" s="34">
        <f>IF($A60&lt;VARIABLES!$B$38,0,(IF($A60=VARIABLES!$B$38,0,K59)+H60)*C60*VARIABLES!$B$42)</f>
        <v>25407.853109172418</v>
      </c>
      <c r="K60" s="34">
        <f>IF($A60&lt;VARIABLES!$B$38,0,(IF($A60=VARIABLES!$B$38,0,K59)+H60)*(1+C60)-J60)</f>
        <v>6326555.4241839321</v>
      </c>
      <c r="L60" s="34">
        <f>IF($A60&lt;VARIABLES!$B$45,0,IF($A60=VARIABLES!$B$45,VARIABLES!$B$46+VARIABLES!$B$47,VARIABLES!$B$47))</f>
        <v>0</v>
      </c>
      <c r="M60" s="34">
        <f>L60*VARIABLES!$B$48</f>
        <v>0</v>
      </c>
      <c r="N60" s="34">
        <f>IF($A60&lt;VARIABLES!$B$45,0,(IF($A60=VARIABLES!$B$45,0,O59)+L60)*C60*VARIABLES!$B$49)</f>
        <v>142782.31828530555</v>
      </c>
      <c r="O60" s="34">
        <f>IF($A60&lt;VARIABLES!$B$45,0,(IF($A60=VARIABLES!$B$45,0,O59)+L60)*(1+C60)-N60)</f>
        <v>35552797.253041081</v>
      </c>
      <c r="P60" s="34">
        <f>IF($A60&lt;VARIABLES!$B$52,0,IF($A60=VARIABLES!$B$52,VARIABLES!$B$53+VARIABLES!$B$54,VARIABLES!$B$54))</f>
        <v>20000</v>
      </c>
      <c r="Q60" s="34">
        <f>P60*VARIABLES!$B$55</f>
        <v>150</v>
      </c>
      <c r="R60" s="34">
        <f>IF($A60&lt;VARIABLES!$B$52,0,(IF($A60=VARIABLES!$B$52,0,S59)+P60)*C60*VARIABLES!$B$56)</f>
        <v>3497.7320791202437</v>
      </c>
      <c r="S60" s="34">
        <f>IF($A60&lt;VARIABLES!$B$52,0,(IF($A60=VARIABLES!$B$52,0,S59)+P60)*(1+C60)-R60)</f>
        <v>3494234.347041124</v>
      </c>
      <c r="T60" s="35">
        <f>IF($A60&lt;VARIABLES!$B$60,0,MIN(VARIABLES!$B$59,INT(($A60-VARIABLES!$B$60)/VARIABLES!$B$61)+1)*VARIABLES!$B$62)</f>
        <v>55</v>
      </c>
      <c r="U60" s="34">
        <f>T60*VARIABLES!$B$64+IF(AND($A60&gt;=VARIABLES!$B$60,MOD($A60-VARIABLES!$B$60,VARIABLES!$B$61)=0,INT(($A60-VARIABLES!$B$60)/VARIABLES!$B$61)&lt;VARIABLES!$B$59),VARIABLES!$B$62*VARIABLES!$B$63,0)</f>
        <v>325000</v>
      </c>
      <c r="V60" s="34">
        <f>U60*VARIABLES!$B$65</f>
        <v>2437.5</v>
      </c>
      <c r="W60" s="34">
        <f>IF($A60&lt;VARIABLES!$B$60,0,(IF($A60&lt;VARIABLES!$B$60+1,0,X59)+U60)*C60*VARIABLES!$B$66)</f>
        <v>88682.174596671393</v>
      </c>
      <c r="X60" s="34">
        <f>IF($A60&lt;VARIABLES!$B$60,0,(IF($A60&lt;VARIABLES!$B$60+1,0,X59)+U60)*(1+C60)-W60)</f>
        <v>22081861.474571176</v>
      </c>
      <c r="Y60" s="34">
        <f t="shared" si="9"/>
        <v>585000</v>
      </c>
      <c r="Z60" s="34">
        <f t="shared" si="10"/>
        <v>4387.5</v>
      </c>
      <c r="AA60" s="34">
        <f t="shared" si="11"/>
        <v>299726.8177555243</v>
      </c>
      <c r="AB60" s="34">
        <f>(IF($A60=1,0,AD59)*VARIABLES!$B$18*VARIABLES!$B$16*VARIABLES!$B$17)+(Y60*VARIABLES!$B$16*VARIABLES!$B$17)</f>
        <v>13068.081991459472</v>
      </c>
      <c r="AC60" s="36">
        <f t="shared" si="12"/>
        <v>317182.39974698378</v>
      </c>
      <c r="AD60" s="37">
        <f t="shared" si="13"/>
        <v>106772831.44440675</v>
      </c>
      <c r="AE60" s="34">
        <f>IF($A60=1,VARIABLES!$B$21,0)</f>
        <v>0</v>
      </c>
      <c r="AF60" s="34">
        <f>IF($A60&lt;=3,VARIABLES!$B$22,IF($A60&lt;=6,VARIABLES!$B$23,VARIABLES!$B$24))*(1+VARIABLES!$B$25)^INT(($A60-1)/12)</f>
        <v>58073.940160000013</v>
      </c>
      <c r="AG60" s="34">
        <f>IF(MOD($A60,12)=0,AD60*VARIABLES!$B$26,0)</f>
        <v>0</v>
      </c>
      <c r="AH60" s="34">
        <f>VARIABLES!$B$27</f>
        <v>5000</v>
      </c>
      <c r="AI60" s="34">
        <f>IF(MOD($A60,12)=0,VARIABLES!$B$28,0)</f>
        <v>0</v>
      </c>
      <c r="AJ60" s="38">
        <f t="shared" si="14"/>
        <v>63073.940160000013</v>
      </c>
      <c r="AK60" s="39">
        <f>IF(OR($A60&lt;VARIABLES!$B$7,AND($A60&gt;=VARIABLES!$B$8,$A60&lt;VARIABLES!$B$10)),VARIABLES!$B$13,0)</f>
        <v>0</v>
      </c>
      <c r="AL60" s="40">
        <f t="shared" si="15"/>
        <v>254108.45958698378</v>
      </c>
      <c r="AM60" s="40">
        <f t="shared" si="16"/>
        <v>2828695.9437275268</v>
      </c>
      <c r="AN60" s="41">
        <f t="shared" si="17"/>
        <v>0</v>
      </c>
    </row>
    <row r="61" spans="1:40" x14ac:dyDescent="0.2">
      <c r="A61" s="42">
        <v>58</v>
      </c>
      <c r="B61" s="42" t="str">
        <f>TEXT(DATE(VARIABLES!$B$70+INT((VARIABLES!$B$71+$A61-2)/12),MOD(VARIABLES!$B$71+$A61-2,12)+1,1),"mmm-yy")</f>
        <v>Mar-31</v>
      </c>
      <c r="C61" s="43">
        <f>IF($A61&lt;VARIABLES!$B$7,VARIABLES!$B$5/12,IF($A61&lt;VARIABLES!$B$8,VARIABLES!$B$6/12,IF($A61&lt;VARIABLES!$B$10,VARIABLES!$B$9/12,VARIABLES!$B$11/12)))</f>
        <v>4.1666666666666664E-2</v>
      </c>
      <c r="D61" s="44">
        <f>IF($A61&lt;VARIABLES!$B$31,0,IF($A61=VARIABLES!$B$31,VARIABLES!$B$32+VARIABLES!$B$33,VARIABLES!$B$33))</f>
        <v>200000</v>
      </c>
      <c r="E61" s="44">
        <f>D61*VARIABLES!$B$34</f>
        <v>1500</v>
      </c>
      <c r="F61" s="44">
        <f>IF($A61&lt;VARIABLES!$B$31,0,(IF($A61=VARIABLES!$B$31,0,G60)+D61)*C61*VARIABLES!$B$35)</f>
        <v>41163.940568301492</v>
      </c>
      <c r="G61" s="44">
        <f>IF($A61&lt;VARIABLES!$B$31,0,(IF($A61=VARIABLES!$B$31,0,G60)+D61)*(1+C61)-F61)</f>
        <v>41122776.627733201</v>
      </c>
      <c r="H61" s="44">
        <f>IF($A61&lt;VARIABLES!$B$38,0,IF($A61=VARIABLES!$B$38,VARIABLES!$B$39+VARIABLES!$B$40,VARIABLES!$B$40))</f>
        <v>40000</v>
      </c>
      <c r="I61" s="44">
        <f>H61*VARIABLES!$B$41</f>
        <v>300</v>
      </c>
      <c r="J61" s="44">
        <f>IF($A61&lt;VARIABLES!$B$38,0,(IF($A61=VARIABLES!$B$38,0,K60)+H61)*C61*VARIABLES!$B$42)</f>
        <v>26527.314267433052</v>
      </c>
      <c r="K61" s="44">
        <f>IF($A61&lt;VARIABLES!$B$38,0,(IF($A61=VARIABLES!$B$38,0,K60)+H61)*(1+C61)-J61)</f>
        <v>6605301.2525908295</v>
      </c>
      <c r="L61" s="44">
        <f>IF($A61&lt;VARIABLES!$B$45,0,IF($A61=VARIABLES!$B$45,VARIABLES!$B$46+VARIABLES!$B$47,VARIABLES!$B$47))</f>
        <v>0</v>
      </c>
      <c r="M61" s="44">
        <f>L61*VARIABLES!$B$48</f>
        <v>0</v>
      </c>
      <c r="N61" s="44">
        <f>IF($A61&lt;VARIABLES!$B$45,0,(IF($A61=VARIABLES!$B$45,0,O60)+L61)*C61*VARIABLES!$B$49)</f>
        <v>148136.6552210045</v>
      </c>
      <c r="O61" s="44">
        <f>IF($A61&lt;VARIABLES!$B$45,0,(IF($A61=VARIABLES!$B$45,0,O60)+L61)*(1+C61)-N61)</f>
        <v>36886027.150030121</v>
      </c>
      <c r="P61" s="44">
        <f>IF($A61&lt;VARIABLES!$B$52,0,IF($A61=VARIABLES!$B$52,VARIABLES!$B$53+VARIABLES!$B$54,VARIABLES!$B$54))</f>
        <v>20000</v>
      </c>
      <c r="Q61" s="44">
        <f>P61*VARIABLES!$B$55</f>
        <v>150</v>
      </c>
      <c r="R61" s="44">
        <f>IF($A61&lt;VARIABLES!$B$52,0,(IF($A61=VARIABLES!$B$52,0,S60)+P61)*C61*VARIABLES!$B$56)</f>
        <v>3660.6607781678376</v>
      </c>
      <c r="S61" s="44">
        <f>IF($A61&lt;VARIABLES!$B$52,0,(IF($A61=VARIABLES!$B$52,0,S60)+P61)*(1+C61)-R61)</f>
        <v>3657000.1173896701</v>
      </c>
      <c r="T61" s="45">
        <f>IF($A61&lt;VARIABLES!$B$60,0,MIN(VARIABLES!$B$59,INT(($A61-VARIABLES!$B$60)/VARIABLES!$B$61)+1)*VARIABLES!$B$62)</f>
        <v>56</v>
      </c>
      <c r="U61" s="44">
        <f>T61*VARIABLES!$B$64+IF(AND($A61&gt;=VARIABLES!$B$60,MOD($A61-VARIABLES!$B$60,VARIABLES!$B$61)=0,INT(($A61-VARIABLES!$B$60)/VARIABLES!$B$61)&lt;VARIABLES!$B$59),VARIABLES!$B$62*VARIABLES!$B$63,0)</f>
        <v>330000</v>
      </c>
      <c r="V61" s="44">
        <f>U61*VARIABLES!$B$65</f>
        <v>2475</v>
      </c>
      <c r="W61" s="44">
        <f>IF($A61&lt;VARIABLES!$B$60,0,(IF($A61&lt;VARIABLES!$B$60+1,0,X60)+U61)*C61*VARIABLES!$B$66)</f>
        <v>93382.756144046565</v>
      </c>
      <c r="X61" s="44">
        <f>IF($A61&lt;VARIABLES!$B$60,0,(IF($A61&lt;VARIABLES!$B$60+1,0,X60)+U61)*(1+C61)-W61)</f>
        <v>23252306.279867597</v>
      </c>
      <c r="Y61" s="44">
        <f t="shared" si="9"/>
        <v>590000</v>
      </c>
      <c r="Z61" s="44">
        <f t="shared" si="10"/>
        <v>4425</v>
      </c>
      <c r="AA61" s="44">
        <f t="shared" si="11"/>
        <v>312871.32697895344</v>
      </c>
      <c r="AB61" s="44">
        <f>(IF($A61=1,0,AD60)*VARIABLES!$B$18*VARIABLES!$B$16*VARIABLES!$B$17)+(Y61*VARIABLES!$B$16*VARIABLES!$B$17)</f>
        <v>13641.603930550844</v>
      </c>
      <c r="AC61" s="36">
        <f t="shared" si="12"/>
        <v>330937.9309095043</v>
      </c>
      <c r="AD61" s="37">
        <f t="shared" si="13"/>
        <v>111523411.42761141</v>
      </c>
      <c r="AE61" s="44">
        <f>IF($A61=1,VARIABLES!$B$21,0)</f>
        <v>0</v>
      </c>
      <c r="AF61" s="44">
        <f>IF($A61&lt;=3,VARIABLES!$B$22,IF($A61&lt;=6,VARIABLES!$B$23,VARIABLES!$B$24))*(1+VARIABLES!$B$25)^INT(($A61-1)/12)</f>
        <v>58073.940160000013</v>
      </c>
      <c r="AG61" s="44">
        <f>IF(MOD($A61,12)=0,AD61*VARIABLES!$B$26,0)</f>
        <v>0</v>
      </c>
      <c r="AH61" s="44">
        <f>VARIABLES!$B$27</f>
        <v>5000</v>
      </c>
      <c r="AI61" s="44">
        <f>IF(MOD($A61,12)=0,VARIABLES!$B$28,0)</f>
        <v>0</v>
      </c>
      <c r="AJ61" s="38">
        <f t="shared" si="14"/>
        <v>63073.940160000013</v>
      </c>
      <c r="AK61" s="39">
        <f>IF(OR($A61&lt;VARIABLES!$B$7,AND($A61&gt;=VARIABLES!$B$8,$A61&lt;VARIABLES!$B$10)),VARIABLES!$B$13,0)</f>
        <v>0</v>
      </c>
      <c r="AL61" s="46">
        <f t="shared" si="15"/>
        <v>267863.9907495043</v>
      </c>
      <c r="AM61" s="46">
        <f t="shared" si="16"/>
        <v>3096559.9344770312</v>
      </c>
      <c r="AN61" s="41">
        <f t="shared" si="17"/>
        <v>0</v>
      </c>
    </row>
    <row r="62" spans="1:40" x14ac:dyDescent="0.2">
      <c r="A62" s="32">
        <v>59</v>
      </c>
      <c r="B62" s="32" t="str">
        <f>TEXT(DATE(VARIABLES!$B$70+INT((VARIABLES!$B$71+$A62-2)/12),MOD(VARIABLES!$B$71+$A62-2,12)+1,1),"mmm-yy")</f>
        <v>Apr-31</v>
      </c>
      <c r="C62" s="33">
        <f>IF($A62&lt;VARIABLES!$B$7,VARIABLES!$B$5/12,IF($A62&lt;VARIABLES!$B$8,VARIABLES!$B$6/12,IF($A62&lt;VARIABLES!$B$10,VARIABLES!$B$9/12,VARIABLES!$B$11/12)))</f>
        <v>4.1666666666666664E-2</v>
      </c>
      <c r="D62" s="34">
        <f>IF($A62&lt;VARIABLES!$B$31,0,IF($A62=VARIABLES!$B$31,VARIABLES!$B$32+VARIABLES!$B$33,VARIABLES!$B$33))</f>
        <v>200000</v>
      </c>
      <c r="E62" s="34">
        <f>D62*VARIABLES!$B$34</f>
        <v>1500</v>
      </c>
      <c r="F62" s="34">
        <f>IF($A62&lt;VARIABLES!$B$31,0,(IF($A62=VARIABLES!$B$31,0,G61)+D62)*C62*VARIABLES!$B$35)</f>
        <v>43044.558987222088</v>
      </c>
      <c r="G62" s="34">
        <f>IF($A62&lt;VARIABLES!$B$31,0,(IF($A62=VARIABLES!$B$31,0,G61)+D62)*(1+C62)-F62)</f>
        <v>43001514.428234868</v>
      </c>
      <c r="H62" s="34">
        <f>IF($A62&lt;VARIABLES!$B$38,0,IF($A62=VARIABLES!$B$38,VARIABLES!$B$39+VARIABLES!$B$40,VARIABLES!$B$40))</f>
        <v>40000</v>
      </c>
      <c r="I62" s="34">
        <f>H62*VARIABLES!$B$41</f>
        <v>300</v>
      </c>
      <c r="J62" s="34">
        <f>IF($A62&lt;VARIABLES!$B$38,0,(IF($A62=VARIABLES!$B$38,0,K61)+H62)*C62*VARIABLES!$B$42)</f>
        <v>27688.755219128456</v>
      </c>
      <c r="K62" s="34">
        <f>IF($A62&lt;VARIABLES!$B$38,0,(IF($A62=VARIABLES!$B$38,0,K61)+H62)*(1+C62)-J62)</f>
        <v>6894500.049562986</v>
      </c>
      <c r="L62" s="34">
        <f>IF($A62&lt;VARIABLES!$B$45,0,IF($A62=VARIABLES!$B$45,VARIABLES!$B$46+VARIABLES!$B$47,VARIABLES!$B$47))</f>
        <v>0</v>
      </c>
      <c r="M62" s="34">
        <f>L62*VARIABLES!$B$48</f>
        <v>0</v>
      </c>
      <c r="N62" s="34">
        <f>IF($A62&lt;VARIABLES!$B$45,0,(IF($A62=VARIABLES!$B$45,0,O61)+L62)*C62*VARIABLES!$B$49)</f>
        <v>153691.77979179216</v>
      </c>
      <c r="O62" s="34">
        <f>IF($A62&lt;VARIABLES!$B$45,0,(IF($A62=VARIABLES!$B$45,0,O61)+L62)*(1+C62)-N62)</f>
        <v>38269253.168156251</v>
      </c>
      <c r="P62" s="34">
        <f>IF($A62&lt;VARIABLES!$B$52,0,IF($A62=VARIABLES!$B$52,VARIABLES!$B$53+VARIABLES!$B$54,VARIABLES!$B$54))</f>
        <v>20000</v>
      </c>
      <c r="Q62" s="34">
        <f>P62*VARIABLES!$B$55</f>
        <v>150</v>
      </c>
      <c r="R62" s="34">
        <f>IF($A62&lt;VARIABLES!$B$52,0,(IF($A62=VARIABLES!$B$52,0,S61)+P62)*C62*VARIABLES!$B$56)</f>
        <v>3830.2084556142395</v>
      </c>
      <c r="S62" s="34">
        <f>IF($A62&lt;VARIABLES!$B$52,0,(IF($A62=VARIABLES!$B$52,0,S61)+P62)*(1+C62)-R62)</f>
        <v>3826378.2471586256</v>
      </c>
      <c r="T62" s="35">
        <f>IF($A62&lt;VARIABLES!$B$60,0,MIN(VARIABLES!$B$59,INT(($A62-VARIABLES!$B$60)/VARIABLES!$B$61)+1)*VARIABLES!$B$62)</f>
        <v>57</v>
      </c>
      <c r="U62" s="34">
        <f>T62*VARIABLES!$B$64+IF(AND($A62&gt;=VARIABLES!$B$60,MOD($A62-VARIABLES!$B$60,VARIABLES!$B$61)=0,INT(($A62-VARIABLES!$B$60)/VARIABLES!$B$61)&lt;VARIABLES!$B$59),VARIABLES!$B$62*VARIABLES!$B$63,0)</f>
        <v>335000</v>
      </c>
      <c r="V62" s="34">
        <f>U62*VARIABLES!$B$65</f>
        <v>2512.5</v>
      </c>
      <c r="W62" s="34">
        <f>IF($A62&lt;VARIABLES!$B$60,0,(IF($A62&lt;VARIABLES!$B$60+1,0,X61)+U62)*C62*VARIABLES!$B$66)</f>
        <v>98280.442832781657</v>
      </c>
      <c r="X62" s="34">
        <f>IF($A62&lt;VARIABLES!$B$60,0,(IF($A62&lt;VARIABLES!$B$60+1,0,X61)+U62)*(1+C62)-W62)</f>
        <v>24471830.265362632</v>
      </c>
      <c r="Y62" s="34">
        <f t="shared" si="9"/>
        <v>595000</v>
      </c>
      <c r="Z62" s="34">
        <f t="shared" si="10"/>
        <v>4462.5</v>
      </c>
      <c r="AA62" s="34">
        <f t="shared" si="11"/>
        <v>326535.74528653861</v>
      </c>
      <c r="AB62" s="34">
        <f>(IF($A62=1,0,AD61)*VARIABLES!$B$18*VARIABLES!$B$16*VARIABLES!$B$17)+(Y62*VARIABLES!$B$16*VARIABLES!$B$17)</f>
        <v>14237.926428451427</v>
      </c>
      <c r="AC62" s="36">
        <f t="shared" si="12"/>
        <v>345236.17171499005</v>
      </c>
      <c r="AD62" s="37">
        <f t="shared" si="13"/>
        <v>116463476.15847537</v>
      </c>
      <c r="AE62" s="34">
        <f>IF($A62=1,VARIABLES!$B$21,0)</f>
        <v>0</v>
      </c>
      <c r="AF62" s="34">
        <f>IF($A62&lt;=3,VARIABLES!$B$22,IF($A62&lt;=6,VARIABLES!$B$23,VARIABLES!$B$24))*(1+VARIABLES!$B$25)^INT(($A62-1)/12)</f>
        <v>58073.940160000013</v>
      </c>
      <c r="AG62" s="34">
        <f>IF(MOD($A62,12)=0,AD62*VARIABLES!$B$26,0)</f>
        <v>0</v>
      </c>
      <c r="AH62" s="34">
        <f>VARIABLES!$B$27</f>
        <v>5000</v>
      </c>
      <c r="AI62" s="34">
        <f>IF(MOD($A62,12)=0,VARIABLES!$B$28,0)</f>
        <v>0</v>
      </c>
      <c r="AJ62" s="38">
        <f t="shared" si="14"/>
        <v>63073.940160000013</v>
      </c>
      <c r="AK62" s="39">
        <f>IF(OR($A62&lt;VARIABLES!$B$7,AND($A62&gt;=VARIABLES!$B$8,$A62&lt;VARIABLES!$B$10)),VARIABLES!$B$13,0)</f>
        <v>0</v>
      </c>
      <c r="AL62" s="40">
        <f t="shared" si="15"/>
        <v>282162.23155499005</v>
      </c>
      <c r="AM62" s="40">
        <f t="shared" si="16"/>
        <v>3378722.1660320214</v>
      </c>
      <c r="AN62" s="41">
        <f t="shared" si="17"/>
        <v>0</v>
      </c>
    </row>
    <row r="63" spans="1:40" x14ac:dyDescent="0.2">
      <c r="A63" s="42">
        <v>60</v>
      </c>
      <c r="B63" s="42" t="str">
        <f>TEXT(DATE(VARIABLES!$B$70+INT((VARIABLES!$B$71+$A63-2)/12),MOD(VARIABLES!$B$71+$A63-2,12)+1,1),"mmm-yy")</f>
        <v>May-31</v>
      </c>
      <c r="C63" s="43">
        <f>IF($A63&lt;VARIABLES!$B$7,VARIABLES!$B$5/12,IF($A63&lt;VARIABLES!$B$8,VARIABLES!$B$6/12,IF($A63&lt;VARIABLES!$B$10,VARIABLES!$B$9/12,VARIABLES!$B$11/12)))</f>
        <v>4.1666666666666664E-2</v>
      </c>
      <c r="D63" s="44">
        <f>IF($A63&lt;VARIABLES!$B$31,0,IF($A63=VARIABLES!$B$31,VARIABLES!$B$32+VARIABLES!$B$33,VARIABLES!$B$33))</f>
        <v>200000</v>
      </c>
      <c r="E63" s="44">
        <f>D63*VARIABLES!$B$34</f>
        <v>1500</v>
      </c>
      <c r="F63" s="44">
        <f>IF($A63&lt;VARIABLES!$B$31,0,(IF($A63=VARIABLES!$B$31,0,G62)+D63)*C63*VARIABLES!$B$35)</f>
        <v>45001.577529411326</v>
      </c>
      <c r="G63" s="44">
        <f>IF($A63&lt;VARIABLES!$B$31,0,(IF($A63=VARIABLES!$B$31,0,G62)+D63)*(1+C63)-F63)</f>
        <v>44956575.951881915</v>
      </c>
      <c r="H63" s="44">
        <f>IF($A63&lt;VARIABLES!$B$38,0,IF($A63=VARIABLES!$B$38,VARIABLES!$B$39+VARIABLES!$B$40,VARIABLES!$B$40))</f>
        <v>40000</v>
      </c>
      <c r="I63" s="44">
        <f>H63*VARIABLES!$B$41</f>
        <v>300</v>
      </c>
      <c r="J63" s="44">
        <f>IF($A63&lt;VARIABLES!$B$38,0,(IF($A63=VARIABLES!$B$38,0,K62)+H63)*C63*VARIABLES!$B$42)</f>
        <v>28893.750206512443</v>
      </c>
      <c r="K63" s="44">
        <f>IF($A63&lt;VARIABLES!$B$38,0,(IF($A63=VARIABLES!$B$38,0,K62)+H63)*(1+C63)-J63)</f>
        <v>7194543.8014215985</v>
      </c>
      <c r="L63" s="44">
        <f>IF($A63&lt;VARIABLES!$B$45,0,IF($A63=VARIABLES!$B$45,VARIABLES!$B$46+VARIABLES!$B$47,VARIABLES!$B$47))</f>
        <v>0</v>
      </c>
      <c r="M63" s="44">
        <f>L63*VARIABLES!$B$48</f>
        <v>0</v>
      </c>
      <c r="N63" s="44">
        <f>IF($A63&lt;VARIABLES!$B$45,0,(IF($A63=VARIABLES!$B$45,0,O62)+L63)*C63*VARIABLES!$B$49)</f>
        <v>159455.22153398438</v>
      </c>
      <c r="O63" s="44">
        <f>IF($A63&lt;VARIABLES!$B$45,0,(IF($A63=VARIABLES!$B$45,0,O62)+L63)*(1+C63)-N63)</f>
        <v>39704350.161962114</v>
      </c>
      <c r="P63" s="44">
        <f>IF($A63&lt;VARIABLES!$B$52,0,IF($A63=VARIABLES!$B$52,VARIABLES!$B$53+VARIABLES!$B$54,VARIABLES!$B$54))</f>
        <v>20000</v>
      </c>
      <c r="Q63" s="44">
        <f>P63*VARIABLES!$B$55</f>
        <v>150</v>
      </c>
      <c r="R63" s="44">
        <f>IF($A63&lt;VARIABLES!$B$52,0,(IF($A63=VARIABLES!$B$52,0,S62)+P63)*C63*VARIABLES!$B$56)</f>
        <v>4006.6440074569018</v>
      </c>
      <c r="S63" s="44">
        <f>IF($A63&lt;VARIABLES!$B$52,0,(IF($A63=VARIABLES!$B$52,0,S62)+P63)*(1+C63)-R63)</f>
        <v>4002637.363449445</v>
      </c>
      <c r="T63" s="45">
        <f>IF($A63&lt;VARIABLES!$B$60,0,MIN(VARIABLES!$B$59,INT(($A63-VARIABLES!$B$60)/VARIABLES!$B$61)+1)*VARIABLES!$B$62)</f>
        <v>58</v>
      </c>
      <c r="U63" s="44">
        <f>T63*VARIABLES!$B$64+IF(AND($A63&gt;=VARIABLES!$B$60,MOD($A63-VARIABLES!$B$60,VARIABLES!$B$61)=0,INT(($A63-VARIABLES!$B$60)/VARIABLES!$B$61)&lt;VARIABLES!$B$59),VARIABLES!$B$62*VARIABLES!$B$63,0)</f>
        <v>340000</v>
      </c>
      <c r="V63" s="44">
        <f>U63*VARIABLES!$B$65</f>
        <v>2550</v>
      </c>
      <c r="W63" s="44">
        <f>IF($A63&lt;VARIABLES!$B$60,0,(IF($A63&lt;VARIABLES!$B$60+1,0,X62)+U63)*C63*VARIABLES!$B$66)</f>
        <v>103382.62610567763</v>
      </c>
      <c r="X63" s="44">
        <f>IF($A63&lt;VARIABLES!$B$60,0,(IF($A63&lt;VARIABLES!$B$60+1,0,X62)+U63)*(1+C63)-W63)</f>
        <v>25742273.900313731</v>
      </c>
      <c r="Y63" s="44">
        <f t="shared" si="9"/>
        <v>600000</v>
      </c>
      <c r="Z63" s="44">
        <f t="shared" si="10"/>
        <v>4500</v>
      </c>
      <c r="AA63" s="44">
        <f t="shared" si="11"/>
        <v>340739.81938304269</v>
      </c>
      <c r="AB63" s="44">
        <f>(IF($A63=1,0,AD62)*VARIABLES!$B$18*VARIABLES!$B$16*VARIABLES!$B$17)+(Y63*VARIABLES!$B$16*VARIABLES!$B$17)</f>
        <v>14857.934519809422</v>
      </c>
      <c r="AC63" s="36">
        <f t="shared" si="12"/>
        <v>360097.75390285213</v>
      </c>
      <c r="AD63" s="37">
        <f t="shared" si="13"/>
        <v>121600381.17902879</v>
      </c>
      <c r="AE63" s="44">
        <f>IF($A63=1,VARIABLES!$B$21,0)</f>
        <v>0</v>
      </c>
      <c r="AF63" s="44">
        <f>IF($A63&lt;=3,VARIABLES!$B$22,IF($A63&lt;=6,VARIABLES!$B$23,VARIABLES!$B$24))*(1+VARIABLES!$B$25)^INT(($A63-1)/12)</f>
        <v>58073.940160000013</v>
      </c>
      <c r="AG63" s="44">
        <f>IF(MOD($A63,12)=0,AD63*VARIABLES!$B$26,0)</f>
        <v>304000.95294757199</v>
      </c>
      <c r="AH63" s="44">
        <f>VARIABLES!$B$27</f>
        <v>5000</v>
      </c>
      <c r="AI63" s="44">
        <f>IF(MOD($A63,12)=0,VARIABLES!$B$28,0)</f>
        <v>3000</v>
      </c>
      <c r="AJ63" s="38">
        <f t="shared" si="14"/>
        <v>370074.89310757199</v>
      </c>
      <c r="AK63" s="39">
        <f>IF(OR($A63&lt;VARIABLES!$B$7,AND($A63&gt;=VARIABLES!$B$8,$A63&lt;VARIABLES!$B$10)),VARIABLES!$B$13,0)</f>
        <v>0</v>
      </c>
      <c r="AL63" s="46">
        <f t="shared" si="15"/>
        <v>-9977.1392047198606</v>
      </c>
      <c r="AM63" s="46">
        <f t="shared" si="16"/>
        <v>3368745.0268273014</v>
      </c>
      <c r="AN63" s="41">
        <f t="shared" si="17"/>
        <v>0</v>
      </c>
    </row>
    <row r="64" spans="1:40" x14ac:dyDescent="0.2">
      <c r="A64" s="32">
        <v>61</v>
      </c>
      <c r="B64" s="32" t="str">
        <f>TEXT(DATE(VARIABLES!$B$70+INT((VARIABLES!$B$71+$A64-2)/12),MOD(VARIABLES!$B$71+$A64-2,12)+1,1),"mmm-yy")</f>
        <v>Jun-31</v>
      </c>
      <c r="C64" s="33">
        <f>IF($A64&lt;VARIABLES!$B$7,VARIABLES!$B$5/12,IF($A64&lt;VARIABLES!$B$8,VARIABLES!$B$6/12,IF($A64&lt;VARIABLES!$B$10,VARIABLES!$B$9/12,VARIABLES!$B$11/12)))</f>
        <v>4.1666666666666664E-2</v>
      </c>
      <c r="D64" s="34">
        <f>IF($A64&lt;VARIABLES!$B$31,0,IF($A64=VARIABLES!$B$31,VARIABLES!$B$32+VARIABLES!$B$33,VARIABLES!$B$33))</f>
        <v>200000</v>
      </c>
      <c r="E64" s="34">
        <f>D64*VARIABLES!$B$34</f>
        <v>1500</v>
      </c>
      <c r="F64" s="34">
        <f>IF($A64&lt;VARIABLES!$B$31,0,(IF($A64=VARIABLES!$B$31,0,G63)+D64)*C64*VARIABLES!$B$35)</f>
        <v>47038.099949876996</v>
      </c>
      <c r="G64" s="34">
        <f>IF($A64&lt;VARIABLES!$B$31,0,(IF($A64=VARIABLES!$B$31,0,G63)+D64)*(1+C64)-F64)</f>
        <v>46991061.849927127</v>
      </c>
      <c r="H64" s="34">
        <f>IF($A64&lt;VARIABLES!$B$38,0,IF($A64=VARIABLES!$B$38,VARIABLES!$B$39+VARIABLES!$B$40,VARIABLES!$B$40))</f>
        <v>40000</v>
      </c>
      <c r="I64" s="34">
        <f>H64*VARIABLES!$B$41</f>
        <v>300</v>
      </c>
      <c r="J64" s="34">
        <f>IF($A64&lt;VARIABLES!$B$38,0,(IF($A64=VARIABLES!$B$38,0,K63)+H64)*C64*VARIABLES!$B$42)</f>
        <v>30143.932505923323</v>
      </c>
      <c r="K64" s="34">
        <f>IF($A64&lt;VARIABLES!$B$38,0,(IF($A64=VARIABLES!$B$38,0,K63)+H64)*(1+C64)-J64)</f>
        <v>7505839.1939749094</v>
      </c>
      <c r="L64" s="34">
        <f>IF($A64&lt;VARIABLES!$B$45,0,IF($A64=VARIABLES!$B$45,VARIABLES!$B$46+VARIABLES!$B$47,VARIABLES!$B$47))</f>
        <v>0</v>
      </c>
      <c r="M64" s="34">
        <f>L64*VARIABLES!$B$48</f>
        <v>0</v>
      </c>
      <c r="N64" s="34">
        <f>IF($A64&lt;VARIABLES!$B$45,0,(IF($A64=VARIABLES!$B$45,0,O63)+L64)*C64*VARIABLES!$B$49)</f>
        <v>165434.79234150882</v>
      </c>
      <c r="O64" s="34">
        <f>IF($A64&lt;VARIABLES!$B$45,0,(IF($A64=VARIABLES!$B$45,0,O63)+L64)*(1+C64)-N64)</f>
        <v>41193263.293035701</v>
      </c>
      <c r="P64" s="34">
        <f>IF($A64&lt;VARIABLES!$B$52,0,IF($A64=VARIABLES!$B$52,VARIABLES!$B$53+VARIABLES!$B$54,VARIABLES!$B$54))</f>
        <v>20000</v>
      </c>
      <c r="Q64" s="34">
        <f>P64*VARIABLES!$B$55</f>
        <v>150</v>
      </c>
      <c r="R64" s="34">
        <f>IF($A64&lt;VARIABLES!$B$52,0,(IF($A64=VARIABLES!$B$52,0,S63)+P64)*C64*VARIABLES!$B$56)</f>
        <v>4190.247253593172</v>
      </c>
      <c r="S64" s="34">
        <f>IF($A64&lt;VARIABLES!$B$52,0,(IF($A64=VARIABLES!$B$52,0,S63)+P64)*(1+C64)-R64)</f>
        <v>4186057.0063395789</v>
      </c>
      <c r="T64" s="35">
        <f>IF($A64&lt;VARIABLES!$B$60,0,MIN(VARIABLES!$B$59,INT(($A64-VARIABLES!$B$60)/VARIABLES!$B$61)+1)*VARIABLES!$B$62)</f>
        <v>59</v>
      </c>
      <c r="U64" s="34">
        <f>T64*VARIABLES!$B$64+IF(AND($A64&gt;=VARIABLES!$B$60,MOD($A64-VARIABLES!$B$60,VARIABLES!$B$61)=0,INT(($A64-VARIABLES!$B$60)/VARIABLES!$B$61)&lt;VARIABLES!$B$59),VARIABLES!$B$62*VARIABLES!$B$63,0)</f>
        <v>345000</v>
      </c>
      <c r="V64" s="34">
        <f>U64*VARIABLES!$B$65</f>
        <v>2587.5</v>
      </c>
      <c r="W64" s="34">
        <f>IF($A64&lt;VARIABLES!$B$60,0,(IF($A64&lt;VARIABLES!$B$60+1,0,X63)+U64)*C64*VARIABLES!$B$66)</f>
        <v>108696.97458464054</v>
      </c>
      <c r="X64" s="34">
        <f>IF($A64&lt;VARIABLES!$B$60,0,(IF($A64&lt;VARIABLES!$B$60+1,0,X63)+U64)*(1+C64)-W64)</f>
        <v>27065546.671575498</v>
      </c>
      <c r="Y64" s="34">
        <f t="shared" si="9"/>
        <v>605000</v>
      </c>
      <c r="Z64" s="34">
        <f t="shared" si="10"/>
        <v>4537.5</v>
      </c>
      <c r="AA64" s="34">
        <f t="shared" si="11"/>
        <v>355504.04663554282</v>
      </c>
      <c r="AB64" s="34">
        <f>(IF($A64=1,0,AD63)*VARIABLES!$B$18*VARIABLES!$B$16*VARIABLES!$B$17)+(Y64*VARIABLES!$B$16*VARIABLES!$B$17)</f>
        <v>15502.5476473786</v>
      </c>
      <c r="AC64" s="36">
        <f t="shared" si="12"/>
        <v>375544.0942829214</v>
      </c>
      <c r="AD64" s="37">
        <f t="shared" si="13"/>
        <v>126941768.01485282</v>
      </c>
      <c r="AE64" s="34">
        <f>IF($A64=1,VARIABLES!$B$21,0)</f>
        <v>0</v>
      </c>
      <c r="AF64" s="34">
        <f>IF($A64&lt;=3,VARIABLES!$B$22,IF($A64&lt;=6,VARIABLES!$B$23,VARIABLES!$B$24))*(1+VARIABLES!$B$25)^INT(($A64-1)/12)</f>
        <v>61558.376569600019</v>
      </c>
      <c r="AG64" s="34">
        <f>IF(MOD($A64,12)=0,AD64*VARIABLES!$B$26,0)</f>
        <v>0</v>
      </c>
      <c r="AH64" s="34">
        <f>VARIABLES!$B$27</f>
        <v>5000</v>
      </c>
      <c r="AI64" s="34">
        <f>IF(MOD($A64,12)=0,VARIABLES!$B$28,0)</f>
        <v>0</v>
      </c>
      <c r="AJ64" s="38">
        <f t="shared" si="14"/>
        <v>66558.376569600019</v>
      </c>
      <c r="AK64" s="39">
        <f>IF(OR($A64&lt;VARIABLES!$B$7,AND($A64&gt;=VARIABLES!$B$8,$A64&lt;VARIABLES!$B$10)),VARIABLES!$B$13,0)</f>
        <v>0</v>
      </c>
      <c r="AL64" s="40">
        <f t="shared" si="15"/>
        <v>308985.71771332138</v>
      </c>
      <c r="AM64" s="40">
        <f t="shared" si="16"/>
        <v>3677730.7445406229</v>
      </c>
      <c r="AN64" s="41">
        <f t="shared" si="17"/>
        <v>0</v>
      </c>
    </row>
    <row r="65" spans="1:40" x14ac:dyDescent="0.2">
      <c r="A65" s="42">
        <v>62</v>
      </c>
      <c r="B65" s="42" t="str">
        <f>TEXT(DATE(VARIABLES!$B$70+INT((VARIABLES!$B$71+$A65-2)/12),MOD(VARIABLES!$B$71+$A65-2,12)+1,1),"mmm-yy")</f>
        <v>Jul-31</v>
      </c>
      <c r="C65" s="43">
        <f>IF($A65&lt;VARIABLES!$B$7,VARIABLES!$B$5/12,IF($A65&lt;VARIABLES!$B$8,VARIABLES!$B$6/12,IF($A65&lt;VARIABLES!$B$10,VARIABLES!$B$9/12,VARIABLES!$B$11/12)))</f>
        <v>4.1666666666666664E-2</v>
      </c>
      <c r="D65" s="44">
        <f>IF($A65&lt;VARIABLES!$B$31,0,IF($A65=VARIABLES!$B$31,VARIABLES!$B$32+VARIABLES!$B$33,VARIABLES!$B$33))</f>
        <v>200000</v>
      </c>
      <c r="E65" s="44">
        <f>D65*VARIABLES!$B$34</f>
        <v>1500</v>
      </c>
      <c r="F65" s="44">
        <f>IF($A65&lt;VARIABLES!$B$31,0,(IF($A65=VARIABLES!$B$31,0,G64)+D65)*C65*VARIABLES!$B$35)</f>
        <v>49157.356093674091</v>
      </c>
      <c r="G65" s="44">
        <f>IF($A65&lt;VARIABLES!$B$31,0,(IF($A65=VARIABLES!$B$31,0,G64)+D65)*(1+C65)-F65)</f>
        <v>49108198.737580419</v>
      </c>
      <c r="H65" s="44">
        <f>IF($A65&lt;VARIABLES!$B$38,0,IF($A65=VARIABLES!$B$38,VARIABLES!$B$39+VARIABLES!$B$40,VARIABLES!$B$40))</f>
        <v>40000</v>
      </c>
      <c r="I65" s="44">
        <f>H65*VARIABLES!$B$41</f>
        <v>300</v>
      </c>
      <c r="J65" s="44">
        <f>IF($A65&lt;VARIABLES!$B$38,0,(IF($A65=VARIABLES!$B$38,0,K64)+H65)*C65*VARIABLES!$B$42)</f>
        <v>31440.996641562124</v>
      </c>
      <c r="K65" s="44">
        <f>IF($A65&lt;VARIABLES!$B$38,0,(IF($A65=VARIABLES!$B$38,0,K64)+H65)*(1+C65)-J65)</f>
        <v>7828808.1637489684</v>
      </c>
      <c r="L65" s="44">
        <f>IF($A65&lt;VARIABLES!$B$45,0,IF($A65=VARIABLES!$B$45,VARIABLES!$B$46+VARIABLES!$B$47,VARIABLES!$B$47))</f>
        <v>0</v>
      </c>
      <c r="M65" s="44">
        <f>L65*VARIABLES!$B$48</f>
        <v>0</v>
      </c>
      <c r="N65" s="44">
        <f>IF($A65&lt;VARIABLES!$B$45,0,(IF($A65=VARIABLES!$B$45,0,O64)+L65)*C65*VARIABLES!$B$49)</f>
        <v>171638.59705431541</v>
      </c>
      <c r="O65" s="44">
        <f>IF($A65&lt;VARIABLES!$B$45,0,(IF($A65=VARIABLES!$B$45,0,O64)+L65)*(1+C65)-N65)</f>
        <v>42738010.666524537</v>
      </c>
      <c r="P65" s="44">
        <f>IF($A65&lt;VARIABLES!$B$52,0,IF($A65=VARIABLES!$B$52,VARIABLES!$B$53+VARIABLES!$B$54,VARIABLES!$B$54))</f>
        <v>20000</v>
      </c>
      <c r="Q65" s="44">
        <f>P65*VARIABLES!$B$55</f>
        <v>150</v>
      </c>
      <c r="R65" s="44">
        <f>IF($A65&lt;VARIABLES!$B$52,0,(IF($A65=VARIABLES!$B$52,0,S64)+P65)*C65*VARIABLES!$B$56)</f>
        <v>4381.3093816037281</v>
      </c>
      <c r="S65" s="44">
        <f>IF($A65&lt;VARIABLES!$B$52,0,(IF($A65=VARIABLES!$B$52,0,S64)+P65)*(1+C65)-R65)</f>
        <v>4376928.0722221248</v>
      </c>
      <c r="T65" s="45">
        <f>IF($A65&lt;VARIABLES!$B$60,0,MIN(VARIABLES!$B$59,INT(($A65-VARIABLES!$B$60)/VARIABLES!$B$61)+1)*VARIABLES!$B$62)</f>
        <v>60</v>
      </c>
      <c r="U65" s="44">
        <f>T65*VARIABLES!$B$64+IF(AND($A65&gt;=VARIABLES!$B$60,MOD($A65-VARIABLES!$B$60,VARIABLES!$B$61)=0,INT(($A65-VARIABLES!$B$60)/VARIABLES!$B$61)&lt;VARIABLES!$B$59),VARIABLES!$B$62*VARIABLES!$B$63,0)</f>
        <v>350000</v>
      </c>
      <c r="V65" s="44">
        <f>U65*VARIABLES!$B$65</f>
        <v>2625</v>
      </c>
      <c r="W65" s="44">
        <f>IF($A65&lt;VARIABLES!$B$60,0,(IF($A65&lt;VARIABLES!$B$60+1,0,X64)+U65)*C65*VARIABLES!$B$66)</f>
        <v>114231.44446489791</v>
      </c>
      <c r="X65" s="44">
        <f>IF($A65&lt;VARIABLES!$B$60,0,(IF($A65&lt;VARIABLES!$B$60+1,0,X64)+U65)*(1+C65)-W65)</f>
        <v>28443629.671759579</v>
      </c>
      <c r="Y65" s="44">
        <f t="shared" si="9"/>
        <v>610000</v>
      </c>
      <c r="Z65" s="44">
        <f t="shared" si="10"/>
        <v>4575</v>
      </c>
      <c r="AA65" s="44">
        <f t="shared" si="11"/>
        <v>370849.70363605325</v>
      </c>
      <c r="AB65" s="44">
        <f>(IF($A65=1,0,AD64)*VARIABLES!$B$18*VARIABLES!$B$16*VARIABLES!$B$17)+(Y65*VARIABLES!$B$16*VARIABLES!$B$17)</f>
        <v>16172.721001856604</v>
      </c>
      <c r="AC65" s="36">
        <f t="shared" si="12"/>
        <v>391597.42463790986</v>
      </c>
      <c r="AD65" s="37">
        <f t="shared" si="13"/>
        <v>132495575.31183563</v>
      </c>
      <c r="AE65" s="44">
        <f>IF($A65=1,VARIABLES!$B$21,0)</f>
        <v>0</v>
      </c>
      <c r="AF65" s="44">
        <f>IF($A65&lt;=3,VARIABLES!$B$22,IF($A65&lt;=6,VARIABLES!$B$23,VARIABLES!$B$24))*(1+VARIABLES!$B$25)^INT(($A65-1)/12)</f>
        <v>61558.376569600019</v>
      </c>
      <c r="AG65" s="44">
        <f>IF(MOD($A65,12)=0,AD65*VARIABLES!$B$26,0)</f>
        <v>0</v>
      </c>
      <c r="AH65" s="44">
        <f>VARIABLES!$B$27</f>
        <v>5000</v>
      </c>
      <c r="AI65" s="44">
        <f>IF(MOD($A65,12)=0,VARIABLES!$B$28,0)</f>
        <v>0</v>
      </c>
      <c r="AJ65" s="38">
        <f t="shared" si="14"/>
        <v>66558.376569600019</v>
      </c>
      <c r="AK65" s="39">
        <f>IF(OR($A65&lt;VARIABLES!$B$7,AND($A65&gt;=VARIABLES!$B$8,$A65&lt;VARIABLES!$B$10)),VARIABLES!$B$13,0)</f>
        <v>0</v>
      </c>
      <c r="AL65" s="46">
        <f t="shared" si="15"/>
        <v>325039.04806830984</v>
      </c>
      <c r="AM65" s="46">
        <f t="shared" si="16"/>
        <v>4002769.7926089326</v>
      </c>
      <c r="AN65" s="41">
        <f t="shared" si="17"/>
        <v>0</v>
      </c>
    </row>
    <row r="66" spans="1:40" x14ac:dyDescent="0.2">
      <c r="A66" s="32">
        <v>63</v>
      </c>
      <c r="B66" s="32" t="str">
        <f>TEXT(DATE(VARIABLES!$B$70+INT((VARIABLES!$B$71+$A66-2)/12),MOD(VARIABLES!$B$71+$A66-2,12)+1,1),"mmm-yy")</f>
        <v>Aug-31</v>
      </c>
      <c r="C66" s="33">
        <f>IF($A66&lt;VARIABLES!$B$7,VARIABLES!$B$5/12,IF($A66&lt;VARIABLES!$B$8,VARIABLES!$B$6/12,IF($A66&lt;VARIABLES!$B$10,VARIABLES!$B$9/12,VARIABLES!$B$11/12)))</f>
        <v>4.1666666666666664E-2</v>
      </c>
      <c r="D66" s="34">
        <f>IF($A66&lt;VARIABLES!$B$31,0,IF($A66=VARIABLES!$B$31,VARIABLES!$B$32+VARIABLES!$B$33,VARIABLES!$B$33))</f>
        <v>200000</v>
      </c>
      <c r="E66" s="34">
        <f>D66*VARIABLES!$B$34</f>
        <v>1500</v>
      </c>
      <c r="F66" s="34">
        <f>IF($A66&lt;VARIABLES!$B$31,0,(IF($A66=VARIABLES!$B$31,0,G65)+D66)*C66*VARIABLES!$B$35)</f>
        <v>51362.70701831294</v>
      </c>
      <c r="G66" s="34">
        <f>IF($A66&lt;VARIABLES!$B$31,0,(IF($A66=VARIABLES!$B$31,0,G65)+D66)*(1+C66)-F66)</f>
        <v>51311344.311294623</v>
      </c>
      <c r="H66" s="34">
        <f>IF($A66&lt;VARIABLES!$B$38,0,IF($A66=VARIABLES!$B$38,VARIABLES!$B$39+VARIABLES!$B$40,VARIABLES!$B$40))</f>
        <v>40000</v>
      </c>
      <c r="I66" s="34">
        <f>H66*VARIABLES!$B$41</f>
        <v>300</v>
      </c>
      <c r="J66" s="34">
        <f>IF($A66&lt;VARIABLES!$B$38,0,(IF($A66=VARIABLES!$B$38,0,K65)+H66)*C66*VARIABLES!$B$42)</f>
        <v>32786.700682287366</v>
      </c>
      <c r="K66" s="34">
        <f>IF($A66&lt;VARIABLES!$B$38,0,(IF($A66=VARIABLES!$B$38,0,K65)+H66)*(1+C66)-J66)</f>
        <v>8163888.4698895551</v>
      </c>
      <c r="L66" s="34">
        <f>IF($A66&lt;VARIABLES!$B$45,0,IF($A66=VARIABLES!$B$45,VARIABLES!$B$46+VARIABLES!$B$47,VARIABLES!$B$47))</f>
        <v>0</v>
      </c>
      <c r="M66" s="34">
        <f>L66*VARIABLES!$B$48</f>
        <v>0</v>
      </c>
      <c r="N66" s="34">
        <f>IF($A66&lt;VARIABLES!$B$45,0,(IF($A66=VARIABLES!$B$45,0,O65)+L66)*C66*VARIABLES!$B$49)</f>
        <v>178075.04444385224</v>
      </c>
      <c r="O66" s="34">
        <f>IF($A66&lt;VARIABLES!$B$45,0,(IF($A66=VARIABLES!$B$45,0,O65)+L66)*(1+C66)-N66)</f>
        <v>44340686.066519208</v>
      </c>
      <c r="P66" s="34">
        <f>IF($A66&lt;VARIABLES!$B$52,0,IF($A66=VARIABLES!$B$52,VARIABLES!$B$53+VARIABLES!$B$54,VARIABLES!$B$54))</f>
        <v>20000</v>
      </c>
      <c r="Q66" s="34">
        <f>P66*VARIABLES!$B$55</f>
        <v>150</v>
      </c>
      <c r="R66" s="34">
        <f>IF($A66&lt;VARIABLES!$B$52,0,(IF($A66=VARIABLES!$B$52,0,S65)+P66)*C66*VARIABLES!$B$56)</f>
        <v>4580.1334085647131</v>
      </c>
      <c r="S66" s="34">
        <f>IF($A66&lt;VARIABLES!$B$52,0,(IF($A66=VARIABLES!$B$52,0,S65)+P66)*(1+C66)-R66)</f>
        <v>4575553.2751561487</v>
      </c>
      <c r="T66" s="35">
        <f>IF($A66&lt;VARIABLES!$B$60,0,MIN(VARIABLES!$B$59,INT(($A66-VARIABLES!$B$60)/VARIABLES!$B$61)+1)*VARIABLES!$B$62)</f>
        <v>61</v>
      </c>
      <c r="U66" s="34">
        <f>T66*VARIABLES!$B$64+IF(AND($A66&gt;=VARIABLES!$B$60,MOD($A66-VARIABLES!$B$60,VARIABLES!$B$61)=0,INT(($A66-VARIABLES!$B$60)/VARIABLES!$B$61)&lt;VARIABLES!$B$59),VARIABLES!$B$62*VARIABLES!$B$63,0)</f>
        <v>355000</v>
      </c>
      <c r="V66" s="34">
        <f>U66*VARIABLES!$B$65</f>
        <v>2662.5</v>
      </c>
      <c r="W66" s="34">
        <f>IF($A66&lt;VARIABLES!$B$60,0,(IF($A66&lt;VARIABLES!$B$60+1,0,X65)+U66)*C66*VARIABLES!$B$66)</f>
        <v>119994.29029899824</v>
      </c>
      <c r="X66" s="34">
        <f>IF($A66&lt;VARIABLES!$B$60,0,(IF($A66&lt;VARIABLES!$B$60+1,0,X65)+U66)*(1+C66)-W66)</f>
        <v>29878578.284450565</v>
      </c>
      <c r="Y66" s="34">
        <f t="shared" si="9"/>
        <v>615000</v>
      </c>
      <c r="Z66" s="34">
        <f t="shared" si="10"/>
        <v>4612.5</v>
      </c>
      <c r="AA66" s="34">
        <f t="shared" si="11"/>
        <v>386798.87585201551</v>
      </c>
      <c r="AB66" s="34">
        <f>(IF($A66=1,0,AD65)*VARIABLES!$B$18*VARIABLES!$B$16*VARIABLES!$B$17)+(Y66*VARIABLES!$B$16*VARIABLES!$B$17)</f>
        <v>16869.446913979453</v>
      </c>
      <c r="AC66" s="36">
        <f t="shared" si="12"/>
        <v>408280.82276599493</v>
      </c>
      <c r="AD66" s="37">
        <f t="shared" si="13"/>
        <v>138270050.40731013</v>
      </c>
      <c r="AE66" s="34">
        <f>IF($A66=1,VARIABLES!$B$21,0)</f>
        <v>0</v>
      </c>
      <c r="AF66" s="34">
        <f>IF($A66&lt;=3,VARIABLES!$B$22,IF($A66&lt;=6,VARIABLES!$B$23,VARIABLES!$B$24))*(1+VARIABLES!$B$25)^INT(($A66-1)/12)</f>
        <v>61558.376569600019</v>
      </c>
      <c r="AG66" s="34">
        <f>IF(MOD($A66,12)=0,AD66*VARIABLES!$B$26,0)</f>
        <v>0</v>
      </c>
      <c r="AH66" s="34">
        <f>VARIABLES!$B$27</f>
        <v>5000</v>
      </c>
      <c r="AI66" s="34">
        <f>IF(MOD($A66,12)=0,VARIABLES!$B$28,0)</f>
        <v>0</v>
      </c>
      <c r="AJ66" s="38">
        <f t="shared" si="14"/>
        <v>66558.376569600019</v>
      </c>
      <c r="AK66" s="39">
        <f>IF(OR($A66&lt;VARIABLES!$B$7,AND($A66&gt;=VARIABLES!$B$8,$A66&lt;VARIABLES!$B$10)),VARIABLES!$B$13,0)</f>
        <v>0</v>
      </c>
      <c r="AL66" s="40">
        <f t="shared" si="15"/>
        <v>341722.44619639491</v>
      </c>
      <c r="AM66" s="40">
        <f t="shared" si="16"/>
        <v>4344492.2388053276</v>
      </c>
      <c r="AN66" s="41">
        <f t="shared" si="17"/>
        <v>0</v>
      </c>
    </row>
    <row r="67" spans="1:40" x14ac:dyDescent="0.2">
      <c r="A67" s="42">
        <v>64</v>
      </c>
      <c r="B67" s="42" t="str">
        <f>TEXT(DATE(VARIABLES!$B$70+INT((VARIABLES!$B$71+$A67-2)/12),MOD(VARIABLES!$B$71+$A67-2,12)+1,1),"mmm-yy")</f>
        <v>Sept-31</v>
      </c>
      <c r="C67" s="43">
        <f>IF($A67&lt;VARIABLES!$B$7,VARIABLES!$B$5/12,IF($A67&lt;VARIABLES!$B$8,VARIABLES!$B$6/12,IF($A67&lt;VARIABLES!$B$10,VARIABLES!$B$9/12,VARIABLES!$B$11/12)))</f>
        <v>4.1666666666666664E-2</v>
      </c>
      <c r="D67" s="44">
        <f>IF($A67&lt;VARIABLES!$B$31,0,IF($A67=VARIABLES!$B$31,VARIABLES!$B$32+VARIABLES!$B$33,VARIABLES!$B$33))</f>
        <v>200000</v>
      </c>
      <c r="E67" s="44">
        <f>D67*VARIABLES!$B$34</f>
        <v>1500</v>
      </c>
      <c r="F67" s="44">
        <f>IF($A67&lt;VARIABLES!$B$31,0,(IF($A67=VARIABLES!$B$31,0,G66)+D67)*C67*VARIABLES!$B$35)</f>
        <v>53657.650324265232</v>
      </c>
      <c r="G67" s="44">
        <f>IF($A67&lt;VARIABLES!$B$31,0,(IF($A67=VARIABLES!$B$31,0,G66)+D67)*(1+C67)-F67)</f>
        <v>53603992.673940971</v>
      </c>
      <c r="H67" s="44">
        <f>IF($A67&lt;VARIABLES!$B$38,0,IF($A67=VARIABLES!$B$38,VARIABLES!$B$39+VARIABLES!$B$40,VARIABLES!$B$40))</f>
        <v>40000</v>
      </c>
      <c r="I67" s="44">
        <f>H67*VARIABLES!$B$41</f>
        <v>300</v>
      </c>
      <c r="J67" s="44">
        <f>IF($A67&lt;VARIABLES!$B$38,0,(IF($A67=VARIABLES!$B$38,0,K66)+H67)*C67*VARIABLES!$B$42)</f>
        <v>34182.868624539813</v>
      </c>
      <c r="K67" s="44">
        <f>IF($A67&lt;VARIABLES!$B$38,0,(IF($A67=VARIABLES!$B$38,0,K66)+H67)*(1+C67)-J67)</f>
        <v>8511534.2875104137</v>
      </c>
      <c r="L67" s="44">
        <f>IF($A67&lt;VARIABLES!$B$45,0,IF($A67=VARIABLES!$B$45,VARIABLES!$B$46+VARIABLES!$B$47,VARIABLES!$B$47))</f>
        <v>0</v>
      </c>
      <c r="M67" s="44">
        <f>L67*VARIABLES!$B$48</f>
        <v>0</v>
      </c>
      <c r="N67" s="44">
        <f>IF($A67&lt;VARIABLES!$B$45,0,(IF($A67=VARIABLES!$B$45,0,O66)+L67)*C67*VARIABLES!$B$49)</f>
        <v>184752.85861049671</v>
      </c>
      <c r="O67" s="44">
        <f>IF($A67&lt;VARIABLES!$B$45,0,(IF($A67=VARIABLES!$B$45,0,O66)+L67)*(1+C67)-N67)</f>
        <v>46003461.794013679</v>
      </c>
      <c r="P67" s="44">
        <f>IF($A67&lt;VARIABLES!$B$52,0,IF($A67=VARIABLES!$B$52,VARIABLES!$B$53+VARIABLES!$B$54,VARIABLES!$B$54))</f>
        <v>20000</v>
      </c>
      <c r="Q67" s="44">
        <f>P67*VARIABLES!$B$55</f>
        <v>150</v>
      </c>
      <c r="R67" s="44">
        <f>IF($A67&lt;VARIABLES!$B$52,0,(IF($A67=VARIABLES!$B$52,0,S66)+P67)*C67*VARIABLES!$B$56)</f>
        <v>4787.0346616209881</v>
      </c>
      <c r="S67" s="44">
        <f>IF($A67&lt;VARIABLES!$B$52,0,(IF($A67=VARIABLES!$B$52,0,S66)+P67)*(1+C67)-R67)</f>
        <v>4782247.6269593677</v>
      </c>
      <c r="T67" s="45">
        <f>IF($A67&lt;VARIABLES!$B$60,0,MIN(VARIABLES!$B$59,INT(($A67-VARIABLES!$B$60)/VARIABLES!$B$61)+1)*VARIABLES!$B$62)</f>
        <v>62</v>
      </c>
      <c r="U67" s="44">
        <f>T67*VARIABLES!$B$64+IF(AND($A67&gt;=VARIABLES!$B$60,MOD($A67-VARIABLES!$B$60,VARIABLES!$B$61)=0,INT(($A67-VARIABLES!$B$60)/VARIABLES!$B$61)&lt;VARIABLES!$B$59),VARIABLES!$B$62*VARIABLES!$B$63,0)</f>
        <v>360000</v>
      </c>
      <c r="V67" s="44">
        <f>U67*VARIABLES!$B$65</f>
        <v>2700</v>
      </c>
      <c r="W67" s="44">
        <f>IF($A67&lt;VARIABLES!$B$60,0,(IF($A67&lt;VARIABLES!$B$60+1,0,X66)+U67)*C67*VARIABLES!$B$66)</f>
        <v>125994.07618521068</v>
      </c>
      <c r="X67" s="44">
        <f>IF($A67&lt;VARIABLES!$B$60,0,(IF($A67&lt;VARIABLES!$B$60+1,0,X66)+U67)*(1+C67)-W67)</f>
        <v>31372524.970117461</v>
      </c>
      <c r="Y67" s="44">
        <f t="shared" si="9"/>
        <v>620000</v>
      </c>
      <c r="Z67" s="44">
        <f t="shared" si="10"/>
        <v>4650</v>
      </c>
      <c r="AA67" s="44">
        <f t="shared" si="11"/>
        <v>403374.48840613343</v>
      </c>
      <c r="AB67" s="44">
        <f>(IF($A67=1,0,AD66)*VARIABLES!$B$18*VARIABLES!$B$16*VARIABLES!$B$17)+(Y67*VARIABLES!$B$16*VARIABLES!$B$17)</f>
        <v>17593.756300913767</v>
      </c>
      <c r="AC67" s="36">
        <f t="shared" si="12"/>
        <v>425618.24470704718</v>
      </c>
      <c r="AD67" s="37">
        <f t="shared" si="13"/>
        <v>144273761.35254189</v>
      </c>
      <c r="AE67" s="44">
        <f>IF($A67=1,VARIABLES!$B$21,0)</f>
        <v>0</v>
      </c>
      <c r="AF67" s="44">
        <f>IF($A67&lt;=3,VARIABLES!$B$22,IF($A67&lt;=6,VARIABLES!$B$23,VARIABLES!$B$24))*(1+VARIABLES!$B$25)^INT(($A67-1)/12)</f>
        <v>61558.376569600019</v>
      </c>
      <c r="AG67" s="44">
        <f>IF(MOD($A67,12)=0,AD67*VARIABLES!$B$26,0)</f>
        <v>0</v>
      </c>
      <c r="AH67" s="44">
        <f>VARIABLES!$B$27</f>
        <v>5000</v>
      </c>
      <c r="AI67" s="44">
        <f>IF(MOD($A67,12)=0,VARIABLES!$B$28,0)</f>
        <v>0</v>
      </c>
      <c r="AJ67" s="38">
        <f t="shared" si="14"/>
        <v>66558.376569600019</v>
      </c>
      <c r="AK67" s="39">
        <f>IF(OR($A67&lt;VARIABLES!$B$7,AND($A67&gt;=VARIABLES!$B$8,$A67&lt;VARIABLES!$B$10)),VARIABLES!$B$13,0)</f>
        <v>0</v>
      </c>
      <c r="AL67" s="46">
        <f t="shared" si="15"/>
        <v>359059.86813744716</v>
      </c>
      <c r="AM67" s="46">
        <f t="shared" si="16"/>
        <v>4703552.1069427747</v>
      </c>
      <c r="AN67" s="41">
        <f t="shared" si="17"/>
        <v>0</v>
      </c>
    </row>
    <row r="68" spans="1:40" x14ac:dyDescent="0.2">
      <c r="A68" s="32">
        <v>65</v>
      </c>
      <c r="B68" s="32" t="str">
        <f>TEXT(DATE(VARIABLES!$B$70+INT((VARIABLES!$B$71+$A68-2)/12),MOD(VARIABLES!$B$71+$A68-2,12)+1,1),"mmm-yy")</f>
        <v>Oct-31</v>
      </c>
      <c r="C68" s="33">
        <f>IF($A68&lt;VARIABLES!$B$7,VARIABLES!$B$5/12,IF($A68&lt;VARIABLES!$B$8,VARIABLES!$B$6/12,IF($A68&lt;VARIABLES!$B$10,VARIABLES!$B$9/12,VARIABLES!$B$11/12)))</f>
        <v>4.1666666666666664E-2</v>
      </c>
      <c r="D68" s="34">
        <f>IF($A68&lt;VARIABLES!$B$31,0,IF($A68=VARIABLES!$B$31,VARIABLES!$B$32+VARIABLES!$B$33,VARIABLES!$B$33))</f>
        <v>200000</v>
      </c>
      <c r="E68" s="34">
        <f>D68*VARIABLES!$B$34</f>
        <v>1500</v>
      </c>
      <c r="F68" s="34">
        <f>IF($A68&lt;VARIABLES!$B$31,0,(IF($A68=VARIABLES!$B$31,0,G67)+D68)*C68*VARIABLES!$B$35)</f>
        <v>56045.825702021844</v>
      </c>
      <c r="G68" s="34">
        <f>IF($A68&lt;VARIABLES!$B$31,0,(IF($A68=VARIABLES!$B$31,0,G67)+D68)*(1+C68)-F68)</f>
        <v>55989779.876319833</v>
      </c>
      <c r="H68" s="34">
        <f>IF($A68&lt;VARIABLES!$B$38,0,IF($A68=VARIABLES!$B$38,VARIABLES!$B$39+VARIABLES!$B$40,VARIABLES!$B$40))</f>
        <v>40000</v>
      </c>
      <c r="I68" s="34">
        <f>H68*VARIABLES!$B$41</f>
        <v>300</v>
      </c>
      <c r="J68" s="34">
        <f>IF($A68&lt;VARIABLES!$B$38,0,(IF($A68=VARIABLES!$B$38,0,K67)+H68)*C68*VARIABLES!$B$42)</f>
        <v>35631.392864626723</v>
      </c>
      <c r="K68" s="34">
        <f>IF($A68&lt;VARIABLES!$B$38,0,(IF($A68=VARIABLES!$B$38,0,K67)+H68)*(1+C68)-J68)</f>
        <v>8872216.8232920561</v>
      </c>
      <c r="L68" s="34">
        <f>IF($A68&lt;VARIABLES!$B$45,0,IF($A68=VARIABLES!$B$45,VARIABLES!$B$46+VARIABLES!$B$47,VARIABLES!$B$47))</f>
        <v>0</v>
      </c>
      <c r="M68" s="34">
        <f>L68*VARIABLES!$B$48</f>
        <v>0</v>
      </c>
      <c r="N68" s="34">
        <f>IF($A68&lt;VARIABLES!$B$45,0,(IF($A68=VARIABLES!$B$45,0,O67)+L68)*C68*VARIABLES!$B$49)</f>
        <v>191681.09080839032</v>
      </c>
      <c r="O68" s="34">
        <f>IF($A68&lt;VARIABLES!$B$45,0,(IF($A68=VARIABLES!$B$45,0,O67)+L68)*(1+C68)-N68)</f>
        <v>47728591.611289196</v>
      </c>
      <c r="P68" s="34">
        <f>IF($A68&lt;VARIABLES!$B$52,0,IF($A68=VARIABLES!$B$52,VARIABLES!$B$53+VARIABLES!$B$54,VARIABLES!$B$54))</f>
        <v>20000</v>
      </c>
      <c r="Q68" s="34">
        <f>P68*VARIABLES!$B$55</f>
        <v>150</v>
      </c>
      <c r="R68" s="34">
        <f>IF($A68&lt;VARIABLES!$B$52,0,(IF($A68=VARIABLES!$B$52,0,S67)+P68)*C68*VARIABLES!$B$56)</f>
        <v>5002.3412780826748</v>
      </c>
      <c r="S68" s="34">
        <f>IF($A68&lt;VARIABLES!$B$52,0,(IF($A68=VARIABLES!$B$52,0,S67)+P68)*(1+C68)-R68)</f>
        <v>4997338.9368045926</v>
      </c>
      <c r="T68" s="35">
        <f>IF($A68&lt;VARIABLES!$B$60,0,MIN(VARIABLES!$B$59,INT(($A68-VARIABLES!$B$60)/VARIABLES!$B$61)+1)*VARIABLES!$B$62)</f>
        <v>63</v>
      </c>
      <c r="U68" s="34">
        <f>T68*VARIABLES!$B$64+IF(AND($A68&gt;=VARIABLES!$B$60,MOD($A68-VARIABLES!$B$60,VARIABLES!$B$61)=0,INT(($A68-VARIABLES!$B$60)/VARIABLES!$B$61)&lt;VARIABLES!$B$59),VARIABLES!$B$62*VARIABLES!$B$63,0)</f>
        <v>365000</v>
      </c>
      <c r="V68" s="34">
        <f>U68*VARIABLES!$B$65</f>
        <v>2737.5</v>
      </c>
      <c r="W68" s="34">
        <f>IF($A68&lt;VARIABLES!$B$60,0,(IF($A68&lt;VARIABLES!$B$60+1,0,X67)+U68)*C68*VARIABLES!$B$66)</f>
        <v>132239.68737548942</v>
      </c>
      <c r="X68" s="34">
        <f>IF($A68&lt;VARIABLES!$B$60,0,(IF($A68&lt;VARIABLES!$B$60+1,0,X67)+U68)*(1+C68)-W68)</f>
        <v>32927682.156496868</v>
      </c>
      <c r="Y68" s="34">
        <f t="shared" ref="Y68:Y99" si="18">D68+H68+L68+P68+U68</f>
        <v>625000</v>
      </c>
      <c r="Z68" s="34">
        <f t="shared" ref="Z68:Z99" si="19">E68+I68+M68+Q68+V68</f>
        <v>4687.5</v>
      </c>
      <c r="AA68" s="34">
        <f t="shared" ref="AA68:AA99" si="20">F68+J68+N68+R68+W68</f>
        <v>420600.33802861103</v>
      </c>
      <c r="AB68" s="34">
        <f>(IF($A68=1,0,AD67)*VARIABLES!$B$18*VARIABLES!$B$16*VARIABLES!$B$17)+(Y68*VARIABLES!$B$16*VARIABLES!$B$17)</f>
        <v>18346.720169067736</v>
      </c>
      <c r="AC68" s="36">
        <f t="shared" ref="AC68:AC99" si="21">Z68+AA68+AB68</f>
        <v>443634.55819767877</v>
      </c>
      <c r="AD68" s="37">
        <f t="shared" ref="AD68:AD99" si="22">G68+K68+O68+S68+X68</f>
        <v>150515609.40420252</v>
      </c>
      <c r="AE68" s="34">
        <f>IF($A68=1,VARIABLES!$B$21,0)</f>
        <v>0</v>
      </c>
      <c r="AF68" s="34">
        <f>IF($A68&lt;=3,VARIABLES!$B$22,IF($A68&lt;=6,VARIABLES!$B$23,VARIABLES!$B$24))*(1+VARIABLES!$B$25)^INT(($A68-1)/12)</f>
        <v>61558.376569600019</v>
      </c>
      <c r="AG68" s="34">
        <f>IF(MOD($A68,12)=0,AD68*VARIABLES!$B$26,0)</f>
        <v>0</v>
      </c>
      <c r="AH68" s="34">
        <f>VARIABLES!$B$27</f>
        <v>5000</v>
      </c>
      <c r="AI68" s="34">
        <f>IF(MOD($A68,12)=0,VARIABLES!$B$28,0)</f>
        <v>0</v>
      </c>
      <c r="AJ68" s="38">
        <f t="shared" ref="AJ68:AJ99" si="23">AE68+AF68+AG68+AH68+AI68</f>
        <v>66558.376569600019</v>
      </c>
      <c r="AK68" s="39">
        <f>IF(OR($A68&lt;VARIABLES!$B$7,AND($A68&gt;=VARIABLES!$B$8,$A68&lt;VARIABLES!$B$10)),VARIABLES!$B$13,0)</f>
        <v>0</v>
      </c>
      <c r="AL68" s="40">
        <f t="shared" ref="AL68:AL99" si="24">AC68-AJ68-AK68</f>
        <v>377076.18162807875</v>
      </c>
      <c r="AM68" s="40">
        <f t="shared" si="16"/>
        <v>5080628.2885708539</v>
      </c>
      <c r="AN68" s="41">
        <f t="shared" si="17"/>
        <v>0</v>
      </c>
    </row>
    <row r="69" spans="1:40" x14ac:dyDescent="0.2">
      <c r="A69" s="42">
        <v>66</v>
      </c>
      <c r="B69" s="42" t="str">
        <f>TEXT(DATE(VARIABLES!$B$70+INT((VARIABLES!$B$71+$A69-2)/12),MOD(VARIABLES!$B$71+$A69-2,12)+1,1),"mmm-yy")</f>
        <v>Nov-31</v>
      </c>
      <c r="C69" s="43">
        <f>IF($A69&lt;VARIABLES!$B$7,VARIABLES!$B$5/12,IF($A69&lt;VARIABLES!$B$8,VARIABLES!$B$6/12,IF($A69&lt;VARIABLES!$B$10,VARIABLES!$B$9/12,VARIABLES!$B$11/12)))</f>
        <v>4.1666666666666664E-2</v>
      </c>
      <c r="D69" s="44">
        <f>IF($A69&lt;VARIABLES!$B$31,0,IF($A69=VARIABLES!$B$31,VARIABLES!$B$32+VARIABLES!$B$33,VARIABLES!$B$33))</f>
        <v>200000</v>
      </c>
      <c r="E69" s="44">
        <f>D69*VARIABLES!$B$34</f>
        <v>1500</v>
      </c>
      <c r="F69" s="44">
        <f>IF($A69&lt;VARIABLES!$B$31,0,(IF($A69=VARIABLES!$B$31,0,G68)+D69)*C69*VARIABLES!$B$35)</f>
        <v>58531.020704499824</v>
      </c>
      <c r="G69" s="44">
        <f>IF($A69&lt;VARIABLES!$B$31,0,(IF($A69=VARIABLES!$B$31,0,G68)+D69)*(1+C69)-F69)</f>
        <v>58472489.683795333</v>
      </c>
      <c r="H69" s="44">
        <f>IF($A69&lt;VARIABLES!$B$38,0,IF($A69=VARIABLES!$B$38,VARIABLES!$B$39+VARIABLES!$B$40,VARIABLES!$B$40))</f>
        <v>40000</v>
      </c>
      <c r="I69" s="44">
        <f>H69*VARIABLES!$B$41</f>
        <v>300</v>
      </c>
      <c r="J69" s="44">
        <f>IF($A69&lt;VARIABLES!$B$38,0,(IF($A69=VARIABLES!$B$38,0,K68)+H69)*C69*VARIABLES!$B$42)</f>
        <v>37134.236763716901</v>
      </c>
      <c r="K69" s="44">
        <f>IF($A69&lt;VARIABLES!$B$38,0,(IF($A69=VARIABLES!$B$38,0,K68)+H69)*(1+C69)-J69)</f>
        <v>9246424.954165509</v>
      </c>
      <c r="L69" s="44">
        <f>IF($A69&lt;VARIABLES!$B$45,0,IF($A69=VARIABLES!$B$45,VARIABLES!$B$46+VARIABLES!$B$47,VARIABLES!$B$47))</f>
        <v>0</v>
      </c>
      <c r="M69" s="44">
        <f>L69*VARIABLES!$B$48</f>
        <v>0</v>
      </c>
      <c r="N69" s="44">
        <f>IF($A69&lt;VARIABLES!$B$45,0,(IF($A69=VARIABLES!$B$45,0,O68)+L69)*C69*VARIABLES!$B$49)</f>
        <v>198869.13171370499</v>
      </c>
      <c r="O69" s="44">
        <f>IF($A69&lt;VARIABLES!$B$45,0,(IF($A69=VARIABLES!$B$45,0,O68)+L69)*(1+C69)-N69)</f>
        <v>49518413.796712548</v>
      </c>
      <c r="P69" s="44">
        <f>IF($A69&lt;VARIABLES!$B$52,0,IF($A69=VARIABLES!$B$52,VARIABLES!$B$53+VARIABLES!$B$54,VARIABLES!$B$54))</f>
        <v>20000</v>
      </c>
      <c r="Q69" s="44">
        <f>P69*VARIABLES!$B$55</f>
        <v>150</v>
      </c>
      <c r="R69" s="44">
        <f>IF($A69&lt;VARIABLES!$B$52,0,(IF($A69=VARIABLES!$B$52,0,S68)+P69)*C69*VARIABLES!$B$56)</f>
        <v>5226.3947258381177</v>
      </c>
      <c r="S69" s="44">
        <f>IF($A69&lt;VARIABLES!$B$52,0,(IF($A69=VARIABLES!$B$52,0,S68)+P69)*(1+C69)-R69)</f>
        <v>5221168.3311122796</v>
      </c>
      <c r="T69" s="45">
        <f>IF($A69&lt;VARIABLES!$B$60,0,MIN(VARIABLES!$B$59,INT(($A69-VARIABLES!$B$60)/VARIABLES!$B$61)+1)*VARIABLES!$B$62)</f>
        <v>64</v>
      </c>
      <c r="U69" s="44">
        <f>T69*VARIABLES!$B$64+IF(AND($A69&gt;=VARIABLES!$B$60,MOD($A69-VARIABLES!$B$60,VARIABLES!$B$61)=0,INT(($A69-VARIABLES!$B$60)/VARIABLES!$B$61)&lt;VARIABLES!$B$59),VARIABLES!$B$62*VARIABLES!$B$63,0)</f>
        <v>370000</v>
      </c>
      <c r="V69" s="44">
        <f>U69*VARIABLES!$B$65</f>
        <v>2775</v>
      </c>
      <c r="W69" s="44">
        <f>IF($A69&lt;VARIABLES!$B$60,0,(IF($A69&lt;VARIABLES!$B$60+1,0,X68)+U69)*C69*VARIABLES!$B$66)</f>
        <v>138740.34231873695</v>
      </c>
      <c r="X69" s="44">
        <f>IF($A69&lt;VARIABLES!$B$60,0,(IF($A69&lt;VARIABLES!$B$60+1,0,X68)+U69)*(1+C69)-W69)</f>
        <v>34546345.237365507</v>
      </c>
      <c r="Y69" s="44">
        <f t="shared" si="18"/>
        <v>630000</v>
      </c>
      <c r="Z69" s="44">
        <f t="shared" si="19"/>
        <v>4725</v>
      </c>
      <c r="AA69" s="44">
        <f t="shared" si="20"/>
        <v>438501.12622649677</v>
      </c>
      <c r="AB69" s="44">
        <f>(IF($A69=1,0,AD68)*VARIABLES!$B$18*VARIABLES!$B$16*VARIABLES!$B$17)+(Y69*VARIABLES!$B$16*VARIABLES!$B$17)</f>
        <v>19129.451175525315</v>
      </c>
      <c r="AC69" s="36">
        <f t="shared" si="21"/>
        <v>462355.57740202209</v>
      </c>
      <c r="AD69" s="37">
        <f t="shared" si="22"/>
        <v>157004842.00315118</v>
      </c>
      <c r="AE69" s="44">
        <f>IF($A69=1,VARIABLES!$B$21,0)</f>
        <v>0</v>
      </c>
      <c r="AF69" s="44">
        <f>IF($A69&lt;=3,VARIABLES!$B$22,IF($A69&lt;=6,VARIABLES!$B$23,VARIABLES!$B$24))*(1+VARIABLES!$B$25)^INT(($A69-1)/12)</f>
        <v>61558.376569600019</v>
      </c>
      <c r="AG69" s="44">
        <f>IF(MOD($A69,12)=0,AD69*VARIABLES!$B$26,0)</f>
        <v>0</v>
      </c>
      <c r="AH69" s="44">
        <f>VARIABLES!$B$27</f>
        <v>5000</v>
      </c>
      <c r="AI69" s="44">
        <f>IF(MOD($A69,12)=0,VARIABLES!$B$28,0)</f>
        <v>0</v>
      </c>
      <c r="AJ69" s="38">
        <f t="shared" si="23"/>
        <v>66558.376569600019</v>
      </c>
      <c r="AK69" s="39">
        <f>IF(OR($A69&lt;VARIABLES!$B$7,AND($A69&gt;=VARIABLES!$B$8,$A69&lt;VARIABLES!$B$10)),VARIABLES!$B$13,0)</f>
        <v>0</v>
      </c>
      <c r="AL69" s="46">
        <f t="shared" si="24"/>
        <v>395797.20083242207</v>
      </c>
      <c r="AM69" s="46">
        <f t="shared" ref="AM69:AM100" si="25">AM68+AL69</f>
        <v>5476425.4894032758</v>
      </c>
      <c r="AN69" s="41">
        <f t="shared" ref="AN69:AN99" si="26">AN68+AK69</f>
        <v>0</v>
      </c>
    </row>
    <row r="70" spans="1:40" x14ac:dyDescent="0.2">
      <c r="A70" s="32">
        <v>67</v>
      </c>
      <c r="B70" s="32" t="str">
        <f>TEXT(DATE(VARIABLES!$B$70+INT((VARIABLES!$B$71+$A70-2)/12),MOD(VARIABLES!$B$71+$A70-2,12)+1,1),"mmm-yy")</f>
        <v>Dec-31</v>
      </c>
      <c r="C70" s="33">
        <f>IF($A70&lt;VARIABLES!$B$7,VARIABLES!$B$5/12,IF($A70&lt;VARIABLES!$B$8,VARIABLES!$B$6/12,IF($A70&lt;VARIABLES!$B$10,VARIABLES!$B$9/12,VARIABLES!$B$11/12)))</f>
        <v>4.1666666666666664E-2</v>
      </c>
      <c r="D70" s="34">
        <f>IF($A70&lt;VARIABLES!$B$31,0,IF($A70=VARIABLES!$B$31,VARIABLES!$B$32+VARIABLES!$B$33,VARIABLES!$B$33))</f>
        <v>200000</v>
      </c>
      <c r="E70" s="34">
        <f>D70*VARIABLES!$B$34</f>
        <v>1500</v>
      </c>
      <c r="F70" s="34">
        <f>IF($A70&lt;VARIABLES!$B$31,0,(IF($A70=VARIABLES!$B$31,0,G69)+D70)*C70*VARIABLES!$B$35)</f>
        <v>61117.176753953478</v>
      </c>
      <c r="G70" s="34">
        <f>IF($A70&lt;VARIABLES!$B$31,0,(IF($A70=VARIABLES!$B$31,0,G69)+D70)*(1+C70)-F70)</f>
        <v>61056059.577199526</v>
      </c>
      <c r="H70" s="34">
        <f>IF($A70&lt;VARIABLES!$B$38,0,IF($A70=VARIABLES!$B$38,VARIABLES!$B$39+VARIABLES!$B$40,VARIABLES!$B$40))</f>
        <v>40000</v>
      </c>
      <c r="I70" s="34">
        <f>H70*VARIABLES!$B$41</f>
        <v>300</v>
      </c>
      <c r="J70" s="34">
        <f>IF($A70&lt;VARIABLES!$B$38,0,(IF($A70=VARIABLES!$B$38,0,K69)+H70)*C70*VARIABLES!$B$42)</f>
        <v>38693.437309022956</v>
      </c>
      <c r="K70" s="34">
        <f>IF($A70&lt;VARIABLES!$B$38,0,(IF($A70=VARIABLES!$B$38,0,K69)+H70)*(1+C70)-J70)</f>
        <v>9634665.8899467159</v>
      </c>
      <c r="L70" s="34">
        <f>IF($A70&lt;VARIABLES!$B$45,0,IF($A70=VARIABLES!$B$45,VARIABLES!$B$46+VARIABLES!$B$47,VARIABLES!$B$47))</f>
        <v>0</v>
      </c>
      <c r="M70" s="34">
        <f>L70*VARIABLES!$B$48</f>
        <v>0</v>
      </c>
      <c r="N70" s="34">
        <f>IF($A70&lt;VARIABLES!$B$45,0,(IF($A70=VARIABLES!$B$45,0,O69)+L70)*C70*VARIABLES!$B$49)</f>
        <v>206326.72415296896</v>
      </c>
      <c r="O70" s="34">
        <f>IF($A70&lt;VARIABLES!$B$45,0,(IF($A70=VARIABLES!$B$45,0,O69)+L70)*(1+C70)-N70)</f>
        <v>51375354.314089276</v>
      </c>
      <c r="P70" s="34">
        <f>IF($A70&lt;VARIABLES!$B$52,0,IF($A70=VARIABLES!$B$52,VARIABLES!$B$53+VARIABLES!$B$54,VARIABLES!$B$54))</f>
        <v>20000</v>
      </c>
      <c r="Q70" s="34">
        <f>P70*VARIABLES!$B$55</f>
        <v>150</v>
      </c>
      <c r="R70" s="34">
        <f>IF($A70&lt;VARIABLES!$B$52,0,(IF($A70=VARIABLES!$B$52,0,S69)+P70)*C70*VARIABLES!$B$56)</f>
        <v>5459.5503449086245</v>
      </c>
      <c r="S70" s="34">
        <f>IF($A70&lt;VARIABLES!$B$52,0,(IF($A70=VARIABLES!$B$52,0,S69)+P70)*(1+C70)-R70)</f>
        <v>5454090.7945637163</v>
      </c>
      <c r="T70" s="35">
        <f>IF($A70&lt;VARIABLES!$B$60,0,MIN(VARIABLES!$B$59,INT(($A70-VARIABLES!$B$60)/VARIABLES!$B$61)+1)*VARIABLES!$B$62)</f>
        <v>65</v>
      </c>
      <c r="U70" s="34">
        <f>T70*VARIABLES!$B$64+IF(AND($A70&gt;=VARIABLES!$B$60,MOD($A70-VARIABLES!$B$60,VARIABLES!$B$61)=0,INT(($A70-VARIABLES!$B$60)/VARIABLES!$B$61)&lt;VARIABLES!$B$59),VARIABLES!$B$62*VARIABLES!$B$63,0)</f>
        <v>375000</v>
      </c>
      <c r="V70" s="34">
        <f>U70*VARIABLES!$B$65</f>
        <v>2812.5</v>
      </c>
      <c r="W70" s="34">
        <f>IF($A70&lt;VARIABLES!$B$60,0,(IF($A70&lt;VARIABLES!$B$60+1,0,X69)+U70)*C70*VARIABLES!$B$66)</f>
        <v>145505.60515568961</v>
      </c>
      <c r="X70" s="34">
        <f>IF($A70&lt;VARIABLES!$B$60,0,(IF($A70&lt;VARIABLES!$B$60+1,0,X69)+U70)*(1+C70)-W70)</f>
        <v>36230895.683766715</v>
      </c>
      <c r="Y70" s="34">
        <f t="shared" si="18"/>
        <v>635000</v>
      </c>
      <c r="Z70" s="34">
        <f t="shared" si="19"/>
        <v>4762.5</v>
      </c>
      <c r="AA70" s="34">
        <f t="shared" si="20"/>
        <v>457102.49371654366</v>
      </c>
      <c r="AB70" s="34">
        <f>(IF($A70=1,0,AD69)*VARIABLES!$B$18*VARIABLES!$B$16*VARIABLES!$B$17)+(Y70*VARIABLES!$B$16*VARIABLES!$B$17)</f>
        <v>19943.105250393899</v>
      </c>
      <c r="AC70" s="36">
        <f t="shared" si="21"/>
        <v>481808.09896693757</v>
      </c>
      <c r="AD70" s="37">
        <f t="shared" si="22"/>
        <v>163751066.25956595</v>
      </c>
      <c r="AE70" s="34">
        <f>IF($A70=1,VARIABLES!$B$21,0)</f>
        <v>0</v>
      </c>
      <c r="AF70" s="34">
        <f>IF($A70&lt;=3,VARIABLES!$B$22,IF($A70&lt;=6,VARIABLES!$B$23,VARIABLES!$B$24))*(1+VARIABLES!$B$25)^INT(($A70-1)/12)</f>
        <v>61558.376569600019</v>
      </c>
      <c r="AG70" s="34">
        <f>IF(MOD($A70,12)=0,AD70*VARIABLES!$B$26,0)</f>
        <v>0</v>
      </c>
      <c r="AH70" s="34">
        <f>VARIABLES!$B$27</f>
        <v>5000</v>
      </c>
      <c r="AI70" s="34">
        <f>IF(MOD($A70,12)=0,VARIABLES!$B$28,0)</f>
        <v>0</v>
      </c>
      <c r="AJ70" s="38">
        <f t="shared" si="23"/>
        <v>66558.376569600019</v>
      </c>
      <c r="AK70" s="39">
        <f>IF(OR($A70&lt;VARIABLES!$B$7,AND($A70&gt;=VARIABLES!$B$8,$A70&lt;VARIABLES!$B$10)),VARIABLES!$B$13,0)</f>
        <v>0</v>
      </c>
      <c r="AL70" s="40">
        <f t="shared" si="24"/>
        <v>415249.72239733755</v>
      </c>
      <c r="AM70" s="40">
        <f t="shared" si="25"/>
        <v>5891675.2118006134</v>
      </c>
      <c r="AN70" s="41">
        <f t="shared" si="26"/>
        <v>0</v>
      </c>
    </row>
    <row r="71" spans="1:40" x14ac:dyDescent="0.2">
      <c r="A71" s="42">
        <v>68</v>
      </c>
      <c r="B71" s="42" t="str">
        <f>TEXT(DATE(VARIABLES!$B$70+INT((VARIABLES!$B$71+$A71-2)/12),MOD(VARIABLES!$B$71+$A71-2,12)+1,1),"mmm-yy")</f>
        <v>Jan-32</v>
      </c>
      <c r="C71" s="43">
        <f>IF($A71&lt;VARIABLES!$B$7,VARIABLES!$B$5/12,IF($A71&lt;VARIABLES!$B$8,VARIABLES!$B$6/12,IF($A71&lt;VARIABLES!$B$10,VARIABLES!$B$9/12,VARIABLES!$B$11/12)))</f>
        <v>4.1666666666666664E-2</v>
      </c>
      <c r="D71" s="44">
        <f>IF($A71&lt;VARIABLES!$B$31,0,IF($A71=VARIABLES!$B$31,VARIABLES!$B$32+VARIABLES!$B$33,VARIABLES!$B$33))</f>
        <v>200000</v>
      </c>
      <c r="E71" s="44">
        <f>D71*VARIABLES!$B$34</f>
        <v>1500</v>
      </c>
      <c r="F71" s="44">
        <f>IF($A71&lt;VARIABLES!$B$31,0,(IF($A71=VARIABLES!$B$31,0,G70)+D71)*C71*VARIABLES!$B$35)</f>
        <v>63808.395392916165</v>
      </c>
      <c r="G71" s="44">
        <f>IF($A71&lt;VARIABLES!$B$31,0,(IF($A71=VARIABLES!$B$31,0,G70)+D71)*(1+C71)-F71)</f>
        <v>63744586.997523263</v>
      </c>
      <c r="H71" s="44">
        <f>IF($A71&lt;VARIABLES!$B$38,0,IF($A71=VARIABLES!$B$38,VARIABLES!$B$39+VARIABLES!$B$40,VARIABLES!$B$40))</f>
        <v>40000</v>
      </c>
      <c r="I71" s="44">
        <f>H71*VARIABLES!$B$41</f>
        <v>300</v>
      </c>
      <c r="J71" s="44">
        <f>IF($A71&lt;VARIABLES!$B$38,0,(IF($A71=VARIABLES!$B$38,0,K70)+H71)*C71*VARIABLES!$B$42)</f>
        <v>40311.107874777983</v>
      </c>
      <c r="K71" s="44">
        <f>IF($A71&lt;VARIABLES!$B$38,0,(IF($A71=VARIABLES!$B$38,0,K70)+H71)*(1+C71)-J71)</f>
        <v>10037465.86081972</v>
      </c>
      <c r="L71" s="44">
        <f>IF($A71&lt;VARIABLES!$B$45,0,IF($A71=VARIABLES!$B$45,VARIABLES!$B$46+VARIABLES!$B$47,VARIABLES!$B$47))</f>
        <v>0</v>
      </c>
      <c r="M71" s="44">
        <f>L71*VARIABLES!$B$48</f>
        <v>0</v>
      </c>
      <c r="N71" s="44">
        <f>IF($A71&lt;VARIABLES!$B$45,0,(IF($A71=VARIABLES!$B$45,0,O70)+L71)*C71*VARIABLES!$B$49)</f>
        <v>214063.97630870529</v>
      </c>
      <c r="O71" s="44">
        <f>IF($A71&lt;VARIABLES!$B$45,0,(IF($A71=VARIABLES!$B$45,0,O70)+L71)*(1+C71)-N71)</f>
        <v>53301930.100867629</v>
      </c>
      <c r="P71" s="44">
        <f>IF($A71&lt;VARIABLES!$B$52,0,IF($A71=VARIABLES!$B$52,VARIABLES!$B$53+VARIABLES!$B$54,VARIABLES!$B$54))</f>
        <v>20000</v>
      </c>
      <c r="Q71" s="44">
        <f>P71*VARIABLES!$B$55</f>
        <v>150</v>
      </c>
      <c r="R71" s="44">
        <f>IF($A71&lt;VARIABLES!$B$52,0,(IF($A71=VARIABLES!$B$52,0,S70)+P71)*C71*VARIABLES!$B$56)</f>
        <v>5702.1779110038715</v>
      </c>
      <c r="S71" s="44">
        <f>IF($A71&lt;VARIABLES!$B$52,0,(IF($A71=VARIABLES!$B$52,0,S70)+P71)*(1+C71)-R71)</f>
        <v>5696475.7330928678</v>
      </c>
      <c r="T71" s="45">
        <f>IF($A71&lt;VARIABLES!$B$60,0,MIN(VARIABLES!$B$59,INT(($A71-VARIABLES!$B$60)/VARIABLES!$B$61)+1)*VARIABLES!$B$62)</f>
        <v>66</v>
      </c>
      <c r="U71" s="44">
        <f>T71*VARIABLES!$B$64+IF(AND($A71&gt;=VARIABLES!$B$60,MOD($A71-VARIABLES!$B$60,VARIABLES!$B$61)=0,INT(($A71-VARIABLES!$B$60)/VARIABLES!$B$61)&lt;VARIABLES!$B$59),VARIABLES!$B$62*VARIABLES!$B$63,0)</f>
        <v>380000</v>
      </c>
      <c r="V71" s="44">
        <f>U71*VARIABLES!$B$65</f>
        <v>2850</v>
      </c>
      <c r="W71" s="44">
        <f>IF($A71&lt;VARIABLES!$B$60,0,(IF($A71&lt;VARIABLES!$B$60+1,0,X70)+U71)*C71*VARIABLES!$B$66)</f>
        <v>152545.39868236132</v>
      </c>
      <c r="X71" s="44">
        <f>IF($A71&lt;VARIABLES!$B$60,0,(IF($A71&lt;VARIABLES!$B$60+1,0,X70)+U71)*(1+C71)-W71)</f>
        <v>37983804.27190797</v>
      </c>
      <c r="Y71" s="44">
        <f t="shared" si="18"/>
        <v>640000</v>
      </c>
      <c r="Z71" s="44">
        <f t="shared" si="19"/>
        <v>4800</v>
      </c>
      <c r="AA71" s="44">
        <f t="shared" si="20"/>
        <v>476431.0561697646</v>
      </c>
      <c r="AB71" s="44">
        <f>(IF($A71=1,0,AD70)*VARIABLES!$B$18*VARIABLES!$B$16*VARIABLES!$B$17)+(Y71*VARIABLES!$B$16*VARIABLES!$B$17)</f>
        <v>20788.883282445746</v>
      </c>
      <c r="AC71" s="36">
        <f t="shared" si="21"/>
        <v>502019.93945221032</v>
      </c>
      <c r="AD71" s="37">
        <f t="shared" si="22"/>
        <v>170764262.96421146</v>
      </c>
      <c r="AE71" s="44">
        <f>IF($A71=1,VARIABLES!$B$21,0)</f>
        <v>0</v>
      </c>
      <c r="AF71" s="44">
        <f>IF($A71&lt;=3,VARIABLES!$B$22,IF($A71&lt;=6,VARIABLES!$B$23,VARIABLES!$B$24))*(1+VARIABLES!$B$25)^INT(($A71-1)/12)</f>
        <v>61558.376569600019</v>
      </c>
      <c r="AG71" s="44">
        <f>IF(MOD($A71,12)=0,AD71*VARIABLES!$B$26,0)</f>
        <v>0</v>
      </c>
      <c r="AH71" s="44">
        <f>VARIABLES!$B$27</f>
        <v>5000</v>
      </c>
      <c r="AI71" s="44">
        <f>IF(MOD($A71,12)=0,VARIABLES!$B$28,0)</f>
        <v>0</v>
      </c>
      <c r="AJ71" s="38">
        <f t="shared" si="23"/>
        <v>66558.376569600019</v>
      </c>
      <c r="AK71" s="39">
        <f>IF(OR($A71&lt;VARIABLES!$B$7,AND($A71&gt;=VARIABLES!$B$8,$A71&lt;VARIABLES!$B$10)),VARIABLES!$B$13,0)</f>
        <v>0</v>
      </c>
      <c r="AL71" s="46">
        <f t="shared" si="24"/>
        <v>435461.56288261031</v>
      </c>
      <c r="AM71" s="46">
        <f t="shared" si="25"/>
        <v>6327136.774683224</v>
      </c>
      <c r="AN71" s="41">
        <f t="shared" si="26"/>
        <v>0</v>
      </c>
    </row>
    <row r="72" spans="1:40" x14ac:dyDescent="0.2">
      <c r="A72" s="32">
        <v>69</v>
      </c>
      <c r="B72" s="32" t="str">
        <f>TEXT(DATE(VARIABLES!$B$70+INT((VARIABLES!$B$71+$A72-2)/12),MOD(VARIABLES!$B$71+$A72-2,12)+1,1),"mmm-yy")</f>
        <v>Feb-32</v>
      </c>
      <c r="C72" s="33">
        <f>IF($A72&lt;VARIABLES!$B$7,VARIABLES!$B$5/12,IF($A72&lt;VARIABLES!$B$8,VARIABLES!$B$6/12,IF($A72&lt;VARIABLES!$B$10,VARIABLES!$B$9/12,VARIABLES!$B$11/12)))</f>
        <v>4.1666666666666664E-2</v>
      </c>
      <c r="D72" s="34">
        <f>IF($A72&lt;VARIABLES!$B$31,0,IF($A72=VARIABLES!$B$31,VARIABLES!$B$32+VARIABLES!$B$33,VARIABLES!$B$33))</f>
        <v>200000</v>
      </c>
      <c r="E72" s="34">
        <f>D72*VARIABLES!$B$34</f>
        <v>1500</v>
      </c>
      <c r="F72" s="34">
        <f>IF($A72&lt;VARIABLES!$B$31,0,(IF($A72=VARIABLES!$B$31,0,G71)+D72)*C72*VARIABLES!$B$35)</f>
        <v>66608.94478908673</v>
      </c>
      <c r="G72" s="34">
        <f>IF($A72&lt;VARIABLES!$B$31,0,(IF($A72=VARIABLES!$B$31,0,G71)+D72)*(1+C72)-F72)</f>
        <v>66542335.844297647</v>
      </c>
      <c r="H72" s="34">
        <f>IF($A72&lt;VARIABLES!$B$38,0,IF($A72=VARIABLES!$B$38,VARIABLES!$B$39+VARIABLES!$B$40,VARIABLES!$B$40))</f>
        <v>40000</v>
      </c>
      <c r="I72" s="34">
        <f>H72*VARIABLES!$B$41</f>
        <v>300</v>
      </c>
      <c r="J72" s="34">
        <f>IF($A72&lt;VARIABLES!$B$38,0,(IF($A72=VARIABLES!$B$38,0,K71)+H72)*C72*VARIABLES!$B$42)</f>
        <v>41989.441086748833</v>
      </c>
      <c r="K72" s="34">
        <f>IF($A72&lt;VARIABLES!$B$38,0,(IF($A72=VARIABLES!$B$38,0,K71)+H72)*(1+C72)-J72)</f>
        <v>10455370.830600461</v>
      </c>
      <c r="L72" s="34">
        <f>IF($A72&lt;VARIABLES!$B$45,0,IF($A72=VARIABLES!$B$45,VARIABLES!$B$46+VARIABLES!$B$47,VARIABLES!$B$47))</f>
        <v>0</v>
      </c>
      <c r="M72" s="34">
        <f>L72*VARIABLES!$B$48</f>
        <v>0</v>
      </c>
      <c r="N72" s="34">
        <f>IF($A72&lt;VARIABLES!$B$45,0,(IF($A72=VARIABLES!$B$45,0,O71)+L72)*C72*VARIABLES!$B$49)</f>
        <v>222091.37542028178</v>
      </c>
      <c r="O72" s="34">
        <f>IF($A72&lt;VARIABLES!$B$45,0,(IF($A72=VARIABLES!$B$45,0,O71)+L72)*(1+C72)-N72)</f>
        <v>55300752.47965017</v>
      </c>
      <c r="P72" s="34">
        <f>IF($A72&lt;VARIABLES!$B$52,0,IF($A72=VARIABLES!$B$52,VARIABLES!$B$53+VARIABLES!$B$54,VARIABLES!$B$54))</f>
        <v>20000</v>
      </c>
      <c r="Q72" s="34">
        <f>P72*VARIABLES!$B$55</f>
        <v>150</v>
      </c>
      <c r="R72" s="34">
        <f>IF($A72&lt;VARIABLES!$B$52,0,(IF($A72=VARIABLES!$B$52,0,S71)+P72)*C72*VARIABLES!$B$56)</f>
        <v>5954.6622219717374</v>
      </c>
      <c r="S72" s="34">
        <f>IF($A72&lt;VARIABLES!$B$52,0,(IF($A72=VARIABLES!$B$52,0,S71)+P72)*(1+C72)-R72)</f>
        <v>5948707.5597497653</v>
      </c>
      <c r="T72" s="35">
        <f>IF($A72&lt;VARIABLES!$B$60,0,MIN(VARIABLES!$B$59,INT(($A72-VARIABLES!$B$60)/VARIABLES!$B$61)+1)*VARIABLES!$B$62)</f>
        <v>67</v>
      </c>
      <c r="U72" s="34">
        <f>T72*VARIABLES!$B$64+IF(AND($A72&gt;=VARIABLES!$B$60,MOD($A72-VARIABLES!$B$60,VARIABLES!$B$61)=0,INT(($A72-VARIABLES!$B$60)/VARIABLES!$B$61)&lt;VARIABLES!$B$59),VARIABLES!$B$62*VARIABLES!$B$63,0)</f>
        <v>385000</v>
      </c>
      <c r="V72" s="34">
        <f>U72*VARIABLES!$B$65</f>
        <v>2887.5</v>
      </c>
      <c r="W72" s="34">
        <f>IF($A72&lt;VARIABLES!$B$60,0,(IF($A72&lt;VARIABLES!$B$60+1,0,X71)+U72)*C72*VARIABLES!$B$66)</f>
        <v>159870.01779961656</v>
      </c>
      <c r="X72" s="34">
        <f>IF($A72&lt;VARIABLES!$B$60,0,(IF($A72&lt;VARIABLES!$B$60+1,0,X71)+U72)*(1+C72)-W72)</f>
        <v>39807634.43210452</v>
      </c>
      <c r="Y72" s="34">
        <f t="shared" si="18"/>
        <v>645000</v>
      </c>
      <c r="Z72" s="34">
        <f t="shared" si="19"/>
        <v>4837.5</v>
      </c>
      <c r="AA72" s="34">
        <f t="shared" si="20"/>
        <v>496514.44131770561</v>
      </c>
      <c r="AB72" s="34">
        <f>(IF($A72=1,0,AD71)*VARIABLES!$B$18*VARIABLES!$B$16*VARIABLES!$B$17)+(Y72*VARIABLES!$B$16*VARIABLES!$B$17)</f>
        <v>21668.032870526433</v>
      </c>
      <c r="AC72" s="36">
        <f t="shared" si="21"/>
        <v>523019.97418823204</v>
      </c>
      <c r="AD72" s="37">
        <f t="shared" si="22"/>
        <v>178054801.14640257</v>
      </c>
      <c r="AE72" s="34">
        <f>IF($A72=1,VARIABLES!$B$21,0)</f>
        <v>0</v>
      </c>
      <c r="AF72" s="34">
        <f>IF($A72&lt;=3,VARIABLES!$B$22,IF($A72&lt;=6,VARIABLES!$B$23,VARIABLES!$B$24))*(1+VARIABLES!$B$25)^INT(($A72-1)/12)</f>
        <v>61558.376569600019</v>
      </c>
      <c r="AG72" s="34">
        <f>IF(MOD($A72,12)=0,AD72*VARIABLES!$B$26,0)</f>
        <v>0</v>
      </c>
      <c r="AH72" s="34">
        <f>VARIABLES!$B$27</f>
        <v>5000</v>
      </c>
      <c r="AI72" s="34">
        <f>IF(MOD($A72,12)=0,VARIABLES!$B$28,0)</f>
        <v>0</v>
      </c>
      <c r="AJ72" s="38">
        <f t="shared" si="23"/>
        <v>66558.376569600019</v>
      </c>
      <c r="AK72" s="39">
        <f>IF(OR($A72&lt;VARIABLES!$B$7,AND($A72&gt;=VARIABLES!$B$8,$A72&lt;VARIABLES!$B$10)),VARIABLES!$B$13,0)</f>
        <v>0</v>
      </c>
      <c r="AL72" s="40">
        <f t="shared" si="24"/>
        <v>456461.59761863202</v>
      </c>
      <c r="AM72" s="40">
        <f t="shared" si="25"/>
        <v>6783598.3723018561</v>
      </c>
      <c r="AN72" s="41">
        <f t="shared" si="26"/>
        <v>0</v>
      </c>
    </row>
    <row r="73" spans="1:40" x14ac:dyDescent="0.2">
      <c r="A73" s="42">
        <v>70</v>
      </c>
      <c r="B73" s="42" t="str">
        <f>TEXT(DATE(VARIABLES!$B$70+INT((VARIABLES!$B$71+$A73-2)/12),MOD(VARIABLES!$B$71+$A73-2,12)+1,1),"mmm-yy")</f>
        <v>Mar-32</v>
      </c>
      <c r="C73" s="43">
        <f>IF($A73&lt;VARIABLES!$B$7,VARIABLES!$B$5/12,IF($A73&lt;VARIABLES!$B$8,VARIABLES!$B$6/12,IF($A73&lt;VARIABLES!$B$10,VARIABLES!$B$9/12,VARIABLES!$B$11/12)))</f>
        <v>4.1666666666666664E-2</v>
      </c>
      <c r="D73" s="44">
        <f>IF($A73&lt;VARIABLES!$B$31,0,IF($A73=VARIABLES!$B$31,VARIABLES!$B$32+VARIABLES!$B$33,VARIABLES!$B$33))</f>
        <v>200000</v>
      </c>
      <c r="E73" s="44">
        <f>D73*VARIABLES!$B$34</f>
        <v>1500</v>
      </c>
      <c r="F73" s="44">
        <f>IF($A73&lt;VARIABLES!$B$31,0,(IF($A73=VARIABLES!$B$31,0,G72)+D73)*C73*VARIABLES!$B$35)</f>
        <v>69523.266504476705</v>
      </c>
      <c r="G73" s="44">
        <f>IF($A73&lt;VARIABLES!$B$31,0,(IF($A73=VARIABLES!$B$31,0,G72)+D73)*(1+C73)-F73)</f>
        <v>69453743.237972245</v>
      </c>
      <c r="H73" s="44">
        <f>IF($A73&lt;VARIABLES!$B$38,0,IF($A73=VARIABLES!$B$38,VARIABLES!$B$39+VARIABLES!$B$40,VARIABLES!$B$40))</f>
        <v>40000</v>
      </c>
      <c r="I73" s="44">
        <f>H73*VARIABLES!$B$41</f>
        <v>300</v>
      </c>
      <c r="J73" s="44">
        <f>IF($A73&lt;VARIABLES!$B$38,0,(IF($A73=VARIABLES!$B$38,0,K72)+H73)*C73*VARIABLES!$B$42)</f>
        <v>43730.711794168586</v>
      </c>
      <c r="K73" s="44">
        <f>IF($A73&lt;VARIABLES!$B$38,0,(IF($A73=VARIABLES!$B$38,0,K72)+H73)*(1+C73)-J73)</f>
        <v>10888947.23674798</v>
      </c>
      <c r="L73" s="44">
        <f>IF($A73&lt;VARIABLES!$B$45,0,IF($A73=VARIABLES!$B$45,VARIABLES!$B$46+VARIABLES!$B$47,VARIABLES!$B$47))</f>
        <v>0</v>
      </c>
      <c r="M73" s="44">
        <f>L73*VARIABLES!$B$48</f>
        <v>0</v>
      </c>
      <c r="N73" s="44">
        <f>IF($A73&lt;VARIABLES!$B$45,0,(IF($A73=VARIABLES!$B$45,0,O72)+L73)*C73*VARIABLES!$B$49)</f>
        <v>230419.80199854236</v>
      </c>
      <c r="O73" s="44">
        <f>IF($A73&lt;VARIABLES!$B$45,0,(IF($A73=VARIABLES!$B$45,0,O72)+L73)*(1+C73)-N73)</f>
        <v>57374530.697637059</v>
      </c>
      <c r="P73" s="44">
        <f>IF($A73&lt;VARIABLES!$B$52,0,IF($A73=VARIABLES!$B$52,VARIABLES!$B$53+VARIABLES!$B$54,VARIABLES!$B$54))</f>
        <v>20000</v>
      </c>
      <c r="Q73" s="44">
        <f>P73*VARIABLES!$B$55</f>
        <v>150</v>
      </c>
      <c r="R73" s="44">
        <f>IF($A73&lt;VARIABLES!$B$52,0,(IF($A73=VARIABLES!$B$52,0,S72)+P73)*C73*VARIABLES!$B$56)</f>
        <v>6217.4037080726721</v>
      </c>
      <c r="S73" s="44">
        <f>IF($A73&lt;VARIABLES!$B$52,0,(IF($A73=VARIABLES!$B$52,0,S72)+P73)*(1+C73)-R73)</f>
        <v>6211186.3043646002</v>
      </c>
      <c r="T73" s="45">
        <f>IF($A73&lt;VARIABLES!$B$60,0,MIN(VARIABLES!$B$59,INT(($A73-VARIABLES!$B$60)/VARIABLES!$B$61)+1)*VARIABLES!$B$62)</f>
        <v>68</v>
      </c>
      <c r="U73" s="44">
        <f>T73*VARIABLES!$B$64+IF(AND($A73&gt;=VARIABLES!$B$60,MOD($A73-VARIABLES!$B$60,VARIABLES!$B$61)=0,INT(($A73-VARIABLES!$B$60)/VARIABLES!$B$61)&lt;VARIABLES!$B$59),VARIABLES!$B$62*VARIABLES!$B$63,0)</f>
        <v>390000</v>
      </c>
      <c r="V73" s="44">
        <f>U73*VARIABLES!$B$65</f>
        <v>2925</v>
      </c>
      <c r="W73" s="44">
        <f>IF($A73&lt;VARIABLES!$B$60,0,(IF($A73&lt;VARIABLES!$B$60+1,0,X72)+U73)*C73*VARIABLES!$B$66)</f>
        <v>167490.14346710217</v>
      </c>
      <c r="X73" s="44">
        <f>IF($A73&lt;VARIABLES!$B$60,0,(IF($A73&lt;VARIABLES!$B$60+1,0,X72)+U73)*(1+C73)-W73)</f>
        <v>41705045.723308444</v>
      </c>
      <c r="Y73" s="44">
        <f t="shared" si="18"/>
        <v>650000</v>
      </c>
      <c r="Z73" s="44">
        <f t="shared" si="19"/>
        <v>4875</v>
      </c>
      <c r="AA73" s="44">
        <f t="shared" si="20"/>
        <v>517381.32747236243</v>
      </c>
      <c r="AB73" s="44">
        <f>(IF($A73=1,0,AD72)*VARIABLES!$B$18*VARIABLES!$B$16*VARIABLES!$B$17)+(Y73*VARIABLES!$B$16*VARIABLES!$B$17)</f>
        <v>22581.850143300322</v>
      </c>
      <c r="AC73" s="36">
        <f t="shared" si="21"/>
        <v>544838.1776156628</v>
      </c>
      <c r="AD73" s="37">
        <f t="shared" si="22"/>
        <v>185633453.20003033</v>
      </c>
      <c r="AE73" s="44">
        <f>IF($A73=1,VARIABLES!$B$21,0)</f>
        <v>0</v>
      </c>
      <c r="AF73" s="44">
        <f>IF($A73&lt;=3,VARIABLES!$B$22,IF($A73&lt;=6,VARIABLES!$B$23,VARIABLES!$B$24))*(1+VARIABLES!$B$25)^INT(($A73-1)/12)</f>
        <v>61558.376569600019</v>
      </c>
      <c r="AG73" s="44">
        <f>IF(MOD($A73,12)=0,AD73*VARIABLES!$B$26,0)</f>
        <v>0</v>
      </c>
      <c r="AH73" s="44">
        <f>VARIABLES!$B$27</f>
        <v>5000</v>
      </c>
      <c r="AI73" s="44">
        <f>IF(MOD($A73,12)=0,VARIABLES!$B$28,0)</f>
        <v>0</v>
      </c>
      <c r="AJ73" s="38">
        <f t="shared" si="23"/>
        <v>66558.376569600019</v>
      </c>
      <c r="AK73" s="39">
        <f>IF(OR($A73&lt;VARIABLES!$B$7,AND($A73&gt;=VARIABLES!$B$8,$A73&lt;VARIABLES!$B$10)),VARIABLES!$B$13,0)</f>
        <v>0</v>
      </c>
      <c r="AL73" s="46">
        <f t="shared" si="24"/>
        <v>478279.80104606278</v>
      </c>
      <c r="AM73" s="46">
        <f t="shared" si="25"/>
        <v>7261878.1733479192</v>
      </c>
      <c r="AN73" s="41">
        <f t="shared" si="26"/>
        <v>0</v>
      </c>
    </row>
    <row r="74" spans="1:40" x14ac:dyDescent="0.2">
      <c r="A74" s="32">
        <v>71</v>
      </c>
      <c r="B74" s="32" t="str">
        <f>TEXT(DATE(VARIABLES!$B$70+INT((VARIABLES!$B$71+$A74-2)/12),MOD(VARIABLES!$B$71+$A74-2,12)+1,1),"mmm-yy")</f>
        <v>Apr-32</v>
      </c>
      <c r="C74" s="33">
        <f>IF($A74&lt;VARIABLES!$B$7,VARIABLES!$B$5/12,IF($A74&lt;VARIABLES!$B$8,VARIABLES!$B$6/12,IF($A74&lt;VARIABLES!$B$10,VARIABLES!$B$9/12,VARIABLES!$B$11/12)))</f>
        <v>4.1666666666666664E-2</v>
      </c>
      <c r="D74" s="34">
        <f>IF($A74&lt;VARIABLES!$B$31,0,IF($A74=VARIABLES!$B$31,VARIABLES!$B$32+VARIABLES!$B$33,VARIABLES!$B$33))</f>
        <v>200000</v>
      </c>
      <c r="E74" s="34">
        <f>D74*VARIABLES!$B$34</f>
        <v>1500</v>
      </c>
      <c r="F74" s="34">
        <f>IF($A74&lt;VARIABLES!$B$31,0,(IF($A74=VARIABLES!$B$31,0,G73)+D74)*C74*VARIABLES!$B$35)</f>
        <v>72555.982539554418</v>
      </c>
      <c r="G74" s="34">
        <f>IF($A74&lt;VARIABLES!$B$31,0,(IF($A74=VARIABLES!$B$31,0,G73)+D74)*(1+C74)-F74)</f>
        <v>72483426.557014883</v>
      </c>
      <c r="H74" s="34">
        <f>IF($A74&lt;VARIABLES!$B$38,0,IF($A74=VARIABLES!$B$38,VARIABLES!$B$39+VARIABLES!$B$40,VARIABLES!$B$40))</f>
        <v>40000</v>
      </c>
      <c r="I74" s="34">
        <f>H74*VARIABLES!$B$41</f>
        <v>300</v>
      </c>
      <c r="J74" s="34">
        <f>IF($A74&lt;VARIABLES!$B$38,0,(IF($A74=VARIABLES!$B$38,0,K73)+H74)*C74*VARIABLES!$B$42)</f>
        <v>45537.28015311659</v>
      </c>
      <c r="K74" s="34">
        <f>IF($A74&lt;VARIABLES!$B$38,0,(IF($A74=VARIABLES!$B$38,0,K73)+H74)*(1+C74)-J74)</f>
        <v>11338782.75812603</v>
      </c>
      <c r="L74" s="34">
        <f>IF($A74&lt;VARIABLES!$B$45,0,IF($A74=VARIABLES!$B$45,VARIABLES!$B$46+VARIABLES!$B$47,VARIABLES!$B$47))</f>
        <v>0</v>
      </c>
      <c r="M74" s="34">
        <f>L74*VARIABLES!$B$48</f>
        <v>0</v>
      </c>
      <c r="N74" s="34">
        <f>IF($A74&lt;VARIABLES!$B$45,0,(IF($A74=VARIABLES!$B$45,0,O73)+L74)*C74*VARIABLES!$B$49)</f>
        <v>239060.54457348771</v>
      </c>
      <c r="O74" s="34">
        <f>IF($A74&lt;VARIABLES!$B$45,0,(IF($A74=VARIABLES!$B$45,0,O73)+L74)*(1+C74)-N74)</f>
        <v>59526075.598798454</v>
      </c>
      <c r="P74" s="34">
        <f>IF($A74&lt;VARIABLES!$B$52,0,IF($A74=VARIABLES!$B$52,VARIABLES!$B$53+VARIABLES!$B$54,VARIABLES!$B$54))</f>
        <v>20000</v>
      </c>
      <c r="Q74" s="34">
        <f>P74*VARIABLES!$B$55</f>
        <v>150</v>
      </c>
      <c r="R74" s="34">
        <f>IF($A74&lt;VARIABLES!$B$52,0,(IF($A74=VARIABLES!$B$52,0,S73)+P74)*C74*VARIABLES!$B$56)</f>
        <v>6490.8190670464583</v>
      </c>
      <c r="S74" s="34">
        <f>IF($A74&lt;VARIABLES!$B$52,0,(IF($A74=VARIABLES!$B$52,0,S73)+P74)*(1+C74)-R74)</f>
        <v>6484328.2479794128</v>
      </c>
      <c r="T74" s="35">
        <f>IF($A74&lt;VARIABLES!$B$60,0,MIN(VARIABLES!$B$59,INT(($A74-VARIABLES!$B$60)/VARIABLES!$B$61)+1)*VARIABLES!$B$62)</f>
        <v>69</v>
      </c>
      <c r="U74" s="34">
        <f>T74*VARIABLES!$B$64+IF(AND($A74&gt;=VARIABLES!$B$60,MOD($A74-VARIABLES!$B$60,VARIABLES!$B$61)=0,INT(($A74-VARIABLES!$B$60)/VARIABLES!$B$61)&lt;VARIABLES!$B$59),VARIABLES!$B$62*VARIABLES!$B$63,0)</f>
        <v>395000</v>
      </c>
      <c r="V74" s="34">
        <f>U74*VARIABLES!$B$65</f>
        <v>2962.5</v>
      </c>
      <c r="W74" s="34">
        <f>IF($A74&lt;VARIABLES!$B$60,0,(IF($A74&lt;VARIABLES!$B$60+1,0,X73)+U74)*C74*VARIABLES!$B$66)</f>
        <v>175416.85718045186</v>
      </c>
      <c r="X74" s="34">
        <f>IF($A74&lt;VARIABLES!$B$60,0,(IF($A74&lt;VARIABLES!$B$60+1,0,X73)+U74)*(1+C74)-W74)</f>
        <v>43678797.437932514</v>
      </c>
      <c r="Y74" s="34">
        <f t="shared" si="18"/>
        <v>655000</v>
      </c>
      <c r="Z74" s="34">
        <f t="shared" si="19"/>
        <v>4912.5</v>
      </c>
      <c r="AA74" s="34">
        <f t="shared" si="20"/>
        <v>539061.483513657</v>
      </c>
      <c r="AB74" s="34">
        <f>(IF($A74=1,0,AD73)*VARIABLES!$B$18*VARIABLES!$B$16*VARIABLES!$B$17)+(Y74*VARIABLES!$B$16*VARIABLES!$B$17)</f>
        <v>23531.681650003793</v>
      </c>
      <c r="AC74" s="36">
        <f t="shared" si="21"/>
        <v>567505.66516366077</v>
      </c>
      <c r="AD74" s="37">
        <f t="shared" si="22"/>
        <v>193511410.59985128</v>
      </c>
      <c r="AE74" s="34">
        <f>IF($A74=1,VARIABLES!$B$21,0)</f>
        <v>0</v>
      </c>
      <c r="AF74" s="34">
        <f>IF($A74&lt;=3,VARIABLES!$B$22,IF($A74&lt;=6,VARIABLES!$B$23,VARIABLES!$B$24))*(1+VARIABLES!$B$25)^INT(($A74-1)/12)</f>
        <v>61558.376569600019</v>
      </c>
      <c r="AG74" s="34">
        <f>IF(MOD($A74,12)=0,AD74*VARIABLES!$B$26,0)</f>
        <v>0</v>
      </c>
      <c r="AH74" s="34">
        <f>VARIABLES!$B$27</f>
        <v>5000</v>
      </c>
      <c r="AI74" s="34">
        <f>IF(MOD($A74,12)=0,VARIABLES!$B$28,0)</f>
        <v>0</v>
      </c>
      <c r="AJ74" s="38">
        <f t="shared" si="23"/>
        <v>66558.376569600019</v>
      </c>
      <c r="AK74" s="39">
        <f>IF(OR($A74&lt;VARIABLES!$B$7,AND($A74&gt;=VARIABLES!$B$8,$A74&lt;VARIABLES!$B$10)),VARIABLES!$B$13,0)</f>
        <v>0</v>
      </c>
      <c r="AL74" s="40">
        <f t="shared" si="24"/>
        <v>500947.28859406075</v>
      </c>
      <c r="AM74" s="40">
        <f t="shared" si="25"/>
        <v>7762825.4619419798</v>
      </c>
      <c r="AN74" s="41">
        <f t="shared" si="26"/>
        <v>0</v>
      </c>
    </row>
    <row r="75" spans="1:40" x14ac:dyDescent="0.2">
      <c r="A75" s="42">
        <v>72</v>
      </c>
      <c r="B75" s="42" t="str">
        <f>TEXT(DATE(VARIABLES!$B$70+INT((VARIABLES!$B$71+$A75-2)/12),MOD(VARIABLES!$B$71+$A75-2,12)+1,1),"mmm-yy")</f>
        <v>May-32</v>
      </c>
      <c r="C75" s="43">
        <f>IF($A75&lt;VARIABLES!$B$7,VARIABLES!$B$5/12,IF($A75&lt;VARIABLES!$B$8,VARIABLES!$B$6/12,IF($A75&lt;VARIABLES!$B$10,VARIABLES!$B$9/12,VARIABLES!$B$11/12)))</f>
        <v>4.1666666666666664E-2</v>
      </c>
      <c r="D75" s="44">
        <f>IF($A75&lt;VARIABLES!$B$31,0,IF($A75=VARIABLES!$B$31,VARIABLES!$B$32+VARIABLES!$B$33,VARIABLES!$B$33))</f>
        <v>200000</v>
      </c>
      <c r="E75" s="44">
        <f>D75*VARIABLES!$B$34</f>
        <v>1500</v>
      </c>
      <c r="F75" s="44">
        <f>IF($A75&lt;VARIABLES!$B$31,0,(IF($A75=VARIABLES!$B$31,0,G74)+D75)*C75*VARIABLES!$B$35)</f>
        <v>75711.902663557164</v>
      </c>
      <c r="G75" s="44">
        <f>IF($A75&lt;VARIABLES!$B$31,0,(IF($A75=VARIABLES!$B$31,0,G74)+D75)*(1+C75)-F75)</f>
        <v>75636190.760893613</v>
      </c>
      <c r="H75" s="44">
        <f>IF($A75&lt;VARIABLES!$B$38,0,IF($A75=VARIABLES!$B$38,VARIABLES!$B$39+VARIABLES!$B$40,VARIABLES!$B$40))</f>
        <v>40000</v>
      </c>
      <c r="I75" s="44">
        <f>H75*VARIABLES!$B$41</f>
        <v>300</v>
      </c>
      <c r="J75" s="44">
        <f>IF($A75&lt;VARIABLES!$B$38,0,(IF($A75=VARIABLES!$B$38,0,K74)+H75)*C75*VARIABLES!$B$42)</f>
        <v>47411.594825525128</v>
      </c>
      <c r="K75" s="44">
        <f>IF($A75&lt;VARIABLES!$B$38,0,(IF($A75=VARIABLES!$B$38,0,K74)+H75)*(1+C75)-J75)</f>
        <v>11805487.111555757</v>
      </c>
      <c r="L75" s="44">
        <f>IF($A75&lt;VARIABLES!$B$45,0,IF($A75=VARIABLES!$B$45,VARIABLES!$B$46+VARIABLES!$B$47,VARIABLES!$B$47))</f>
        <v>0</v>
      </c>
      <c r="M75" s="44">
        <f>L75*VARIABLES!$B$48</f>
        <v>0</v>
      </c>
      <c r="N75" s="44">
        <f>IF($A75&lt;VARIABLES!$B$45,0,(IF($A75=VARIABLES!$B$45,0,O74)+L75)*C75*VARIABLES!$B$49)</f>
        <v>248025.31499499353</v>
      </c>
      <c r="O75" s="44">
        <f>IF($A75&lt;VARIABLES!$B$45,0,(IF($A75=VARIABLES!$B$45,0,O74)+L75)*(1+C75)-N75)</f>
        <v>61758303.433753401</v>
      </c>
      <c r="P75" s="44">
        <f>IF($A75&lt;VARIABLES!$B$52,0,IF($A75=VARIABLES!$B$52,VARIABLES!$B$53+VARIABLES!$B$54,VARIABLES!$B$54))</f>
        <v>20000</v>
      </c>
      <c r="Q75" s="44">
        <f>P75*VARIABLES!$B$55</f>
        <v>150</v>
      </c>
      <c r="R75" s="44">
        <f>IF($A75&lt;VARIABLES!$B$52,0,(IF($A75=VARIABLES!$B$52,0,S74)+P75)*C75*VARIABLES!$B$56)</f>
        <v>6775.3419249785547</v>
      </c>
      <c r="S75" s="44">
        <f>IF($A75&lt;VARIABLES!$B$52,0,(IF($A75=VARIABLES!$B$52,0,S74)+P75)*(1+C75)-R75)</f>
        <v>6768566.5830535768</v>
      </c>
      <c r="T75" s="45">
        <f>IF($A75&lt;VARIABLES!$B$60,0,MIN(VARIABLES!$B$59,INT(($A75-VARIABLES!$B$60)/VARIABLES!$B$61)+1)*VARIABLES!$B$62)</f>
        <v>70</v>
      </c>
      <c r="U75" s="44">
        <f>T75*VARIABLES!$B$64+IF(AND($A75&gt;=VARIABLES!$B$60,MOD($A75-VARIABLES!$B$60,VARIABLES!$B$61)=0,INT(($A75-VARIABLES!$B$60)/VARIABLES!$B$61)&lt;VARIABLES!$B$59),VARIABLES!$B$62*VARIABLES!$B$63,0)</f>
        <v>400000</v>
      </c>
      <c r="V75" s="44">
        <f>U75*VARIABLES!$B$65</f>
        <v>3000</v>
      </c>
      <c r="W75" s="44">
        <f>IF($A75&lt;VARIABLES!$B$60,0,(IF($A75&lt;VARIABLES!$B$60+1,0,X74)+U75)*C75*VARIABLES!$B$66)</f>
        <v>183661.65599138546</v>
      </c>
      <c r="X75" s="44">
        <f>IF($A75&lt;VARIABLES!$B$60,0,(IF($A75&lt;VARIABLES!$B$60+1,0,X74)+U75)*(1+C75)-W75)</f>
        <v>45731752.34185499</v>
      </c>
      <c r="Y75" s="44">
        <f t="shared" si="18"/>
        <v>660000</v>
      </c>
      <c r="Z75" s="44">
        <f t="shared" si="19"/>
        <v>4950</v>
      </c>
      <c r="AA75" s="44">
        <f t="shared" si="20"/>
        <v>561585.81040043989</v>
      </c>
      <c r="AB75" s="44">
        <f>(IF($A75=1,0,AD74)*VARIABLES!$B$18*VARIABLES!$B$16*VARIABLES!$B$17)+(Y75*VARIABLES!$B$16*VARIABLES!$B$17)</f>
        <v>24518.92632498141</v>
      </c>
      <c r="AC75" s="36">
        <f t="shared" si="21"/>
        <v>591054.73672542127</v>
      </c>
      <c r="AD75" s="37">
        <f t="shared" si="22"/>
        <v>201700300.23111135</v>
      </c>
      <c r="AE75" s="44">
        <f>IF($A75=1,VARIABLES!$B$21,0)</f>
        <v>0</v>
      </c>
      <c r="AF75" s="44">
        <f>IF($A75&lt;=3,VARIABLES!$B$22,IF($A75&lt;=6,VARIABLES!$B$23,VARIABLES!$B$24))*(1+VARIABLES!$B$25)^INT(($A75-1)/12)</f>
        <v>61558.376569600019</v>
      </c>
      <c r="AG75" s="44">
        <f>IF(MOD($A75,12)=0,AD75*VARIABLES!$B$26,0)</f>
        <v>504250.75057777838</v>
      </c>
      <c r="AH75" s="44">
        <f>VARIABLES!$B$27</f>
        <v>5000</v>
      </c>
      <c r="AI75" s="44">
        <f>IF(MOD($A75,12)=0,VARIABLES!$B$28,0)</f>
        <v>3000</v>
      </c>
      <c r="AJ75" s="38">
        <f t="shared" si="23"/>
        <v>573809.1271473784</v>
      </c>
      <c r="AK75" s="39">
        <f>IF(OR($A75&lt;VARIABLES!$B$7,AND($A75&gt;=VARIABLES!$B$8,$A75&lt;VARIABLES!$B$10)),VARIABLES!$B$13,0)</f>
        <v>0</v>
      </c>
      <c r="AL75" s="46">
        <f t="shared" si="24"/>
        <v>17245.609578042873</v>
      </c>
      <c r="AM75" s="46">
        <f t="shared" si="25"/>
        <v>7780071.071520023</v>
      </c>
      <c r="AN75" s="41">
        <f t="shared" si="26"/>
        <v>0</v>
      </c>
    </row>
    <row r="76" spans="1:40" x14ac:dyDescent="0.2">
      <c r="A76" s="32">
        <v>73</v>
      </c>
      <c r="B76" s="32" t="str">
        <f>TEXT(DATE(VARIABLES!$B$70+INT((VARIABLES!$B$71+$A76-2)/12),MOD(VARIABLES!$B$71+$A76-2,12)+1,1),"mmm-yy")</f>
        <v>Jun-32</v>
      </c>
      <c r="C76" s="33">
        <f>IF($A76&lt;VARIABLES!$B$7,VARIABLES!$B$5/12,IF($A76&lt;VARIABLES!$B$8,VARIABLES!$B$6/12,IF($A76&lt;VARIABLES!$B$10,VARIABLES!$B$9/12,VARIABLES!$B$11/12)))</f>
        <v>4.1666666666666664E-2</v>
      </c>
      <c r="D76" s="34">
        <f>IF($A76&lt;VARIABLES!$B$31,0,IF($A76=VARIABLES!$B$31,VARIABLES!$B$32+VARIABLES!$B$33,VARIABLES!$B$33))</f>
        <v>200000</v>
      </c>
      <c r="E76" s="34">
        <f>D76*VARIABLES!$B$34</f>
        <v>1500</v>
      </c>
      <c r="F76" s="34">
        <f>IF($A76&lt;VARIABLES!$B$31,0,(IF($A76=VARIABLES!$B$31,0,G75)+D76)*C76*VARIABLES!$B$35)</f>
        <v>78996.032042597522</v>
      </c>
      <c r="G76" s="34">
        <f>IF($A76&lt;VARIABLES!$B$31,0,(IF($A76=VARIABLES!$B$31,0,G75)+D76)*(1+C76)-F76)</f>
        <v>78917036.010554925</v>
      </c>
      <c r="H76" s="34">
        <f>IF($A76&lt;VARIABLES!$B$38,0,IF($A76=VARIABLES!$B$38,VARIABLES!$B$39+VARIABLES!$B$40,VARIABLES!$B$40))</f>
        <v>40000</v>
      </c>
      <c r="I76" s="34">
        <f>H76*VARIABLES!$B$41</f>
        <v>300</v>
      </c>
      <c r="J76" s="34">
        <f>IF($A76&lt;VARIABLES!$B$38,0,(IF($A76=VARIABLES!$B$38,0,K75)+H76)*C76*VARIABLES!$B$42)</f>
        <v>49356.196298148985</v>
      </c>
      <c r="K76" s="34">
        <f>IF($A76&lt;VARIABLES!$B$38,0,(IF($A76=VARIABLES!$B$38,0,K75)+H76)*(1+C76)-J76)</f>
        <v>12289692.878239099</v>
      </c>
      <c r="L76" s="34">
        <f>IF($A76&lt;VARIABLES!$B$45,0,IF($A76=VARIABLES!$B$45,VARIABLES!$B$46+VARIABLES!$B$47,VARIABLES!$B$47))</f>
        <v>0</v>
      </c>
      <c r="M76" s="34">
        <f>L76*VARIABLES!$B$48</f>
        <v>0</v>
      </c>
      <c r="N76" s="34">
        <f>IF($A76&lt;VARIABLES!$B$45,0,(IF($A76=VARIABLES!$B$45,0,O75)+L76)*C76*VARIABLES!$B$49)</f>
        <v>257326.26430730583</v>
      </c>
      <c r="O76" s="34">
        <f>IF($A76&lt;VARIABLES!$B$45,0,(IF($A76=VARIABLES!$B$45,0,O75)+L76)*(1+C76)-N76)</f>
        <v>64074239.812519155</v>
      </c>
      <c r="P76" s="34">
        <f>IF($A76&lt;VARIABLES!$B$52,0,IF($A76=VARIABLES!$B$52,VARIABLES!$B$53+VARIABLES!$B$54,VARIABLES!$B$54))</f>
        <v>20000</v>
      </c>
      <c r="Q76" s="34">
        <f>P76*VARIABLES!$B$55</f>
        <v>150</v>
      </c>
      <c r="R76" s="34">
        <f>IF($A76&lt;VARIABLES!$B$52,0,(IF($A76=VARIABLES!$B$52,0,S75)+P76)*C76*VARIABLES!$B$56)</f>
        <v>7071.4235240141425</v>
      </c>
      <c r="S76" s="34">
        <f>IF($A76&lt;VARIABLES!$B$52,0,(IF($A76=VARIABLES!$B$52,0,S75)+P76)*(1+C76)-R76)</f>
        <v>7064352.1004901296</v>
      </c>
      <c r="T76" s="35">
        <f>IF($A76&lt;VARIABLES!$B$60,0,MIN(VARIABLES!$B$59,INT(($A76-VARIABLES!$B$60)/VARIABLES!$B$61)+1)*VARIABLES!$B$62)</f>
        <v>71</v>
      </c>
      <c r="U76" s="34">
        <f>T76*VARIABLES!$B$64+IF(AND($A76&gt;=VARIABLES!$B$60,MOD($A76-VARIABLES!$B$60,VARIABLES!$B$61)=0,INT(($A76-VARIABLES!$B$60)/VARIABLES!$B$61)&lt;VARIABLES!$B$59),VARIABLES!$B$62*VARIABLES!$B$63,0)</f>
        <v>405000</v>
      </c>
      <c r="V76" s="34">
        <f>U76*VARIABLES!$B$65</f>
        <v>3037.5</v>
      </c>
      <c r="W76" s="34">
        <f>IF($A76&lt;VARIABLES!$B$60,0,(IF($A76&lt;VARIABLES!$B$60+1,0,X75)+U76)*C76*VARIABLES!$B$66)</f>
        <v>192236.46809106247</v>
      </c>
      <c r="X76" s="34">
        <f>IF($A76&lt;VARIABLES!$B$60,0,(IF($A76&lt;VARIABLES!$B$60+1,0,X75)+U76)*(1+C76)-W76)</f>
        <v>47866880.554674551</v>
      </c>
      <c r="Y76" s="34">
        <f t="shared" si="18"/>
        <v>665000</v>
      </c>
      <c r="Z76" s="34">
        <f t="shared" si="19"/>
        <v>4987.5</v>
      </c>
      <c r="AA76" s="34">
        <f t="shared" si="20"/>
        <v>584986.38426312897</v>
      </c>
      <c r="AB76" s="34">
        <f>(IF($A76=1,0,AD75)*VARIABLES!$B$18*VARIABLES!$B$16*VARIABLES!$B$17)+(Y76*VARIABLES!$B$16*VARIABLES!$B$17)</f>
        <v>25545.037528888919</v>
      </c>
      <c r="AC76" s="36">
        <f t="shared" si="21"/>
        <v>615518.92179201788</v>
      </c>
      <c r="AD76" s="37">
        <f t="shared" si="22"/>
        <v>210212201.35647786</v>
      </c>
      <c r="AE76" s="34">
        <f>IF($A76=1,VARIABLES!$B$21,0)</f>
        <v>0</v>
      </c>
      <c r="AF76" s="34">
        <f>IF($A76&lt;=3,VARIABLES!$B$22,IF($A76&lt;=6,VARIABLES!$B$23,VARIABLES!$B$24))*(1+VARIABLES!$B$25)^INT(($A76-1)/12)</f>
        <v>65251.87916377603</v>
      </c>
      <c r="AG76" s="34">
        <f>IF(MOD($A76,12)=0,AD76*VARIABLES!$B$26,0)</f>
        <v>0</v>
      </c>
      <c r="AH76" s="34">
        <f>VARIABLES!$B$27</f>
        <v>5000</v>
      </c>
      <c r="AI76" s="34">
        <f>IF(MOD($A76,12)=0,VARIABLES!$B$28,0)</f>
        <v>0</v>
      </c>
      <c r="AJ76" s="38">
        <f t="shared" si="23"/>
        <v>70251.87916377603</v>
      </c>
      <c r="AK76" s="39">
        <f>IF(OR($A76&lt;VARIABLES!$B$7,AND($A76&gt;=VARIABLES!$B$8,$A76&lt;VARIABLES!$B$10)),VARIABLES!$B$13,0)</f>
        <v>0</v>
      </c>
      <c r="AL76" s="40">
        <f t="shared" si="24"/>
        <v>545267.04262824182</v>
      </c>
      <c r="AM76" s="40">
        <f t="shared" si="25"/>
        <v>8325338.1141482648</v>
      </c>
      <c r="AN76" s="41">
        <f t="shared" si="26"/>
        <v>0</v>
      </c>
    </row>
    <row r="77" spans="1:40" x14ac:dyDescent="0.2">
      <c r="A77" s="42">
        <v>74</v>
      </c>
      <c r="B77" s="42" t="str">
        <f>TEXT(DATE(VARIABLES!$B$70+INT((VARIABLES!$B$71+$A77-2)/12),MOD(VARIABLES!$B$71+$A77-2,12)+1,1),"mmm-yy")</f>
        <v>Jul-32</v>
      </c>
      <c r="C77" s="43">
        <f>IF($A77&lt;VARIABLES!$B$7,VARIABLES!$B$5/12,IF($A77&lt;VARIABLES!$B$8,VARIABLES!$B$6/12,IF($A77&lt;VARIABLES!$B$10,VARIABLES!$B$9/12,VARIABLES!$B$11/12)))</f>
        <v>4.1666666666666664E-2</v>
      </c>
      <c r="D77" s="44">
        <f>IF($A77&lt;VARIABLES!$B$31,0,IF($A77=VARIABLES!$B$31,VARIABLES!$B$32+VARIABLES!$B$33,VARIABLES!$B$33))</f>
        <v>200000</v>
      </c>
      <c r="E77" s="44">
        <f>D77*VARIABLES!$B$34</f>
        <v>1500</v>
      </c>
      <c r="F77" s="44">
        <f>IF($A77&lt;VARIABLES!$B$31,0,(IF($A77=VARIABLES!$B$31,0,G76)+D77)*C77*VARIABLES!$B$35)</f>
        <v>82413.579177661391</v>
      </c>
      <c r="G77" s="44">
        <f>IF($A77&lt;VARIABLES!$B$31,0,(IF($A77=VARIABLES!$B$31,0,G76)+D77)*(1+C77)-F77)</f>
        <v>82331165.598483726</v>
      </c>
      <c r="H77" s="44">
        <f>IF($A77&lt;VARIABLES!$B$38,0,IF($A77=VARIABLES!$B$38,VARIABLES!$B$39+VARIABLES!$B$40,VARIABLES!$B$40))</f>
        <v>40000</v>
      </c>
      <c r="I77" s="44">
        <f>H77*VARIABLES!$B$41</f>
        <v>300</v>
      </c>
      <c r="J77" s="44">
        <f>IF($A77&lt;VARIABLES!$B$38,0,(IF($A77=VARIABLES!$B$38,0,K76)+H77)*C77*VARIABLES!$B$42)</f>
        <v>51373.720325996248</v>
      </c>
      <c r="K77" s="44">
        <f>IF($A77&lt;VARIABLES!$B$38,0,(IF($A77=VARIABLES!$B$38,0,K76)+H77)*(1+C77)-J77)</f>
        <v>12792056.361173065</v>
      </c>
      <c r="L77" s="44">
        <f>IF($A77&lt;VARIABLES!$B$45,0,IF($A77=VARIABLES!$B$45,VARIABLES!$B$46+VARIABLES!$B$47,VARIABLES!$B$47))</f>
        <v>0</v>
      </c>
      <c r="M77" s="44">
        <f>L77*VARIABLES!$B$48</f>
        <v>0</v>
      </c>
      <c r="N77" s="44">
        <f>IF($A77&lt;VARIABLES!$B$45,0,(IF($A77=VARIABLES!$B$45,0,O76)+L77)*C77*VARIABLES!$B$49)</f>
        <v>266975.99921882985</v>
      </c>
      <c r="O77" s="44">
        <f>IF($A77&lt;VARIABLES!$B$45,0,(IF($A77=VARIABLES!$B$45,0,O76)+L77)*(1+C77)-N77)</f>
        <v>66477023.805488631</v>
      </c>
      <c r="P77" s="44">
        <f>IF($A77&lt;VARIABLES!$B$52,0,IF($A77=VARIABLES!$B$52,VARIABLES!$B$53+VARIABLES!$B$54,VARIABLES!$B$54))</f>
        <v>20000</v>
      </c>
      <c r="Q77" s="44">
        <f>P77*VARIABLES!$B$55</f>
        <v>150</v>
      </c>
      <c r="R77" s="44">
        <f>IF($A77&lt;VARIABLES!$B$52,0,(IF($A77=VARIABLES!$B$52,0,S76)+P77)*C77*VARIABLES!$B$56)</f>
        <v>7379.5334380105523</v>
      </c>
      <c r="S77" s="44">
        <f>IF($A77&lt;VARIABLES!$B$52,0,(IF($A77=VARIABLES!$B$52,0,S76)+P77)*(1+C77)-R77)</f>
        <v>7372153.9045725418</v>
      </c>
      <c r="T77" s="45">
        <f>IF($A77&lt;VARIABLES!$B$60,0,MIN(VARIABLES!$B$59,INT(($A77-VARIABLES!$B$60)/VARIABLES!$B$61)+1)*VARIABLES!$B$62)</f>
        <v>72</v>
      </c>
      <c r="U77" s="44">
        <f>T77*VARIABLES!$B$64+IF(AND($A77&gt;=VARIABLES!$B$60,MOD($A77-VARIABLES!$B$60,VARIABLES!$B$61)=0,INT(($A77-VARIABLES!$B$60)/VARIABLES!$B$61)&lt;VARIABLES!$B$59),VARIABLES!$B$62*VARIABLES!$B$63,0)</f>
        <v>410000</v>
      </c>
      <c r="V77" s="44">
        <f>U77*VARIABLES!$B$65</f>
        <v>3075</v>
      </c>
      <c r="W77" s="44">
        <f>IF($A77&lt;VARIABLES!$B$60,0,(IF($A77&lt;VARIABLES!$B$60+1,0,X76)+U77)*C77*VARIABLES!$B$66)</f>
        <v>201153.66897781065</v>
      </c>
      <c r="X77" s="44">
        <f>IF($A77&lt;VARIABLES!$B$60,0,(IF($A77&lt;VARIABLES!$B$60+1,0,X76)+U77)*(1+C77)-W77)</f>
        <v>50087263.575474851</v>
      </c>
      <c r="Y77" s="44">
        <f t="shared" si="18"/>
        <v>670000</v>
      </c>
      <c r="Z77" s="44">
        <f t="shared" si="19"/>
        <v>5025</v>
      </c>
      <c r="AA77" s="44">
        <f t="shared" si="20"/>
        <v>609296.50113830878</v>
      </c>
      <c r="AB77" s="44">
        <f>(IF($A77=1,0,AD76)*VARIABLES!$B$18*VARIABLES!$B$16*VARIABLES!$B$17)+(Y77*VARIABLES!$B$16*VARIABLES!$B$17)</f>
        <v>26611.525169559733</v>
      </c>
      <c r="AC77" s="36">
        <f t="shared" si="21"/>
        <v>640933.02630786854</v>
      </c>
      <c r="AD77" s="37">
        <f t="shared" si="22"/>
        <v>219059663.24519283</v>
      </c>
      <c r="AE77" s="44">
        <f>IF($A77=1,VARIABLES!$B$21,0)</f>
        <v>0</v>
      </c>
      <c r="AF77" s="44">
        <f>IF($A77&lt;=3,VARIABLES!$B$22,IF($A77&lt;=6,VARIABLES!$B$23,VARIABLES!$B$24))*(1+VARIABLES!$B$25)^INT(($A77-1)/12)</f>
        <v>65251.87916377603</v>
      </c>
      <c r="AG77" s="44">
        <f>IF(MOD($A77,12)=0,AD77*VARIABLES!$B$26,0)</f>
        <v>0</v>
      </c>
      <c r="AH77" s="44">
        <f>VARIABLES!$B$27</f>
        <v>5000</v>
      </c>
      <c r="AI77" s="44">
        <f>IF(MOD($A77,12)=0,VARIABLES!$B$28,0)</f>
        <v>0</v>
      </c>
      <c r="AJ77" s="38">
        <f t="shared" si="23"/>
        <v>70251.87916377603</v>
      </c>
      <c r="AK77" s="39">
        <f>IF(OR($A77&lt;VARIABLES!$B$7,AND($A77&gt;=VARIABLES!$B$8,$A77&lt;VARIABLES!$B$10)),VARIABLES!$B$13,0)</f>
        <v>0</v>
      </c>
      <c r="AL77" s="46">
        <f t="shared" si="24"/>
        <v>570681.14714409248</v>
      </c>
      <c r="AM77" s="46">
        <f t="shared" si="25"/>
        <v>8896019.261292357</v>
      </c>
      <c r="AN77" s="41">
        <f t="shared" si="26"/>
        <v>0</v>
      </c>
    </row>
    <row r="78" spans="1:40" x14ac:dyDescent="0.2">
      <c r="A78" s="32">
        <v>75</v>
      </c>
      <c r="B78" s="32" t="str">
        <f>TEXT(DATE(VARIABLES!$B$70+INT((VARIABLES!$B$71+$A78-2)/12),MOD(VARIABLES!$B$71+$A78-2,12)+1,1),"mmm-yy")</f>
        <v>Aug-32</v>
      </c>
      <c r="C78" s="33">
        <f>IF($A78&lt;VARIABLES!$B$7,VARIABLES!$B$5/12,IF($A78&lt;VARIABLES!$B$8,VARIABLES!$B$6/12,IF($A78&lt;VARIABLES!$B$10,VARIABLES!$B$9/12,VARIABLES!$B$11/12)))</f>
        <v>4.1666666666666664E-2</v>
      </c>
      <c r="D78" s="34">
        <f>IF($A78&lt;VARIABLES!$B$31,0,IF($A78=VARIABLES!$B$31,VARIABLES!$B$32+VARIABLES!$B$33,VARIABLES!$B$33))</f>
        <v>200000</v>
      </c>
      <c r="E78" s="34">
        <f>D78*VARIABLES!$B$34</f>
        <v>1500</v>
      </c>
      <c r="F78" s="34">
        <f>IF($A78&lt;VARIABLES!$B$31,0,(IF($A78=VARIABLES!$B$31,0,G77)+D78)*C78*VARIABLES!$B$35)</f>
        <v>85969.964165087207</v>
      </c>
      <c r="G78" s="34">
        <f>IF($A78&lt;VARIABLES!$B$31,0,(IF($A78=VARIABLES!$B$31,0,G77)+D78)*(1+C78)-F78)</f>
        <v>85883994.200922132</v>
      </c>
      <c r="H78" s="34">
        <f>IF($A78&lt;VARIABLES!$B$38,0,IF($A78=VARIABLES!$B$38,VARIABLES!$B$39+VARIABLES!$B$40,VARIABLES!$B$40))</f>
        <v>40000</v>
      </c>
      <c r="I78" s="34">
        <f>H78*VARIABLES!$B$41</f>
        <v>300</v>
      </c>
      <c r="J78" s="34">
        <f>IF($A78&lt;VARIABLES!$B$38,0,(IF($A78=VARIABLES!$B$38,0,K77)+H78)*C78*VARIABLES!$B$42)</f>
        <v>53466.90150488777</v>
      </c>
      <c r="K78" s="34">
        <f>IF($A78&lt;VARIABLES!$B$38,0,(IF($A78=VARIABLES!$B$38,0,K77)+H78)*(1+C78)-J78)</f>
        <v>13313258.474717056</v>
      </c>
      <c r="L78" s="34">
        <f>IF($A78&lt;VARIABLES!$B$45,0,IF($A78=VARIABLES!$B$45,VARIABLES!$B$46+VARIABLES!$B$47,VARIABLES!$B$47))</f>
        <v>0</v>
      </c>
      <c r="M78" s="34">
        <f>L78*VARIABLES!$B$48</f>
        <v>0</v>
      </c>
      <c r="N78" s="34">
        <f>IF($A78&lt;VARIABLES!$B$45,0,(IF($A78=VARIABLES!$B$45,0,O77)+L78)*C78*VARIABLES!$B$49)</f>
        <v>276987.59918953595</v>
      </c>
      <c r="O78" s="34">
        <f>IF($A78&lt;VARIABLES!$B$45,0,(IF($A78=VARIABLES!$B$45,0,O77)+L78)*(1+C78)-N78)</f>
        <v>68969912.198194459</v>
      </c>
      <c r="P78" s="34">
        <f>IF($A78&lt;VARIABLES!$B$52,0,IF($A78=VARIABLES!$B$52,VARIABLES!$B$53+VARIABLES!$B$54,VARIABLES!$B$54))</f>
        <v>20000</v>
      </c>
      <c r="Q78" s="34">
        <f>P78*VARIABLES!$B$55</f>
        <v>150</v>
      </c>
      <c r="R78" s="34">
        <f>IF($A78&lt;VARIABLES!$B$52,0,(IF($A78=VARIABLES!$B$52,0,S77)+P78)*C78*VARIABLES!$B$56)</f>
        <v>7700.1603172630639</v>
      </c>
      <c r="S78" s="34">
        <f>IF($A78&lt;VARIABLES!$B$52,0,(IF($A78=VARIABLES!$B$52,0,S77)+P78)*(1+C78)-R78)</f>
        <v>7692460.1569458023</v>
      </c>
      <c r="T78" s="35">
        <f>IF($A78&lt;VARIABLES!$B$60,0,MIN(VARIABLES!$B$59,INT(($A78-VARIABLES!$B$60)/VARIABLES!$B$61)+1)*VARIABLES!$B$62)</f>
        <v>73</v>
      </c>
      <c r="U78" s="34">
        <f>T78*VARIABLES!$B$64+IF(AND($A78&gt;=VARIABLES!$B$60,MOD($A78-VARIABLES!$B$60,VARIABLES!$B$61)=0,INT(($A78-VARIABLES!$B$60)/VARIABLES!$B$61)&lt;VARIABLES!$B$59),VARIABLES!$B$62*VARIABLES!$B$63,0)</f>
        <v>415000</v>
      </c>
      <c r="V78" s="34">
        <f>U78*VARIABLES!$B$65</f>
        <v>3112.5</v>
      </c>
      <c r="W78" s="34">
        <f>IF($A78&lt;VARIABLES!$B$60,0,(IF($A78&lt;VARIABLES!$B$60+1,0,X77)+U78)*C78*VARIABLES!$B$66)</f>
        <v>210426.09823114518</v>
      </c>
      <c r="X78" s="34">
        <f>IF($A78&lt;VARIABLES!$B$60,0,(IF($A78&lt;VARIABLES!$B$60+1,0,X77)+U78)*(1+C78)-W78)</f>
        <v>52396098.459555164</v>
      </c>
      <c r="Y78" s="34">
        <f t="shared" si="18"/>
        <v>675000</v>
      </c>
      <c r="Z78" s="34">
        <f t="shared" si="19"/>
        <v>5062.5</v>
      </c>
      <c r="AA78" s="34">
        <f t="shared" si="20"/>
        <v>634550.72340791905</v>
      </c>
      <c r="AB78" s="34">
        <f>(IF($A78=1,0,AD77)*VARIABLES!$B$18*VARIABLES!$B$16*VARIABLES!$B$17)+(Y78*VARIABLES!$B$16*VARIABLES!$B$17)</f>
        <v>27719.957905649102</v>
      </c>
      <c r="AC78" s="36">
        <f t="shared" si="21"/>
        <v>667333.18131356814</v>
      </c>
      <c r="AD78" s="37">
        <f t="shared" si="22"/>
        <v>228255723.49033463</v>
      </c>
      <c r="AE78" s="34">
        <f>IF($A78=1,VARIABLES!$B$21,0)</f>
        <v>0</v>
      </c>
      <c r="AF78" s="34">
        <f>IF($A78&lt;=3,VARIABLES!$B$22,IF($A78&lt;=6,VARIABLES!$B$23,VARIABLES!$B$24))*(1+VARIABLES!$B$25)^INT(($A78-1)/12)</f>
        <v>65251.87916377603</v>
      </c>
      <c r="AG78" s="34">
        <f>IF(MOD($A78,12)=0,AD78*VARIABLES!$B$26,0)</f>
        <v>0</v>
      </c>
      <c r="AH78" s="34">
        <f>VARIABLES!$B$27</f>
        <v>5000</v>
      </c>
      <c r="AI78" s="34">
        <f>IF(MOD($A78,12)=0,VARIABLES!$B$28,0)</f>
        <v>0</v>
      </c>
      <c r="AJ78" s="38">
        <f t="shared" si="23"/>
        <v>70251.87916377603</v>
      </c>
      <c r="AK78" s="39">
        <f>IF(OR($A78&lt;VARIABLES!$B$7,AND($A78&gt;=VARIABLES!$B$8,$A78&lt;VARIABLES!$B$10)),VARIABLES!$B$13,0)</f>
        <v>0</v>
      </c>
      <c r="AL78" s="40">
        <f t="shared" si="24"/>
        <v>597081.30214979209</v>
      </c>
      <c r="AM78" s="40">
        <f t="shared" si="25"/>
        <v>9493100.5634421483</v>
      </c>
      <c r="AN78" s="41">
        <f t="shared" si="26"/>
        <v>0</v>
      </c>
    </row>
    <row r="79" spans="1:40" x14ac:dyDescent="0.2">
      <c r="A79" s="42">
        <v>76</v>
      </c>
      <c r="B79" s="42" t="str">
        <f>TEXT(DATE(VARIABLES!$B$70+INT((VARIABLES!$B$71+$A79-2)/12),MOD(VARIABLES!$B$71+$A79-2,12)+1,1),"mmm-yy")</f>
        <v>Sept-32</v>
      </c>
      <c r="C79" s="43">
        <f>IF($A79&lt;VARIABLES!$B$7,VARIABLES!$B$5/12,IF($A79&lt;VARIABLES!$B$8,VARIABLES!$B$6/12,IF($A79&lt;VARIABLES!$B$10,VARIABLES!$B$9/12,VARIABLES!$B$11/12)))</f>
        <v>4.1666666666666664E-2</v>
      </c>
      <c r="D79" s="44">
        <f>IF($A79&lt;VARIABLES!$B$31,0,IF($A79=VARIABLES!$B$31,VARIABLES!$B$32+VARIABLES!$B$33,VARIABLES!$B$33))</f>
        <v>200000</v>
      </c>
      <c r="E79" s="44">
        <f>D79*VARIABLES!$B$34</f>
        <v>1500</v>
      </c>
      <c r="F79" s="44">
        <f>IF($A79&lt;VARIABLES!$B$31,0,(IF($A79=VARIABLES!$B$31,0,G78)+D79)*C79*VARIABLES!$B$35)</f>
        <v>89670.827292627218</v>
      </c>
      <c r="G79" s="44">
        <f>IF($A79&lt;VARIABLES!$B$31,0,(IF($A79=VARIABLES!$B$31,0,G78)+D79)*(1+C79)-F79)</f>
        <v>89581156.465334609</v>
      </c>
      <c r="H79" s="44">
        <f>IF($A79&lt;VARIABLES!$B$38,0,IF($A79=VARIABLES!$B$38,VARIABLES!$B$39+VARIABLES!$B$40,VARIABLES!$B$40))</f>
        <v>40000</v>
      </c>
      <c r="I79" s="44">
        <f>H79*VARIABLES!$B$41</f>
        <v>300</v>
      </c>
      <c r="J79" s="44">
        <f>IF($A79&lt;VARIABLES!$B$38,0,(IF($A79=VARIABLES!$B$38,0,K78)+H79)*C79*VARIABLES!$B$42)</f>
        <v>55638.57697798773</v>
      </c>
      <c r="K79" s="44">
        <f>IF($A79&lt;VARIABLES!$B$38,0,(IF($A79=VARIABLES!$B$38,0,K78)+H79)*(1+C79)-J79)</f>
        <v>13854005.667518947</v>
      </c>
      <c r="L79" s="44">
        <f>IF($A79&lt;VARIABLES!$B$45,0,IF($A79=VARIABLES!$B$45,VARIABLES!$B$46+VARIABLES!$B$47,VARIABLES!$B$47))</f>
        <v>0</v>
      </c>
      <c r="M79" s="44">
        <f>L79*VARIABLES!$B$48</f>
        <v>0</v>
      </c>
      <c r="N79" s="44">
        <f>IF($A79&lt;VARIABLES!$B$45,0,(IF($A79=VARIABLES!$B$45,0,O78)+L79)*C79*VARIABLES!$B$49)</f>
        <v>287374.63415914355</v>
      </c>
      <c r="O79" s="44">
        <f>IF($A79&lt;VARIABLES!$B$45,0,(IF($A79=VARIABLES!$B$45,0,O78)+L79)*(1+C79)-N79)</f>
        <v>71556283.905626759</v>
      </c>
      <c r="P79" s="44">
        <f>IF($A79&lt;VARIABLES!$B$52,0,IF($A79=VARIABLES!$B$52,VARIABLES!$B$53+VARIABLES!$B$54,VARIABLES!$B$54))</f>
        <v>20000</v>
      </c>
      <c r="Q79" s="44">
        <f>P79*VARIABLES!$B$55</f>
        <v>150</v>
      </c>
      <c r="R79" s="44">
        <f>IF($A79&lt;VARIABLES!$B$52,0,(IF($A79=VARIABLES!$B$52,0,S78)+P79)*C79*VARIABLES!$B$56)</f>
        <v>8033.8126634852106</v>
      </c>
      <c r="S79" s="44">
        <f>IF($A79&lt;VARIABLES!$B$52,0,(IF($A79=VARIABLES!$B$52,0,S78)+P79)*(1+C79)-R79)</f>
        <v>8025778.850821726</v>
      </c>
      <c r="T79" s="45">
        <f>IF($A79&lt;VARIABLES!$B$60,0,MIN(VARIABLES!$B$59,INT(($A79-VARIABLES!$B$60)/VARIABLES!$B$61)+1)*VARIABLES!$B$62)</f>
        <v>74</v>
      </c>
      <c r="U79" s="44">
        <f>T79*VARIABLES!$B$64+IF(AND($A79&gt;=VARIABLES!$B$60,MOD($A79-VARIABLES!$B$60,VARIABLES!$B$61)=0,INT(($A79-VARIABLES!$B$60)/VARIABLES!$B$61)&lt;VARIABLES!$B$59),VARIABLES!$B$62*VARIABLES!$B$63,0)</f>
        <v>420000</v>
      </c>
      <c r="V79" s="44">
        <f>U79*VARIABLES!$B$65</f>
        <v>3150</v>
      </c>
      <c r="W79" s="44">
        <f>IF($A79&lt;VARIABLES!$B$60,0,(IF($A79&lt;VARIABLES!$B$60+1,0,X78)+U79)*C79*VARIABLES!$B$66)</f>
        <v>220067.07691481319</v>
      </c>
      <c r="X79" s="44">
        <f>IF($A79&lt;VARIABLES!$B$60,0,(IF($A79&lt;VARIABLES!$B$60+1,0,X78)+U79)*(1+C79)-W79)</f>
        <v>54796702.151788488</v>
      </c>
      <c r="Y79" s="44">
        <f t="shared" si="18"/>
        <v>680000</v>
      </c>
      <c r="Z79" s="44">
        <f t="shared" si="19"/>
        <v>5100</v>
      </c>
      <c r="AA79" s="44">
        <f t="shared" si="20"/>
        <v>660784.92800805694</v>
      </c>
      <c r="AB79" s="44">
        <f>(IF($A79=1,0,AD78)*VARIABLES!$B$18*VARIABLES!$B$16*VARIABLES!$B$17)+(Y79*VARIABLES!$B$16*VARIABLES!$B$17)</f>
        <v>28871.96543629183</v>
      </c>
      <c r="AC79" s="36">
        <f t="shared" si="21"/>
        <v>694756.89344434883</v>
      </c>
      <c r="AD79" s="37">
        <f t="shared" si="22"/>
        <v>237813927.04109055</v>
      </c>
      <c r="AE79" s="44">
        <f>IF($A79=1,VARIABLES!$B$21,0)</f>
        <v>0</v>
      </c>
      <c r="AF79" s="44">
        <f>IF($A79&lt;=3,VARIABLES!$B$22,IF($A79&lt;=6,VARIABLES!$B$23,VARIABLES!$B$24))*(1+VARIABLES!$B$25)^INT(($A79-1)/12)</f>
        <v>65251.87916377603</v>
      </c>
      <c r="AG79" s="44">
        <f>IF(MOD($A79,12)=0,AD79*VARIABLES!$B$26,0)</f>
        <v>0</v>
      </c>
      <c r="AH79" s="44">
        <f>VARIABLES!$B$27</f>
        <v>5000</v>
      </c>
      <c r="AI79" s="44">
        <f>IF(MOD($A79,12)=0,VARIABLES!$B$28,0)</f>
        <v>0</v>
      </c>
      <c r="AJ79" s="38">
        <f t="shared" si="23"/>
        <v>70251.87916377603</v>
      </c>
      <c r="AK79" s="39">
        <f>IF(OR($A79&lt;VARIABLES!$B$7,AND($A79&gt;=VARIABLES!$B$8,$A79&lt;VARIABLES!$B$10)),VARIABLES!$B$13,0)</f>
        <v>0</v>
      </c>
      <c r="AL79" s="46">
        <f t="shared" si="24"/>
        <v>624505.01428057277</v>
      </c>
      <c r="AM79" s="46">
        <f t="shared" si="25"/>
        <v>10117605.577722721</v>
      </c>
      <c r="AN79" s="41">
        <f t="shared" si="26"/>
        <v>0</v>
      </c>
    </row>
    <row r="80" spans="1:40" x14ac:dyDescent="0.2">
      <c r="A80" s="32">
        <v>77</v>
      </c>
      <c r="B80" s="32" t="str">
        <f>TEXT(DATE(VARIABLES!$B$70+INT((VARIABLES!$B$71+$A80-2)/12),MOD(VARIABLES!$B$71+$A80-2,12)+1,1),"mmm-yy")</f>
        <v>Oct-32</v>
      </c>
      <c r="C80" s="33">
        <f>IF($A80&lt;VARIABLES!$B$7,VARIABLES!$B$5/12,IF($A80&lt;VARIABLES!$B$8,VARIABLES!$B$6/12,IF($A80&lt;VARIABLES!$B$10,VARIABLES!$B$9/12,VARIABLES!$B$11/12)))</f>
        <v>4.1666666666666664E-2</v>
      </c>
      <c r="D80" s="34">
        <f>IF($A80&lt;VARIABLES!$B$31,0,IF($A80=VARIABLES!$B$31,VARIABLES!$B$32+VARIABLES!$B$33,VARIABLES!$B$33))</f>
        <v>200000</v>
      </c>
      <c r="E80" s="34">
        <f>D80*VARIABLES!$B$34</f>
        <v>1500</v>
      </c>
      <c r="F80" s="34">
        <f>IF($A80&lt;VARIABLES!$B$31,0,(IF($A80=VARIABLES!$B$31,0,G79)+D80)*C80*VARIABLES!$B$35)</f>
        <v>93522.03798472356</v>
      </c>
      <c r="G80" s="34">
        <f>IF($A80&lt;VARIABLES!$B$31,0,(IF($A80=VARIABLES!$B$31,0,G79)+D80)*(1+C80)-F80)</f>
        <v>93428515.946738824</v>
      </c>
      <c r="H80" s="34">
        <f>IF($A80&lt;VARIABLES!$B$38,0,IF($A80=VARIABLES!$B$38,VARIABLES!$B$39+VARIABLES!$B$40,VARIABLES!$B$40))</f>
        <v>40000</v>
      </c>
      <c r="I80" s="34">
        <f>H80*VARIABLES!$B$41</f>
        <v>300</v>
      </c>
      <c r="J80" s="34">
        <f>IF($A80&lt;VARIABLES!$B$38,0,(IF($A80=VARIABLES!$B$38,0,K79)+H80)*C80*VARIABLES!$B$42)</f>
        <v>57891.690281328949</v>
      </c>
      <c r="K80" s="34">
        <f>IF($A80&lt;VARIABLES!$B$38,0,(IF($A80=VARIABLES!$B$38,0,K79)+H80)*(1+C80)-J80)</f>
        <v>14415030.880050909</v>
      </c>
      <c r="L80" s="34">
        <f>IF($A80&lt;VARIABLES!$B$45,0,IF($A80=VARIABLES!$B$45,VARIABLES!$B$46+VARIABLES!$B$47,VARIABLES!$B$47))</f>
        <v>0</v>
      </c>
      <c r="M80" s="34">
        <f>L80*VARIABLES!$B$48</f>
        <v>0</v>
      </c>
      <c r="N80" s="34">
        <f>IF($A80&lt;VARIABLES!$B$45,0,(IF($A80=VARIABLES!$B$45,0,O79)+L80)*C80*VARIABLES!$B$49)</f>
        <v>298151.1829401115</v>
      </c>
      <c r="O80" s="34">
        <f>IF($A80&lt;VARIABLES!$B$45,0,(IF($A80=VARIABLES!$B$45,0,O79)+L80)*(1+C80)-N80)</f>
        <v>74239644.552087769</v>
      </c>
      <c r="P80" s="34">
        <f>IF($A80&lt;VARIABLES!$B$52,0,IF($A80=VARIABLES!$B$52,VARIABLES!$B$53+VARIABLES!$B$54,VARIABLES!$B$54))</f>
        <v>20000</v>
      </c>
      <c r="Q80" s="34">
        <f>P80*VARIABLES!$B$55</f>
        <v>150</v>
      </c>
      <c r="R80" s="34">
        <f>IF($A80&lt;VARIABLES!$B$52,0,(IF($A80=VARIABLES!$B$52,0,S79)+P80)*C80*VARIABLES!$B$56)</f>
        <v>8381.019636272631</v>
      </c>
      <c r="S80" s="34">
        <f>IF($A80&lt;VARIABLES!$B$52,0,(IF($A80=VARIABLES!$B$52,0,S79)+P80)*(1+C80)-R80)</f>
        <v>8372638.6166363591</v>
      </c>
      <c r="T80" s="35">
        <f>IF($A80&lt;VARIABLES!$B$60,0,MIN(VARIABLES!$B$59,INT(($A80-VARIABLES!$B$60)/VARIABLES!$B$61)+1)*VARIABLES!$B$62)</f>
        <v>75</v>
      </c>
      <c r="U80" s="34">
        <f>T80*VARIABLES!$B$64+IF(AND($A80&gt;=VARIABLES!$B$60,MOD($A80-VARIABLES!$B$60,VARIABLES!$B$61)=0,INT(($A80-VARIABLES!$B$60)/VARIABLES!$B$61)&lt;VARIABLES!$B$59),VARIABLES!$B$62*VARIABLES!$B$63,0)</f>
        <v>425000</v>
      </c>
      <c r="V80" s="34">
        <f>U80*VARIABLES!$B$65</f>
        <v>3187.5</v>
      </c>
      <c r="W80" s="34">
        <f>IF($A80&lt;VARIABLES!$B$60,0,(IF($A80&lt;VARIABLES!$B$60+1,0,X79)+U80)*C80*VARIABLES!$B$66)</f>
        <v>230090.42563245204</v>
      </c>
      <c r="X80" s="34">
        <f>IF($A80&lt;VARIABLES!$B$60,0,(IF($A80&lt;VARIABLES!$B$60+1,0,X79)+U80)*(1+C80)-W80)</f>
        <v>57292515.982480556</v>
      </c>
      <c r="Y80" s="34">
        <f t="shared" si="18"/>
        <v>685000</v>
      </c>
      <c r="Z80" s="34">
        <f t="shared" si="19"/>
        <v>5137.5</v>
      </c>
      <c r="AA80" s="34">
        <f t="shared" si="20"/>
        <v>688036.35647488863</v>
      </c>
      <c r="AB80" s="34">
        <f>(IF($A80=1,0,AD79)*VARIABLES!$B$18*VARIABLES!$B$16*VARIABLES!$B$17)+(Y80*VARIABLES!$B$16*VARIABLES!$B$17)</f>
        <v>30069.24088013632</v>
      </c>
      <c r="AC80" s="36">
        <f t="shared" si="21"/>
        <v>723243.09735502489</v>
      </c>
      <c r="AD80" s="37">
        <f t="shared" si="22"/>
        <v>247748345.97799444</v>
      </c>
      <c r="AE80" s="34">
        <f>IF($A80=1,VARIABLES!$B$21,0)</f>
        <v>0</v>
      </c>
      <c r="AF80" s="34">
        <f>IF($A80&lt;=3,VARIABLES!$B$22,IF($A80&lt;=6,VARIABLES!$B$23,VARIABLES!$B$24))*(1+VARIABLES!$B$25)^INT(($A80-1)/12)</f>
        <v>65251.87916377603</v>
      </c>
      <c r="AG80" s="34">
        <f>IF(MOD($A80,12)=0,AD80*VARIABLES!$B$26,0)</f>
        <v>0</v>
      </c>
      <c r="AH80" s="34">
        <f>VARIABLES!$B$27</f>
        <v>5000</v>
      </c>
      <c r="AI80" s="34">
        <f>IF(MOD($A80,12)=0,VARIABLES!$B$28,0)</f>
        <v>0</v>
      </c>
      <c r="AJ80" s="38">
        <f t="shared" si="23"/>
        <v>70251.87916377603</v>
      </c>
      <c r="AK80" s="39">
        <f>IF(OR($A80&lt;VARIABLES!$B$7,AND($A80&gt;=VARIABLES!$B$8,$A80&lt;VARIABLES!$B$10)),VARIABLES!$B$13,0)</f>
        <v>0</v>
      </c>
      <c r="AL80" s="40">
        <f t="shared" si="24"/>
        <v>652991.21819124883</v>
      </c>
      <c r="AM80" s="40">
        <f t="shared" si="25"/>
        <v>10770596.79591397</v>
      </c>
      <c r="AN80" s="41">
        <f t="shared" si="26"/>
        <v>0</v>
      </c>
    </row>
    <row r="81" spans="1:40" x14ac:dyDescent="0.2">
      <c r="A81" s="42">
        <v>78</v>
      </c>
      <c r="B81" s="42" t="str">
        <f>TEXT(DATE(VARIABLES!$B$70+INT((VARIABLES!$B$71+$A81-2)/12),MOD(VARIABLES!$B$71+$A81-2,12)+1,1),"mmm-yy")</f>
        <v>Nov-32</v>
      </c>
      <c r="C81" s="43">
        <f>IF($A81&lt;VARIABLES!$B$7,VARIABLES!$B$5/12,IF($A81&lt;VARIABLES!$B$8,VARIABLES!$B$6/12,IF($A81&lt;VARIABLES!$B$10,VARIABLES!$B$9/12,VARIABLES!$B$11/12)))</f>
        <v>4.1666666666666664E-2</v>
      </c>
      <c r="D81" s="44">
        <f>IF($A81&lt;VARIABLES!$B$31,0,IF($A81=VARIABLES!$B$31,VARIABLES!$B$32+VARIABLES!$B$33,VARIABLES!$B$33))</f>
        <v>200000</v>
      </c>
      <c r="E81" s="44">
        <f>D81*VARIABLES!$B$34</f>
        <v>1500</v>
      </c>
      <c r="F81" s="44">
        <f>IF($A81&lt;VARIABLES!$B$31,0,(IF($A81=VARIABLES!$B$31,0,G80)+D81)*C81*VARIABLES!$B$35)</f>
        <v>97529.704111186278</v>
      </c>
      <c r="G81" s="44">
        <f>IF($A81&lt;VARIABLES!$B$31,0,(IF($A81=VARIABLES!$B$31,0,G80)+D81)*(1+C81)-F81)</f>
        <v>97432174.407075092</v>
      </c>
      <c r="H81" s="44">
        <f>IF($A81&lt;VARIABLES!$B$38,0,IF($A81=VARIABLES!$B$38,VARIABLES!$B$39+VARIABLES!$B$40,VARIABLES!$B$40))</f>
        <v>40000</v>
      </c>
      <c r="I81" s="44">
        <f>H81*VARIABLES!$B$41</f>
        <v>300</v>
      </c>
      <c r="J81" s="44">
        <f>IF($A81&lt;VARIABLES!$B$38,0,(IF($A81=VARIABLES!$B$38,0,K80)+H81)*C81*VARIABLES!$B$42)</f>
        <v>60229.295333545451</v>
      </c>
      <c r="K81" s="44">
        <f>IF($A81&lt;VARIABLES!$B$38,0,(IF($A81=VARIABLES!$B$38,0,K80)+H81)*(1+C81)-J81)</f>
        <v>14997094.538052818</v>
      </c>
      <c r="L81" s="44">
        <f>IF($A81&lt;VARIABLES!$B$45,0,IF($A81=VARIABLES!$B$45,VARIABLES!$B$46+VARIABLES!$B$47,VARIABLES!$B$47))</f>
        <v>0</v>
      </c>
      <c r="M81" s="44">
        <f>L81*VARIABLES!$B$48</f>
        <v>0</v>
      </c>
      <c r="N81" s="44">
        <f>IF($A81&lt;VARIABLES!$B$45,0,(IF($A81=VARIABLES!$B$45,0,O80)+L81)*C81*VARIABLES!$B$49)</f>
        <v>309331.85230036569</v>
      </c>
      <c r="O81" s="44">
        <f>IF($A81&lt;VARIABLES!$B$45,0,(IF($A81=VARIABLES!$B$45,0,O80)+L81)*(1+C81)-N81)</f>
        <v>77023631.222791076</v>
      </c>
      <c r="P81" s="44">
        <f>IF($A81&lt;VARIABLES!$B$52,0,IF($A81=VARIABLES!$B$52,VARIABLES!$B$53+VARIABLES!$B$54,VARIABLES!$B$54))</f>
        <v>20000</v>
      </c>
      <c r="Q81" s="44">
        <f>P81*VARIABLES!$B$55</f>
        <v>150</v>
      </c>
      <c r="R81" s="44">
        <f>IF($A81&lt;VARIABLES!$B$52,0,(IF($A81=VARIABLES!$B$52,0,S80)+P81)*C81*VARIABLES!$B$56)</f>
        <v>8742.3318923295392</v>
      </c>
      <c r="S81" s="44">
        <f>IF($A81&lt;VARIABLES!$B$52,0,(IF($A81=VARIABLES!$B$52,0,S80)+P81)*(1+C81)-R81)</f>
        <v>8733589.5604372099</v>
      </c>
      <c r="T81" s="45">
        <f>IF($A81&lt;VARIABLES!$B$60,0,MIN(VARIABLES!$B$59,INT(($A81-VARIABLES!$B$60)/VARIABLES!$B$61)+1)*VARIABLES!$B$62)</f>
        <v>76</v>
      </c>
      <c r="U81" s="44">
        <f>T81*VARIABLES!$B$64+IF(AND($A81&gt;=VARIABLES!$B$60,MOD($A81-VARIABLES!$B$60,VARIABLES!$B$61)=0,INT(($A81-VARIABLES!$B$60)/VARIABLES!$B$61)&lt;VARIABLES!$B$59),VARIABLES!$B$62*VARIABLES!$B$63,0)</f>
        <v>430000</v>
      </c>
      <c r="V81" s="44">
        <f>U81*VARIABLES!$B$65</f>
        <v>3225</v>
      </c>
      <c r="W81" s="44">
        <f>IF($A81&lt;VARIABLES!$B$60,0,(IF($A81&lt;VARIABLES!$B$60+1,0,X80)+U81)*C81*VARIABLES!$B$66)</f>
        <v>240510.48326033563</v>
      </c>
      <c r="X81" s="44">
        <f>IF($A81&lt;VARIABLES!$B$60,0,(IF($A81&lt;VARIABLES!$B$60+1,0,X80)+U81)*(1+C81)-W81)</f>
        <v>59887110.33182358</v>
      </c>
      <c r="Y81" s="44">
        <f t="shared" si="18"/>
        <v>690000</v>
      </c>
      <c r="Z81" s="44">
        <f t="shared" si="19"/>
        <v>5175</v>
      </c>
      <c r="AA81" s="44">
        <f t="shared" si="20"/>
        <v>716343.66689776257</v>
      </c>
      <c r="AB81" s="44">
        <f>(IF($A81=1,0,AD80)*VARIABLES!$B$18*VARIABLES!$B$16*VARIABLES!$B$17)+(Y81*VARIABLES!$B$16*VARIABLES!$B$17)</f>
        <v>31313.543247249305</v>
      </c>
      <c r="AC81" s="36">
        <f t="shared" si="21"/>
        <v>752832.21014501189</v>
      </c>
      <c r="AD81" s="37">
        <f t="shared" si="22"/>
        <v>258073600.06017977</v>
      </c>
      <c r="AE81" s="44">
        <f>IF($A81=1,VARIABLES!$B$21,0)</f>
        <v>0</v>
      </c>
      <c r="AF81" s="44">
        <f>IF($A81&lt;=3,VARIABLES!$B$22,IF($A81&lt;=6,VARIABLES!$B$23,VARIABLES!$B$24))*(1+VARIABLES!$B$25)^INT(($A81-1)/12)</f>
        <v>65251.87916377603</v>
      </c>
      <c r="AG81" s="44">
        <f>IF(MOD($A81,12)=0,AD81*VARIABLES!$B$26,0)</f>
        <v>0</v>
      </c>
      <c r="AH81" s="44">
        <f>VARIABLES!$B$27</f>
        <v>5000</v>
      </c>
      <c r="AI81" s="44">
        <f>IF(MOD($A81,12)=0,VARIABLES!$B$28,0)</f>
        <v>0</v>
      </c>
      <c r="AJ81" s="38">
        <f t="shared" si="23"/>
        <v>70251.87916377603</v>
      </c>
      <c r="AK81" s="39">
        <f>IF(OR($A81&lt;VARIABLES!$B$7,AND($A81&gt;=VARIABLES!$B$8,$A81&lt;VARIABLES!$B$10)),VARIABLES!$B$13,0)</f>
        <v>0</v>
      </c>
      <c r="AL81" s="46">
        <f t="shared" si="24"/>
        <v>682580.33098123583</v>
      </c>
      <c r="AM81" s="46">
        <f t="shared" si="25"/>
        <v>11453177.126895206</v>
      </c>
      <c r="AN81" s="41">
        <f t="shared" si="26"/>
        <v>0</v>
      </c>
    </row>
    <row r="82" spans="1:40" x14ac:dyDescent="0.2">
      <c r="A82" s="32">
        <v>79</v>
      </c>
      <c r="B82" s="32" t="str">
        <f>TEXT(DATE(VARIABLES!$B$70+INT((VARIABLES!$B$71+$A82-2)/12),MOD(VARIABLES!$B$71+$A82-2,12)+1,1),"mmm-yy")</f>
        <v>Dec-32</v>
      </c>
      <c r="C82" s="33">
        <f>IF($A82&lt;VARIABLES!$B$7,VARIABLES!$B$5/12,IF($A82&lt;VARIABLES!$B$8,VARIABLES!$B$6/12,IF($A82&lt;VARIABLES!$B$10,VARIABLES!$B$9/12,VARIABLES!$B$11/12)))</f>
        <v>4.1666666666666664E-2</v>
      </c>
      <c r="D82" s="34">
        <f>IF($A82&lt;VARIABLES!$B$31,0,IF($A82=VARIABLES!$B$31,VARIABLES!$B$32+VARIABLES!$B$33,VARIABLES!$B$33))</f>
        <v>200000</v>
      </c>
      <c r="E82" s="34">
        <f>D82*VARIABLES!$B$34</f>
        <v>1500</v>
      </c>
      <c r="F82" s="34">
        <f>IF($A82&lt;VARIABLES!$B$31,0,(IF($A82=VARIABLES!$B$31,0,G81)+D82)*C82*VARIABLES!$B$35)</f>
        <v>101700.18167403655</v>
      </c>
      <c r="G82" s="34">
        <f>IF($A82&lt;VARIABLES!$B$31,0,(IF($A82=VARIABLES!$B$31,0,G81)+D82)*(1+C82)-F82)</f>
        <v>101598481.49236253</v>
      </c>
      <c r="H82" s="34">
        <f>IF($A82&lt;VARIABLES!$B$38,0,IF($A82=VARIABLES!$B$38,VARIABLES!$B$39+VARIABLES!$B$40,VARIABLES!$B$40))</f>
        <v>40000</v>
      </c>
      <c r="I82" s="34">
        <f>H82*VARIABLES!$B$41</f>
        <v>300</v>
      </c>
      <c r="J82" s="34">
        <f>IF($A82&lt;VARIABLES!$B$38,0,(IF($A82=VARIABLES!$B$38,0,K81)+H82)*C82*VARIABLES!$B$42)</f>
        <v>62654.560575220072</v>
      </c>
      <c r="K82" s="34">
        <f>IF($A82&lt;VARIABLES!$B$38,0,(IF($A82=VARIABLES!$B$38,0,K81)+H82)*(1+C82)-J82)</f>
        <v>15600985.583229799</v>
      </c>
      <c r="L82" s="34">
        <f>IF($A82&lt;VARIABLES!$B$45,0,IF($A82=VARIABLES!$B$45,VARIABLES!$B$46+VARIABLES!$B$47,VARIABLES!$B$47))</f>
        <v>0</v>
      </c>
      <c r="M82" s="34">
        <f>L82*VARIABLES!$B$48</f>
        <v>0</v>
      </c>
      <c r="N82" s="34">
        <f>IF($A82&lt;VARIABLES!$B$45,0,(IF($A82=VARIABLES!$B$45,0,O81)+L82)*C82*VARIABLES!$B$49)</f>
        <v>320931.79676162946</v>
      </c>
      <c r="O82" s="34">
        <f>IF($A82&lt;VARIABLES!$B$45,0,(IF($A82=VARIABLES!$B$45,0,O81)+L82)*(1+C82)-N82)</f>
        <v>79912017.393645748</v>
      </c>
      <c r="P82" s="34">
        <f>IF($A82&lt;VARIABLES!$B$52,0,IF($A82=VARIABLES!$B$52,VARIABLES!$B$53+VARIABLES!$B$54,VARIABLES!$B$54))</f>
        <v>20000</v>
      </c>
      <c r="Q82" s="34">
        <f>P82*VARIABLES!$B$55</f>
        <v>150</v>
      </c>
      <c r="R82" s="34">
        <f>IF($A82&lt;VARIABLES!$B$52,0,(IF($A82=VARIABLES!$B$52,0,S81)+P82)*C82*VARIABLES!$B$56)</f>
        <v>9118.3224587887598</v>
      </c>
      <c r="S82" s="34">
        <f>IF($A82&lt;VARIABLES!$B$52,0,(IF($A82=VARIABLES!$B$52,0,S81)+P82)*(1+C82)-R82)</f>
        <v>9109204.1363299731</v>
      </c>
      <c r="T82" s="35">
        <f>IF($A82&lt;VARIABLES!$B$60,0,MIN(VARIABLES!$B$59,INT(($A82-VARIABLES!$B$60)/VARIABLES!$B$61)+1)*VARIABLES!$B$62)</f>
        <v>77</v>
      </c>
      <c r="U82" s="34">
        <f>T82*VARIABLES!$B$64+IF(AND($A82&gt;=VARIABLES!$B$60,MOD($A82-VARIABLES!$B$60,VARIABLES!$B$61)=0,INT(($A82-VARIABLES!$B$60)/VARIABLES!$B$61)&lt;VARIABLES!$B$59),VARIABLES!$B$62*VARIABLES!$B$63,0)</f>
        <v>435000</v>
      </c>
      <c r="V82" s="34">
        <f>U82*VARIABLES!$B$65</f>
        <v>3262.5</v>
      </c>
      <c r="W82" s="34">
        <f>IF($A82&lt;VARIABLES!$B$60,0,(IF($A82&lt;VARIABLES!$B$60+1,0,X81)+U82)*C82*VARIABLES!$B$66)</f>
        <v>251342.12638259825</v>
      </c>
      <c r="X82" s="34">
        <f>IF($A82&lt;VARIABLES!$B$60,0,(IF($A82&lt;VARIABLES!$B$60+1,0,X81)+U82)*(1+C82)-W82)</f>
        <v>62584189.469266973</v>
      </c>
      <c r="Y82" s="34">
        <f t="shared" si="18"/>
        <v>695000</v>
      </c>
      <c r="Z82" s="34">
        <f t="shared" si="19"/>
        <v>5212.5</v>
      </c>
      <c r="AA82" s="34">
        <f t="shared" si="20"/>
        <v>745746.98785227304</v>
      </c>
      <c r="AB82" s="34">
        <f>(IF($A82=1,0,AD81)*VARIABLES!$B$18*VARIABLES!$B$16*VARIABLES!$B$17)+(Y82*VARIABLES!$B$16*VARIABLES!$B$17)</f>
        <v>32606.700007522471</v>
      </c>
      <c r="AC82" s="36">
        <f t="shared" si="21"/>
        <v>783566.18785979552</v>
      </c>
      <c r="AD82" s="37">
        <f t="shared" si="22"/>
        <v>268804878.074835</v>
      </c>
      <c r="AE82" s="34">
        <f>IF($A82=1,VARIABLES!$B$21,0)</f>
        <v>0</v>
      </c>
      <c r="AF82" s="34">
        <f>IF($A82&lt;=3,VARIABLES!$B$22,IF($A82&lt;=6,VARIABLES!$B$23,VARIABLES!$B$24))*(1+VARIABLES!$B$25)^INT(($A82-1)/12)</f>
        <v>65251.87916377603</v>
      </c>
      <c r="AG82" s="34">
        <f>IF(MOD($A82,12)=0,AD82*VARIABLES!$B$26,0)</f>
        <v>0</v>
      </c>
      <c r="AH82" s="34">
        <f>VARIABLES!$B$27</f>
        <v>5000</v>
      </c>
      <c r="AI82" s="34">
        <f>IF(MOD($A82,12)=0,VARIABLES!$B$28,0)</f>
        <v>0</v>
      </c>
      <c r="AJ82" s="38">
        <f t="shared" si="23"/>
        <v>70251.87916377603</v>
      </c>
      <c r="AK82" s="39">
        <f>IF(OR($A82&lt;VARIABLES!$B$7,AND($A82&gt;=VARIABLES!$B$8,$A82&lt;VARIABLES!$B$10)),VARIABLES!$B$13,0)</f>
        <v>0</v>
      </c>
      <c r="AL82" s="40">
        <f t="shared" si="24"/>
        <v>713314.30869601946</v>
      </c>
      <c r="AM82" s="40">
        <f t="shared" si="25"/>
        <v>12166491.435591225</v>
      </c>
      <c r="AN82" s="41">
        <f t="shared" si="26"/>
        <v>0</v>
      </c>
    </row>
    <row r="83" spans="1:40" x14ac:dyDescent="0.2">
      <c r="A83" s="42">
        <v>80</v>
      </c>
      <c r="B83" s="42" t="str">
        <f>TEXT(DATE(VARIABLES!$B$70+INT((VARIABLES!$B$71+$A83-2)/12),MOD(VARIABLES!$B$71+$A83-2,12)+1,1),"mmm-yy")</f>
        <v>Jan-33</v>
      </c>
      <c r="C83" s="43">
        <f>IF($A83&lt;VARIABLES!$B$7,VARIABLES!$B$5/12,IF($A83&lt;VARIABLES!$B$8,VARIABLES!$B$6/12,IF($A83&lt;VARIABLES!$B$10,VARIABLES!$B$9/12,VARIABLES!$B$11/12)))</f>
        <v>4.1666666666666664E-2</v>
      </c>
      <c r="D83" s="44">
        <f>IF($A83&lt;VARIABLES!$B$31,0,IF($A83=VARIABLES!$B$31,VARIABLES!$B$32+VARIABLES!$B$33,VARIABLES!$B$33))</f>
        <v>200000</v>
      </c>
      <c r="E83" s="44">
        <f>D83*VARIABLES!$B$34</f>
        <v>1500</v>
      </c>
      <c r="F83" s="44">
        <f>IF($A83&lt;VARIABLES!$B$31,0,(IF($A83=VARIABLES!$B$31,0,G82)+D83)*C83*VARIABLES!$B$35)</f>
        <v>106040.08488787763</v>
      </c>
      <c r="G83" s="44">
        <f>IF($A83&lt;VARIABLES!$B$31,0,(IF($A83=VARIABLES!$B$31,0,G82)+D83)*(1+C83)-F83)</f>
        <v>105934044.80298977</v>
      </c>
      <c r="H83" s="44">
        <f>IF($A83&lt;VARIABLES!$B$38,0,IF($A83=VARIABLES!$B$38,VARIABLES!$B$39+VARIABLES!$B$40,VARIABLES!$B$40))</f>
        <v>40000</v>
      </c>
      <c r="I83" s="44">
        <f>H83*VARIABLES!$B$41</f>
        <v>300</v>
      </c>
      <c r="J83" s="44">
        <f>IF($A83&lt;VARIABLES!$B$38,0,(IF($A83=VARIABLES!$B$38,0,K82)+H83)*C83*VARIABLES!$B$42)</f>
        <v>65170.773263457493</v>
      </c>
      <c r="K83" s="44">
        <f>IF($A83&lt;VARIABLES!$B$38,0,(IF($A83=VARIABLES!$B$38,0,K82)+H83)*(1+C83)-J83)</f>
        <v>16227522.542600917</v>
      </c>
      <c r="L83" s="44">
        <f>IF($A83&lt;VARIABLES!$B$45,0,IF($A83=VARIABLES!$B$45,VARIABLES!$B$46+VARIABLES!$B$47,VARIABLES!$B$47))</f>
        <v>0</v>
      </c>
      <c r="M83" s="44">
        <f>L83*VARIABLES!$B$48</f>
        <v>0</v>
      </c>
      <c r="N83" s="44">
        <f>IF($A83&lt;VARIABLES!$B$45,0,(IF($A83=VARIABLES!$B$45,0,O82)+L83)*C83*VARIABLES!$B$49)</f>
        <v>332966.73914019065</v>
      </c>
      <c r="O83" s="44">
        <f>IF($A83&lt;VARIABLES!$B$45,0,(IF($A83=VARIABLES!$B$45,0,O82)+L83)*(1+C83)-N83)</f>
        <v>82908718.045907468</v>
      </c>
      <c r="P83" s="44">
        <f>IF($A83&lt;VARIABLES!$B$52,0,IF($A83=VARIABLES!$B$52,VARIABLES!$B$53+VARIABLES!$B$54,VARIABLES!$B$54))</f>
        <v>20000</v>
      </c>
      <c r="Q83" s="44">
        <f>P83*VARIABLES!$B$55</f>
        <v>150</v>
      </c>
      <c r="R83" s="44">
        <f>IF($A83&lt;VARIABLES!$B$52,0,(IF($A83=VARIABLES!$B$52,0,S82)+P83)*C83*VARIABLES!$B$56)</f>
        <v>9509.5876420103887</v>
      </c>
      <c r="S83" s="44">
        <f>IF($A83&lt;VARIABLES!$B$52,0,(IF($A83=VARIABLES!$B$52,0,S82)+P83)*(1+C83)-R83)</f>
        <v>9500078.0543683786</v>
      </c>
      <c r="T83" s="45">
        <f>IF($A83&lt;VARIABLES!$B$60,0,MIN(VARIABLES!$B$59,INT(($A83-VARIABLES!$B$60)/VARIABLES!$B$61)+1)*VARIABLES!$B$62)</f>
        <v>78</v>
      </c>
      <c r="U83" s="44">
        <f>T83*VARIABLES!$B$64+IF(AND($A83&gt;=VARIABLES!$B$60,MOD($A83-VARIABLES!$B$60,VARIABLES!$B$61)=0,INT(($A83-VARIABLES!$B$60)/VARIABLES!$B$61)&lt;VARIABLES!$B$59),VARIABLES!$B$62*VARIABLES!$B$63,0)</f>
        <v>440000</v>
      </c>
      <c r="V83" s="44">
        <f>U83*VARIABLES!$B$65</f>
        <v>3300</v>
      </c>
      <c r="W83" s="44">
        <f>IF($A83&lt;VARIABLES!$B$60,0,(IF($A83&lt;VARIABLES!$B$60+1,0,X82)+U83)*C83*VARIABLES!$B$66)</f>
        <v>262600.78945527907</v>
      </c>
      <c r="X83" s="44">
        <f>IF($A83&lt;VARIABLES!$B$60,0,(IF($A83&lt;VARIABLES!$B$60+1,0,X82)+U83)*(1+C83)-W83)</f>
        <v>65387596.574364491</v>
      </c>
      <c r="Y83" s="44">
        <f t="shared" si="18"/>
        <v>700000</v>
      </c>
      <c r="Z83" s="44">
        <f t="shared" si="19"/>
        <v>5250</v>
      </c>
      <c r="AA83" s="44">
        <f t="shared" si="20"/>
        <v>776287.97438881523</v>
      </c>
      <c r="AB83" s="44">
        <f>(IF($A83=1,0,AD82)*VARIABLES!$B$18*VARIABLES!$B$16*VARIABLES!$B$17)+(Y83*VARIABLES!$B$16*VARIABLES!$B$17)</f>
        <v>33950.609759354375</v>
      </c>
      <c r="AC83" s="36">
        <f t="shared" si="21"/>
        <v>815488.58414816961</v>
      </c>
      <c r="AD83" s="37">
        <f t="shared" si="22"/>
        <v>279957960.02023101</v>
      </c>
      <c r="AE83" s="44">
        <f>IF($A83=1,VARIABLES!$B$21,0)</f>
        <v>0</v>
      </c>
      <c r="AF83" s="44">
        <f>IF($A83&lt;=3,VARIABLES!$B$22,IF($A83&lt;=6,VARIABLES!$B$23,VARIABLES!$B$24))*(1+VARIABLES!$B$25)^INT(($A83-1)/12)</f>
        <v>65251.87916377603</v>
      </c>
      <c r="AG83" s="44">
        <f>IF(MOD($A83,12)=0,AD83*VARIABLES!$B$26,0)</f>
        <v>0</v>
      </c>
      <c r="AH83" s="44">
        <f>VARIABLES!$B$27</f>
        <v>5000</v>
      </c>
      <c r="AI83" s="44">
        <f>IF(MOD($A83,12)=0,VARIABLES!$B$28,0)</f>
        <v>0</v>
      </c>
      <c r="AJ83" s="38">
        <f t="shared" si="23"/>
        <v>70251.87916377603</v>
      </c>
      <c r="AK83" s="39">
        <f>IF(OR($A83&lt;VARIABLES!$B$7,AND($A83&gt;=VARIABLES!$B$8,$A83&lt;VARIABLES!$B$10)),VARIABLES!$B$13,0)</f>
        <v>0</v>
      </c>
      <c r="AL83" s="46">
        <f t="shared" si="24"/>
        <v>745236.70498439355</v>
      </c>
      <c r="AM83" s="46">
        <f t="shared" si="25"/>
        <v>12911728.140575618</v>
      </c>
      <c r="AN83" s="41">
        <f t="shared" si="26"/>
        <v>0</v>
      </c>
    </row>
    <row r="84" spans="1:40" x14ac:dyDescent="0.2">
      <c r="A84" s="32">
        <v>81</v>
      </c>
      <c r="B84" s="32" t="str">
        <f>TEXT(DATE(VARIABLES!$B$70+INT((VARIABLES!$B$71+$A84-2)/12),MOD(VARIABLES!$B$71+$A84-2,12)+1,1),"mmm-yy")</f>
        <v>Feb-33</v>
      </c>
      <c r="C84" s="33">
        <f>IF($A84&lt;VARIABLES!$B$7,VARIABLES!$B$5/12,IF($A84&lt;VARIABLES!$B$8,VARIABLES!$B$6/12,IF($A84&lt;VARIABLES!$B$10,VARIABLES!$B$9/12,VARIABLES!$B$11/12)))</f>
        <v>4.1666666666666664E-2</v>
      </c>
      <c r="D84" s="34">
        <f>IF($A84&lt;VARIABLES!$B$31,0,IF($A84=VARIABLES!$B$31,VARIABLES!$B$32+VARIABLES!$B$33,VARIABLES!$B$33))</f>
        <v>200000</v>
      </c>
      <c r="E84" s="34">
        <f>D84*VARIABLES!$B$34</f>
        <v>1500</v>
      </c>
      <c r="F84" s="34">
        <f>IF($A84&lt;VARIABLES!$B$31,0,(IF($A84=VARIABLES!$B$31,0,G83)+D84)*C84*VARIABLES!$B$35)</f>
        <v>110556.296669781</v>
      </c>
      <c r="G84" s="34">
        <f>IF($A84&lt;VARIABLES!$B$31,0,(IF($A84=VARIABLES!$B$31,0,G83)+D84)*(1+C84)-F84)</f>
        <v>110445740.37311123</v>
      </c>
      <c r="H84" s="34">
        <f>IF($A84&lt;VARIABLES!$B$38,0,IF($A84=VARIABLES!$B$38,VARIABLES!$B$39+VARIABLES!$B$40,VARIABLES!$B$40))</f>
        <v>40000</v>
      </c>
      <c r="I84" s="34">
        <f>H84*VARIABLES!$B$41</f>
        <v>300</v>
      </c>
      <c r="J84" s="34">
        <f>IF($A84&lt;VARIABLES!$B$38,0,(IF($A84=VARIABLES!$B$38,0,K83)+H84)*C84*VARIABLES!$B$42)</f>
        <v>67781.343927503825</v>
      </c>
      <c r="K84" s="34">
        <f>IF($A84&lt;VARIABLES!$B$38,0,(IF($A84=VARIABLES!$B$38,0,K83)+H84)*(1+C84)-J84)</f>
        <v>16877554.637948453</v>
      </c>
      <c r="L84" s="34">
        <f>IF($A84&lt;VARIABLES!$B$45,0,IF($A84=VARIABLES!$B$45,VARIABLES!$B$46+VARIABLES!$B$47,VARIABLES!$B$47))</f>
        <v>0</v>
      </c>
      <c r="M84" s="34">
        <f>L84*VARIABLES!$B$48</f>
        <v>0</v>
      </c>
      <c r="N84" s="34">
        <f>IF($A84&lt;VARIABLES!$B$45,0,(IF($A84=VARIABLES!$B$45,0,O83)+L84)*C84*VARIABLES!$B$49)</f>
        <v>345452.99185794778</v>
      </c>
      <c r="O84" s="34">
        <f>IF($A84&lt;VARIABLES!$B$45,0,(IF($A84=VARIABLES!$B$45,0,O83)+L84)*(1+C84)-N84)</f>
        <v>86017794.972629011</v>
      </c>
      <c r="P84" s="34">
        <f>IF($A84&lt;VARIABLES!$B$52,0,IF($A84=VARIABLES!$B$52,VARIABLES!$B$53+VARIABLES!$B$54,VARIABLES!$B$54))</f>
        <v>20000</v>
      </c>
      <c r="Q84" s="34">
        <f>P84*VARIABLES!$B$55</f>
        <v>150</v>
      </c>
      <c r="R84" s="34">
        <f>IF($A84&lt;VARIABLES!$B$52,0,(IF($A84=VARIABLES!$B$52,0,S83)+P84)*C84*VARIABLES!$B$56)</f>
        <v>9916.7479733003947</v>
      </c>
      <c r="S84" s="34">
        <f>IF($A84&lt;VARIABLES!$B$52,0,(IF($A84=VARIABLES!$B$52,0,S83)+P84)*(1+C84)-R84)</f>
        <v>9906831.225327095</v>
      </c>
      <c r="T84" s="35">
        <f>IF($A84&lt;VARIABLES!$B$60,0,MIN(VARIABLES!$B$59,INT(($A84-VARIABLES!$B$60)/VARIABLES!$B$61)+1)*VARIABLES!$B$62)</f>
        <v>79</v>
      </c>
      <c r="U84" s="34">
        <f>T84*VARIABLES!$B$64+IF(AND($A84&gt;=VARIABLES!$B$60,MOD($A84-VARIABLES!$B$60,VARIABLES!$B$61)=0,INT(($A84-VARIABLES!$B$60)/VARIABLES!$B$61)&lt;VARIABLES!$B$59),VARIABLES!$B$62*VARIABLES!$B$63,0)</f>
        <v>445000</v>
      </c>
      <c r="V84" s="34">
        <f>U84*VARIABLES!$B$65</f>
        <v>3337.5</v>
      </c>
      <c r="W84" s="34">
        <f>IF($A84&lt;VARIABLES!$B$60,0,(IF($A84&lt;VARIABLES!$B$60+1,0,X83)+U84)*C84*VARIABLES!$B$66)</f>
        <v>274302.48572651873</v>
      </c>
      <c r="X84" s="34">
        <f>IF($A84&lt;VARIABLES!$B$60,0,(IF($A84&lt;VARIABLES!$B$60+1,0,X83)+U84)*(1+C84)-W84)</f>
        <v>68301318.945903167</v>
      </c>
      <c r="Y84" s="34">
        <f t="shared" si="18"/>
        <v>705000</v>
      </c>
      <c r="Z84" s="34">
        <f t="shared" si="19"/>
        <v>5287.5</v>
      </c>
      <c r="AA84" s="34">
        <f t="shared" si="20"/>
        <v>808009.86615505163</v>
      </c>
      <c r="AB84" s="34">
        <f>(IF($A84=1,0,AD83)*VARIABLES!$B$18*VARIABLES!$B$16*VARIABLES!$B$17)+(Y84*VARIABLES!$B$16*VARIABLES!$B$17)</f>
        <v>35347.245002528878</v>
      </c>
      <c r="AC84" s="36">
        <f t="shared" si="21"/>
        <v>848644.61115758051</v>
      </c>
      <c r="AD84" s="37">
        <f t="shared" si="22"/>
        <v>291549240.15491897</v>
      </c>
      <c r="AE84" s="34">
        <f>IF($A84=1,VARIABLES!$B$21,0)</f>
        <v>0</v>
      </c>
      <c r="AF84" s="34">
        <f>IF($A84&lt;=3,VARIABLES!$B$22,IF($A84&lt;=6,VARIABLES!$B$23,VARIABLES!$B$24))*(1+VARIABLES!$B$25)^INT(($A84-1)/12)</f>
        <v>65251.87916377603</v>
      </c>
      <c r="AG84" s="34">
        <f>IF(MOD($A84,12)=0,AD84*VARIABLES!$B$26,0)</f>
        <v>0</v>
      </c>
      <c r="AH84" s="34">
        <f>VARIABLES!$B$27</f>
        <v>5000</v>
      </c>
      <c r="AI84" s="34">
        <f>IF(MOD($A84,12)=0,VARIABLES!$B$28,0)</f>
        <v>0</v>
      </c>
      <c r="AJ84" s="38">
        <f t="shared" si="23"/>
        <v>70251.87916377603</v>
      </c>
      <c r="AK84" s="39">
        <f>IF(OR($A84&lt;VARIABLES!$B$7,AND($A84&gt;=VARIABLES!$B$8,$A84&lt;VARIABLES!$B$10)),VARIABLES!$B$13,0)</f>
        <v>0</v>
      </c>
      <c r="AL84" s="40">
        <f t="shared" si="24"/>
        <v>778392.73199380445</v>
      </c>
      <c r="AM84" s="40">
        <f t="shared" si="25"/>
        <v>13690120.872569421</v>
      </c>
      <c r="AN84" s="41">
        <f t="shared" si="26"/>
        <v>0</v>
      </c>
    </row>
    <row r="85" spans="1:40" x14ac:dyDescent="0.2">
      <c r="A85" s="42">
        <v>82</v>
      </c>
      <c r="B85" s="42" t="str">
        <f>TEXT(DATE(VARIABLES!$B$70+INT((VARIABLES!$B$71+$A85-2)/12),MOD(VARIABLES!$B$71+$A85-2,12)+1,1),"mmm-yy")</f>
        <v>Mar-33</v>
      </c>
      <c r="C85" s="43">
        <f>IF($A85&lt;VARIABLES!$B$7,VARIABLES!$B$5/12,IF($A85&lt;VARIABLES!$B$8,VARIABLES!$B$6/12,IF($A85&lt;VARIABLES!$B$10,VARIABLES!$B$9/12,VARIABLES!$B$11/12)))</f>
        <v>4.1666666666666664E-2</v>
      </c>
      <c r="D85" s="44">
        <f>IF($A85&lt;VARIABLES!$B$31,0,IF($A85=VARIABLES!$B$31,VARIABLES!$B$32+VARIABLES!$B$33,VARIABLES!$B$33))</f>
        <v>200000</v>
      </c>
      <c r="E85" s="44">
        <f>D85*VARIABLES!$B$34</f>
        <v>1500</v>
      </c>
      <c r="F85" s="44">
        <f>IF($A85&lt;VARIABLES!$B$31,0,(IF($A85=VARIABLES!$B$31,0,G84)+D85)*C85*VARIABLES!$B$35)</f>
        <v>115255.97955532419</v>
      </c>
      <c r="G85" s="44">
        <f>IF($A85&lt;VARIABLES!$B$31,0,(IF($A85=VARIABLES!$B$31,0,G84)+D85)*(1+C85)-F85)</f>
        <v>115140723.57576889</v>
      </c>
      <c r="H85" s="44">
        <f>IF($A85&lt;VARIABLES!$B$38,0,IF($A85=VARIABLES!$B$38,VARIABLES!$B$39+VARIABLES!$B$40,VARIABLES!$B$40))</f>
        <v>40000</v>
      </c>
      <c r="I85" s="44">
        <f>H85*VARIABLES!$B$41</f>
        <v>300</v>
      </c>
      <c r="J85" s="44">
        <f>IF($A85&lt;VARIABLES!$B$38,0,(IF($A85=VARIABLES!$B$38,0,K84)+H85)*C85*VARIABLES!$B$42)</f>
        <v>70489.810991451886</v>
      </c>
      <c r="K85" s="44">
        <f>IF($A85&lt;VARIABLES!$B$38,0,(IF($A85=VARIABLES!$B$38,0,K84)+H85)*(1+C85)-J85)</f>
        <v>17551962.936871521</v>
      </c>
      <c r="L85" s="44">
        <f>IF($A85&lt;VARIABLES!$B$45,0,IF($A85=VARIABLES!$B$45,VARIABLES!$B$46+VARIABLES!$B$47,VARIABLES!$B$47))</f>
        <v>0</v>
      </c>
      <c r="M85" s="44">
        <f>L85*VARIABLES!$B$48</f>
        <v>0</v>
      </c>
      <c r="N85" s="44">
        <f>IF($A85&lt;VARIABLES!$B$45,0,(IF($A85=VARIABLES!$B$45,0,O84)+L85)*C85*VARIABLES!$B$49)</f>
        <v>358407.47905262088</v>
      </c>
      <c r="O85" s="44">
        <f>IF($A85&lt;VARIABLES!$B$45,0,(IF($A85=VARIABLES!$B$45,0,O84)+L85)*(1+C85)-N85)</f>
        <v>89243462.284102604</v>
      </c>
      <c r="P85" s="44">
        <f>IF($A85&lt;VARIABLES!$B$52,0,IF($A85=VARIABLES!$B$52,VARIABLES!$B$53+VARIABLES!$B$54,VARIABLES!$B$54))</f>
        <v>20000</v>
      </c>
      <c r="Q85" s="44">
        <f>P85*VARIABLES!$B$55</f>
        <v>150</v>
      </c>
      <c r="R85" s="44">
        <f>IF($A85&lt;VARIABLES!$B$52,0,(IF($A85=VARIABLES!$B$52,0,S84)+P85)*C85*VARIABLES!$B$56)</f>
        <v>10340.449193049057</v>
      </c>
      <c r="S85" s="44">
        <f>IF($A85&lt;VARIABLES!$B$52,0,(IF($A85=VARIABLES!$B$52,0,S84)+P85)*(1+C85)-R85)</f>
        <v>10330108.743856009</v>
      </c>
      <c r="T85" s="45">
        <f>IF($A85&lt;VARIABLES!$B$60,0,MIN(VARIABLES!$B$59,INT(($A85-VARIABLES!$B$60)/VARIABLES!$B$61)+1)*VARIABLES!$B$62)</f>
        <v>80</v>
      </c>
      <c r="U85" s="44">
        <f>T85*VARIABLES!$B$64+IF(AND($A85&gt;=VARIABLES!$B$60,MOD($A85-VARIABLES!$B$60,VARIABLES!$B$61)=0,INT(($A85-VARIABLES!$B$60)/VARIABLES!$B$61)&lt;VARIABLES!$B$59),VARIABLES!$B$62*VARIABLES!$B$63,0)</f>
        <v>450000</v>
      </c>
      <c r="V85" s="44">
        <f>U85*VARIABLES!$B$65</f>
        <v>3375</v>
      </c>
      <c r="W85" s="44">
        <f>IF($A85&lt;VARIABLES!$B$60,0,(IF($A85&lt;VARIABLES!$B$60+1,0,X84)+U85)*C85*VARIABLES!$B$66)</f>
        <v>286463.8289412632</v>
      </c>
      <c r="X85" s="44">
        <f>IF($A85&lt;VARIABLES!$B$60,0,(IF($A85&lt;VARIABLES!$B$60+1,0,X84)+U85)*(1+C85)-W85)</f>
        <v>71329493.406374544</v>
      </c>
      <c r="Y85" s="44">
        <f t="shared" si="18"/>
        <v>710000</v>
      </c>
      <c r="Z85" s="44">
        <f t="shared" si="19"/>
        <v>5325</v>
      </c>
      <c r="AA85" s="44">
        <f t="shared" si="20"/>
        <v>840957.54773370922</v>
      </c>
      <c r="AB85" s="44">
        <f>(IF($A85=1,0,AD84)*VARIABLES!$B$18*VARIABLES!$B$16*VARIABLES!$B$17)+(Y85*VARIABLES!$B$16*VARIABLES!$B$17)</f>
        <v>36798.655019364873</v>
      </c>
      <c r="AC85" s="36">
        <f t="shared" si="21"/>
        <v>883081.20275307412</v>
      </c>
      <c r="AD85" s="37">
        <f t="shared" si="22"/>
        <v>303595750.94697356</v>
      </c>
      <c r="AE85" s="44">
        <f>IF($A85=1,VARIABLES!$B$21,0)</f>
        <v>0</v>
      </c>
      <c r="AF85" s="44">
        <f>IF($A85&lt;=3,VARIABLES!$B$22,IF($A85&lt;=6,VARIABLES!$B$23,VARIABLES!$B$24))*(1+VARIABLES!$B$25)^INT(($A85-1)/12)</f>
        <v>65251.87916377603</v>
      </c>
      <c r="AG85" s="44">
        <f>IF(MOD($A85,12)=0,AD85*VARIABLES!$B$26,0)</f>
        <v>0</v>
      </c>
      <c r="AH85" s="44">
        <f>VARIABLES!$B$27</f>
        <v>5000</v>
      </c>
      <c r="AI85" s="44">
        <f>IF(MOD($A85,12)=0,VARIABLES!$B$28,0)</f>
        <v>0</v>
      </c>
      <c r="AJ85" s="38">
        <f t="shared" si="23"/>
        <v>70251.87916377603</v>
      </c>
      <c r="AK85" s="39">
        <f>IF(OR($A85&lt;VARIABLES!$B$7,AND($A85&gt;=VARIABLES!$B$8,$A85&lt;VARIABLES!$B$10)),VARIABLES!$B$13,0)</f>
        <v>0</v>
      </c>
      <c r="AL85" s="46">
        <f t="shared" si="24"/>
        <v>812829.32358929806</v>
      </c>
      <c r="AM85" s="46">
        <f t="shared" si="25"/>
        <v>14502950.19615872</v>
      </c>
      <c r="AN85" s="41">
        <f t="shared" si="26"/>
        <v>0</v>
      </c>
    </row>
    <row r="86" spans="1:40" x14ac:dyDescent="0.2">
      <c r="A86" s="32">
        <v>83</v>
      </c>
      <c r="B86" s="32" t="str">
        <f>TEXT(DATE(VARIABLES!$B$70+INT((VARIABLES!$B$71+$A86-2)/12),MOD(VARIABLES!$B$71+$A86-2,12)+1,1),"mmm-yy")</f>
        <v>Apr-33</v>
      </c>
      <c r="C86" s="33">
        <f>IF($A86&lt;VARIABLES!$B$7,VARIABLES!$B$5/12,IF($A86&lt;VARIABLES!$B$8,VARIABLES!$B$6/12,IF($A86&lt;VARIABLES!$B$10,VARIABLES!$B$9/12,VARIABLES!$B$11/12)))</f>
        <v>4.1666666666666664E-2</v>
      </c>
      <c r="D86" s="34">
        <f>IF($A86&lt;VARIABLES!$B$31,0,IF($A86=VARIABLES!$B$31,VARIABLES!$B$32+VARIABLES!$B$33,VARIABLES!$B$33))</f>
        <v>200000</v>
      </c>
      <c r="E86" s="34">
        <f>D86*VARIABLES!$B$34</f>
        <v>1500</v>
      </c>
      <c r="F86" s="34">
        <f>IF($A86&lt;VARIABLES!$B$31,0,(IF($A86=VARIABLES!$B$31,0,G85)+D86)*C86*VARIABLES!$B$35)</f>
        <v>120146.58705809258</v>
      </c>
      <c r="G86" s="34">
        <f>IF($A86&lt;VARIABLES!$B$31,0,(IF($A86=VARIABLES!$B$31,0,G85)+D86)*(1+C86)-F86)</f>
        <v>120026440.4710345</v>
      </c>
      <c r="H86" s="34">
        <f>IF($A86&lt;VARIABLES!$B$38,0,IF($A86=VARIABLES!$B$38,VARIABLES!$B$39+VARIABLES!$B$40,VARIABLES!$B$40))</f>
        <v>40000</v>
      </c>
      <c r="I86" s="34">
        <f>H86*VARIABLES!$B$41</f>
        <v>300</v>
      </c>
      <c r="J86" s="34">
        <f>IF($A86&lt;VARIABLES!$B$38,0,(IF($A86=VARIABLES!$B$38,0,K85)+H86)*C86*VARIABLES!$B$42)</f>
        <v>73299.845570298014</v>
      </c>
      <c r="K86" s="34">
        <f>IF($A86&lt;VARIABLES!$B$38,0,(IF($A86=VARIABLES!$B$38,0,K85)+H86)*(1+C86)-J86)</f>
        <v>18251661.547004204</v>
      </c>
      <c r="L86" s="34">
        <f>IF($A86&lt;VARIABLES!$B$45,0,IF($A86=VARIABLES!$B$45,VARIABLES!$B$46+VARIABLES!$B$47,VARIABLES!$B$47))</f>
        <v>0</v>
      </c>
      <c r="M86" s="34">
        <f>L86*VARIABLES!$B$48</f>
        <v>0</v>
      </c>
      <c r="N86" s="34">
        <f>IF($A86&lt;VARIABLES!$B$45,0,(IF($A86=VARIABLES!$B$45,0,O85)+L86)*C86*VARIABLES!$B$49)</f>
        <v>371847.75951709418</v>
      </c>
      <c r="O86" s="34">
        <f>IF($A86&lt;VARIABLES!$B$45,0,(IF($A86=VARIABLES!$B$45,0,O85)+L86)*(1+C86)-N86)</f>
        <v>92590092.11975646</v>
      </c>
      <c r="P86" s="34">
        <f>IF($A86&lt;VARIABLES!$B$52,0,IF($A86=VARIABLES!$B$52,VARIABLES!$B$53+VARIABLES!$B$54,VARIABLES!$B$54))</f>
        <v>20000</v>
      </c>
      <c r="Q86" s="34">
        <f>P86*VARIABLES!$B$55</f>
        <v>150</v>
      </c>
      <c r="R86" s="34">
        <f>IF($A86&lt;VARIABLES!$B$52,0,(IF($A86=VARIABLES!$B$52,0,S85)+P86)*C86*VARIABLES!$B$56)</f>
        <v>10781.363274850009</v>
      </c>
      <c r="S86" s="34">
        <f>IF($A86&lt;VARIABLES!$B$52,0,(IF($A86=VARIABLES!$B$52,0,S85)+P86)*(1+C86)-R86)</f>
        <v>10770581.911575161</v>
      </c>
      <c r="T86" s="35">
        <f>IF($A86&lt;VARIABLES!$B$60,0,MIN(VARIABLES!$B$59,INT(($A86-VARIABLES!$B$60)/VARIABLES!$B$61)+1)*VARIABLES!$B$62)</f>
        <v>81</v>
      </c>
      <c r="U86" s="34">
        <f>T86*VARIABLES!$B$64+IF(AND($A86&gt;=VARIABLES!$B$60,MOD($A86-VARIABLES!$B$60,VARIABLES!$B$61)=0,INT(($A86-VARIABLES!$B$60)/VARIABLES!$B$61)&lt;VARIABLES!$B$59),VARIABLES!$B$62*VARIABLES!$B$63,0)</f>
        <v>455000</v>
      </c>
      <c r="V86" s="34">
        <f>U86*VARIABLES!$B$65</f>
        <v>3412.5</v>
      </c>
      <c r="W86" s="34">
        <f>IF($A86&lt;VARIABLES!$B$60,0,(IF($A86&lt;VARIABLES!$B$60+1,0,X85)+U86)*C86*VARIABLES!$B$66)</f>
        <v>299102.05585989397</v>
      </c>
      <c r="X86" s="34">
        <f>IF($A86&lt;VARIABLES!$B$60,0,(IF($A86&lt;VARIABLES!$B$60+1,0,X85)+U86)*(1+C86)-W86)</f>
        <v>74476411.909113601</v>
      </c>
      <c r="Y86" s="34">
        <f t="shared" si="18"/>
        <v>715000</v>
      </c>
      <c r="Z86" s="34">
        <f t="shared" si="19"/>
        <v>5362.5</v>
      </c>
      <c r="AA86" s="34">
        <f t="shared" si="20"/>
        <v>875177.61128022871</v>
      </c>
      <c r="AB86" s="34">
        <f>(IF($A86=1,0,AD85)*VARIABLES!$B$18*VARIABLES!$B$16*VARIABLES!$B$17)+(Y86*VARIABLES!$B$16*VARIABLES!$B$17)</f>
        <v>38306.968868371696</v>
      </c>
      <c r="AC86" s="36">
        <f t="shared" si="21"/>
        <v>918847.08014860039</v>
      </c>
      <c r="AD86" s="37">
        <f t="shared" si="22"/>
        <v>316115187.95848393</v>
      </c>
      <c r="AE86" s="34">
        <f>IF($A86=1,VARIABLES!$B$21,0)</f>
        <v>0</v>
      </c>
      <c r="AF86" s="34">
        <f>IF($A86&lt;=3,VARIABLES!$B$22,IF($A86&lt;=6,VARIABLES!$B$23,VARIABLES!$B$24))*(1+VARIABLES!$B$25)^INT(($A86-1)/12)</f>
        <v>65251.87916377603</v>
      </c>
      <c r="AG86" s="34">
        <f>IF(MOD($A86,12)=0,AD86*VARIABLES!$B$26,0)</f>
        <v>0</v>
      </c>
      <c r="AH86" s="34">
        <f>VARIABLES!$B$27</f>
        <v>5000</v>
      </c>
      <c r="AI86" s="34">
        <f>IF(MOD($A86,12)=0,VARIABLES!$B$28,0)</f>
        <v>0</v>
      </c>
      <c r="AJ86" s="38">
        <f t="shared" si="23"/>
        <v>70251.87916377603</v>
      </c>
      <c r="AK86" s="39">
        <f>IF(OR($A86&lt;VARIABLES!$B$7,AND($A86&gt;=VARIABLES!$B$8,$A86&lt;VARIABLES!$B$10)),VARIABLES!$B$13,0)</f>
        <v>0</v>
      </c>
      <c r="AL86" s="40">
        <f t="shared" si="24"/>
        <v>848595.20098482433</v>
      </c>
      <c r="AM86" s="40">
        <f t="shared" si="25"/>
        <v>15351545.397143545</v>
      </c>
      <c r="AN86" s="41">
        <f t="shared" si="26"/>
        <v>0</v>
      </c>
    </row>
    <row r="87" spans="1:40" x14ac:dyDescent="0.2">
      <c r="A87" s="42">
        <v>84</v>
      </c>
      <c r="B87" s="42" t="str">
        <f>TEXT(DATE(VARIABLES!$B$70+INT((VARIABLES!$B$71+$A87-2)/12),MOD(VARIABLES!$B$71+$A87-2,12)+1,1),"mmm-yy")</f>
        <v>May-33</v>
      </c>
      <c r="C87" s="43">
        <f>IF($A87&lt;VARIABLES!$B$7,VARIABLES!$B$5/12,IF($A87&lt;VARIABLES!$B$8,VARIABLES!$B$6/12,IF($A87&lt;VARIABLES!$B$10,VARIABLES!$B$9/12,VARIABLES!$B$11/12)))</f>
        <v>4.1666666666666664E-2</v>
      </c>
      <c r="D87" s="44">
        <f>IF($A87&lt;VARIABLES!$B$31,0,IF($A87=VARIABLES!$B$31,VARIABLES!$B$32+VARIABLES!$B$33,VARIABLES!$B$33))</f>
        <v>200000</v>
      </c>
      <c r="E87" s="44">
        <f>D87*VARIABLES!$B$34</f>
        <v>1500</v>
      </c>
      <c r="F87" s="44">
        <f>IF($A87&lt;VARIABLES!$B$31,0,(IF($A87=VARIABLES!$B$31,0,G86)+D87)*C87*VARIABLES!$B$35)</f>
        <v>125235.87549066092</v>
      </c>
      <c r="G87" s="44">
        <f>IF($A87&lt;VARIABLES!$B$31,0,(IF($A87=VARIABLES!$B$31,0,G86)+D87)*(1+C87)-F87)</f>
        <v>125110639.61517029</v>
      </c>
      <c r="H87" s="44">
        <f>IF($A87&lt;VARIABLES!$B$38,0,IF($A87=VARIABLES!$B$38,VARIABLES!$B$39+VARIABLES!$B$40,VARIABLES!$B$40))</f>
        <v>40000</v>
      </c>
      <c r="I87" s="44">
        <f>H87*VARIABLES!$B$41</f>
        <v>300</v>
      </c>
      <c r="J87" s="44">
        <f>IF($A87&lt;VARIABLES!$B$38,0,(IF($A87=VARIABLES!$B$38,0,K86)+H87)*C87*VARIABLES!$B$42)</f>
        <v>76215.256445850857</v>
      </c>
      <c r="K87" s="44">
        <f>IF($A87&lt;VARIABLES!$B$38,0,(IF($A87=VARIABLES!$B$38,0,K86)+H87)*(1+C87)-J87)</f>
        <v>18977598.855016861</v>
      </c>
      <c r="L87" s="44">
        <f>IF($A87&lt;VARIABLES!$B$45,0,IF($A87=VARIABLES!$B$45,VARIABLES!$B$46+VARIABLES!$B$47,VARIABLES!$B$47))</f>
        <v>0</v>
      </c>
      <c r="M87" s="44">
        <f>L87*VARIABLES!$B$48</f>
        <v>0</v>
      </c>
      <c r="N87" s="44">
        <f>IF($A87&lt;VARIABLES!$B$45,0,(IF($A87=VARIABLES!$B$45,0,O86)+L87)*C87*VARIABLES!$B$49)</f>
        <v>385792.05049898522</v>
      </c>
      <c r="O87" s="44">
        <f>IF($A87&lt;VARIABLES!$B$45,0,(IF($A87=VARIABLES!$B$45,0,O86)+L87)*(1+C87)-N87)</f>
        <v>96062220.57424733</v>
      </c>
      <c r="P87" s="44">
        <f>IF($A87&lt;VARIABLES!$B$52,0,IF($A87=VARIABLES!$B$52,VARIABLES!$B$53+VARIABLES!$B$54,VARIABLES!$B$54))</f>
        <v>20000</v>
      </c>
      <c r="Q87" s="44">
        <f>P87*VARIABLES!$B$55</f>
        <v>150</v>
      </c>
      <c r="R87" s="44">
        <f>IF($A87&lt;VARIABLES!$B$52,0,(IF($A87=VARIABLES!$B$52,0,S86)+P87)*C87*VARIABLES!$B$56)</f>
        <v>11240.189491224126</v>
      </c>
      <c r="S87" s="44">
        <f>IF($A87&lt;VARIABLES!$B$52,0,(IF($A87=VARIABLES!$B$52,0,S86)+P87)*(1+C87)-R87)</f>
        <v>11228949.301732903</v>
      </c>
      <c r="T87" s="45">
        <f>IF($A87&lt;VARIABLES!$B$60,0,MIN(VARIABLES!$B$59,INT(($A87-VARIABLES!$B$60)/VARIABLES!$B$61)+1)*VARIABLES!$B$62)</f>
        <v>82</v>
      </c>
      <c r="U87" s="44">
        <f>T87*VARIABLES!$B$64+IF(AND($A87&gt;=VARIABLES!$B$60,MOD($A87-VARIABLES!$B$60,VARIABLES!$B$61)=0,INT(($A87-VARIABLES!$B$60)/VARIABLES!$B$61)&lt;VARIABLES!$B$59),VARIABLES!$B$62*VARIABLES!$B$63,0)</f>
        <v>460000</v>
      </c>
      <c r="V87" s="44">
        <f>U87*VARIABLES!$B$65</f>
        <v>3450</v>
      </c>
      <c r="W87" s="44">
        <f>IF($A87&lt;VARIABLES!$B$60,0,(IF($A87&lt;VARIABLES!$B$60+1,0,X86)+U87)*C87*VARIABLES!$B$66)</f>
        <v>312235.04962130665</v>
      </c>
      <c r="X87" s="44">
        <f>IF($A87&lt;VARIABLES!$B$60,0,(IF($A87&lt;VARIABLES!$B$60+1,0,X86)+U87)*(1+C87)-W87)</f>
        <v>77746527.355705366</v>
      </c>
      <c r="Y87" s="44">
        <f t="shared" si="18"/>
        <v>720000</v>
      </c>
      <c r="Z87" s="44">
        <f t="shared" si="19"/>
        <v>5400</v>
      </c>
      <c r="AA87" s="44">
        <f t="shared" si="20"/>
        <v>910718.42154802778</v>
      </c>
      <c r="AB87" s="44">
        <f>(IF($A87=1,0,AD86)*VARIABLES!$B$18*VARIABLES!$B$16*VARIABLES!$B$17)+(Y87*VARIABLES!$B$16*VARIABLES!$B$17)</f>
        <v>39874.398494810492</v>
      </c>
      <c r="AC87" s="36">
        <f t="shared" si="21"/>
        <v>955992.82004283823</v>
      </c>
      <c r="AD87" s="37">
        <f t="shared" si="22"/>
        <v>329125935.70187277</v>
      </c>
      <c r="AE87" s="44">
        <f>IF($A87=1,VARIABLES!$B$21,0)</f>
        <v>0</v>
      </c>
      <c r="AF87" s="44">
        <f>IF($A87&lt;=3,VARIABLES!$B$22,IF($A87&lt;=6,VARIABLES!$B$23,VARIABLES!$B$24))*(1+VARIABLES!$B$25)^INT(($A87-1)/12)</f>
        <v>65251.87916377603</v>
      </c>
      <c r="AG87" s="44">
        <f>IF(MOD($A87,12)=0,AD87*VARIABLES!$B$26,0)</f>
        <v>822814.83925468195</v>
      </c>
      <c r="AH87" s="44">
        <f>VARIABLES!$B$27</f>
        <v>5000</v>
      </c>
      <c r="AI87" s="44">
        <f>IF(MOD($A87,12)=0,VARIABLES!$B$28,0)</f>
        <v>3000</v>
      </c>
      <c r="AJ87" s="38">
        <f t="shared" si="23"/>
        <v>896066.71841845801</v>
      </c>
      <c r="AK87" s="39">
        <f>IF(OR($A87&lt;VARIABLES!$B$7,AND($A87&gt;=VARIABLES!$B$8,$A87&lt;VARIABLES!$B$10)),VARIABLES!$B$13,0)</f>
        <v>0</v>
      </c>
      <c r="AL87" s="46">
        <f t="shared" si="24"/>
        <v>59926.101624380215</v>
      </c>
      <c r="AM87" s="46">
        <f t="shared" si="25"/>
        <v>15411471.498767925</v>
      </c>
      <c r="AN87" s="41">
        <f t="shared" si="26"/>
        <v>0</v>
      </c>
    </row>
    <row r="88" spans="1:40" x14ac:dyDescent="0.2">
      <c r="A88" s="32">
        <v>85</v>
      </c>
      <c r="B88" s="32" t="str">
        <f>TEXT(DATE(VARIABLES!$B$70+INT((VARIABLES!$B$71+$A88-2)/12),MOD(VARIABLES!$B$71+$A88-2,12)+1,1),"mmm-yy")</f>
        <v>Jun-33</v>
      </c>
      <c r="C88" s="33">
        <f>IF($A88&lt;VARIABLES!$B$7,VARIABLES!$B$5/12,IF($A88&lt;VARIABLES!$B$8,VARIABLES!$B$6/12,IF($A88&lt;VARIABLES!$B$10,VARIABLES!$B$9/12,VARIABLES!$B$11/12)))</f>
        <v>8.3333333333333332E-3</v>
      </c>
      <c r="D88" s="34">
        <f>IF($A88&lt;VARIABLES!$B$31,0,IF($A88=VARIABLES!$B$31,VARIABLES!$B$32+VARIABLES!$B$33,VARIABLES!$B$33))</f>
        <v>200000</v>
      </c>
      <c r="E88" s="34">
        <f>D88*VARIABLES!$B$34</f>
        <v>1500</v>
      </c>
      <c r="F88" s="34">
        <f>IF($A88&lt;VARIABLES!$B$31,0,(IF($A88=VARIABLES!$B$31,0,G87)+D88)*C88*VARIABLES!$B$35)</f>
        <v>26106.383253160478</v>
      </c>
      <c r="G88" s="34">
        <f>IF($A88&lt;VARIABLES!$B$31,0,(IF($A88=VARIABLES!$B$31,0,G87)+D88)*(1+C88)-F88)</f>
        <v>126328788.56204355</v>
      </c>
      <c r="H88" s="34">
        <f>IF($A88&lt;VARIABLES!$B$38,0,IF($A88=VARIABLES!$B$38,VARIABLES!$B$39+VARIABLES!$B$40,VARIABLES!$B$40))</f>
        <v>40000</v>
      </c>
      <c r="I88" s="34">
        <f>H88*VARIABLES!$B$41</f>
        <v>300</v>
      </c>
      <c r="J88" s="34">
        <f>IF($A88&lt;VARIABLES!$B$38,0,(IF($A88=VARIABLES!$B$38,0,K87)+H88)*C88*VARIABLES!$B$42)</f>
        <v>15847.999045847386</v>
      </c>
      <c r="K88" s="34">
        <f>IF($A88&lt;VARIABLES!$B$38,0,(IF($A88=VARIABLES!$B$38,0,K87)+H88)*(1+C88)-J88)</f>
        <v>19160230.846429486</v>
      </c>
      <c r="L88" s="34">
        <f>IF($A88&lt;VARIABLES!$B$45,0,IF($A88=VARIABLES!$B$45,VARIABLES!$B$46+VARIABLES!$B$47,VARIABLES!$B$47))</f>
        <v>0</v>
      </c>
      <c r="M88" s="34">
        <f>L88*VARIABLES!$B$48</f>
        <v>0</v>
      </c>
      <c r="N88" s="34">
        <f>IF($A88&lt;VARIABLES!$B$45,0,(IF($A88=VARIABLES!$B$45,0,O87)+L88)*C88*VARIABLES!$B$49)</f>
        <v>80051.850478539447</v>
      </c>
      <c r="O88" s="34">
        <f>IF($A88&lt;VARIABLES!$B$45,0,(IF($A88=VARIABLES!$B$45,0,O87)+L88)*(1+C88)-N88)</f>
        <v>96782687.228554174</v>
      </c>
      <c r="P88" s="34">
        <f>IF($A88&lt;VARIABLES!$B$52,0,IF($A88=VARIABLES!$B$52,VARIABLES!$B$53+VARIABLES!$B$54,VARIABLES!$B$54))</f>
        <v>20000</v>
      </c>
      <c r="Q88" s="34">
        <f>P88*VARIABLES!$B$55</f>
        <v>150</v>
      </c>
      <c r="R88" s="34">
        <f>IF($A88&lt;VARIABLES!$B$52,0,(IF($A88=VARIABLES!$B$52,0,S87)+P88)*C88*VARIABLES!$B$56)</f>
        <v>2343.5311045276881</v>
      </c>
      <c r="S88" s="34">
        <f>IF($A88&lt;VARIABLES!$B$52,0,(IF($A88=VARIABLES!$B$52,0,S87)+P88)*(1+C88)-R88)</f>
        <v>11340347.014809484</v>
      </c>
      <c r="T88" s="35">
        <f>IF($A88&lt;VARIABLES!$B$60,0,MIN(VARIABLES!$B$59,INT(($A88-VARIABLES!$B$60)/VARIABLES!$B$61)+1)*VARIABLES!$B$62)</f>
        <v>83</v>
      </c>
      <c r="U88" s="34">
        <f>T88*VARIABLES!$B$64+IF(AND($A88&gt;=VARIABLES!$B$60,MOD($A88-VARIABLES!$B$60,VARIABLES!$B$61)=0,INT(($A88-VARIABLES!$B$60)/VARIABLES!$B$61)&lt;VARIABLES!$B$59),VARIABLES!$B$62*VARIABLES!$B$63,0)</f>
        <v>465000</v>
      </c>
      <c r="V88" s="34">
        <f>U88*VARIABLES!$B$65</f>
        <v>3487.5</v>
      </c>
      <c r="W88" s="34">
        <f>IF($A88&lt;VARIABLES!$B$60,0,(IF($A88&lt;VARIABLES!$B$60+1,0,X87)+U88)*C88*VARIABLES!$B$66)</f>
        <v>65176.272796421137</v>
      </c>
      <c r="X88" s="34">
        <f>IF($A88&lt;VARIABLES!$B$60,0,(IF($A88&lt;VARIABLES!$B$60+1,0,X87)+U88)*(1+C88)-W88)</f>
        <v>78798113.810873151</v>
      </c>
      <c r="Y88" s="34">
        <f t="shared" si="18"/>
        <v>725000</v>
      </c>
      <c r="Z88" s="34">
        <f t="shared" si="19"/>
        <v>5437.5</v>
      </c>
      <c r="AA88" s="34">
        <f t="shared" si="20"/>
        <v>189526.03667849614</v>
      </c>
      <c r="AB88" s="34">
        <f>(IF($A88=1,0,AD87)*VARIABLES!$B$18*VARIABLES!$B$16*VARIABLES!$B$17)+(Y88*VARIABLES!$B$16*VARIABLES!$B$17)</f>
        <v>41503.241962734093</v>
      </c>
      <c r="AC88" s="36">
        <f t="shared" si="21"/>
        <v>236466.77864123022</v>
      </c>
      <c r="AD88" s="37">
        <f t="shared" si="22"/>
        <v>332410167.46270984</v>
      </c>
      <c r="AE88" s="34">
        <f>IF($A88=1,VARIABLES!$B$21,0)</f>
        <v>0</v>
      </c>
      <c r="AF88" s="34">
        <f>IF($A88&lt;=3,VARIABLES!$B$22,IF($A88&lt;=6,VARIABLES!$B$23,VARIABLES!$B$24))*(1+VARIABLES!$B$25)^INT(($A88-1)/12)</f>
        <v>69166.9919136026</v>
      </c>
      <c r="AG88" s="34">
        <f>IF(MOD($A88,12)=0,AD88*VARIABLES!$B$26,0)</f>
        <v>0</v>
      </c>
      <c r="AH88" s="34">
        <f>VARIABLES!$B$27</f>
        <v>5000</v>
      </c>
      <c r="AI88" s="34">
        <f>IF(MOD($A88,12)=0,VARIABLES!$B$28,0)</f>
        <v>0</v>
      </c>
      <c r="AJ88" s="38">
        <f t="shared" si="23"/>
        <v>74166.9919136026</v>
      </c>
      <c r="AK88" s="39">
        <f>IF(OR($A88&lt;VARIABLES!$B$7,AND($A88&gt;=VARIABLES!$B$8,$A88&lt;VARIABLES!$B$10)),VARIABLES!$B$13,0)</f>
        <v>0</v>
      </c>
      <c r="AL88" s="40">
        <f t="shared" si="24"/>
        <v>162299.78672762762</v>
      </c>
      <c r="AM88" s="40">
        <f t="shared" si="25"/>
        <v>15573771.285495553</v>
      </c>
      <c r="AN88" s="41">
        <f t="shared" si="26"/>
        <v>0</v>
      </c>
    </row>
    <row r="89" spans="1:40" x14ac:dyDescent="0.2">
      <c r="A89" s="42">
        <v>86</v>
      </c>
      <c r="B89" s="42" t="str">
        <f>TEXT(DATE(VARIABLES!$B$70+INT((VARIABLES!$B$71+$A89-2)/12),MOD(VARIABLES!$B$71+$A89-2,12)+1,1),"mmm-yy")</f>
        <v>Jul-33</v>
      </c>
      <c r="C89" s="43">
        <f>IF($A89&lt;VARIABLES!$B$7,VARIABLES!$B$5/12,IF($A89&lt;VARIABLES!$B$8,VARIABLES!$B$6/12,IF($A89&lt;VARIABLES!$B$10,VARIABLES!$B$9/12,VARIABLES!$B$11/12)))</f>
        <v>8.3333333333333332E-3</v>
      </c>
      <c r="D89" s="44">
        <f>IF($A89&lt;VARIABLES!$B$31,0,IF($A89=VARIABLES!$B$31,VARIABLES!$B$32+VARIABLES!$B$33,VARIABLES!$B$33))</f>
        <v>200000</v>
      </c>
      <c r="E89" s="44">
        <f>D89*VARIABLES!$B$34</f>
        <v>1500</v>
      </c>
      <c r="F89" s="44">
        <f>IF($A89&lt;VARIABLES!$B$31,0,(IF($A89=VARIABLES!$B$31,0,G88)+D89)*C89*VARIABLES!$B$35)</f>
        <v>26360.164283759073</v>
      </c>
      <c r="G89" s="44">
        <f>IF($A89&lt;VARIABLES!$B$31,0,(IF($A89=VARIABLES!$B$31,0,G88)+D89)*(1+C89)-F89)</f>
        <v>127556834.96911016</v>
      </c>
      <c r="H89" s="44">
        <f>IF($A89&lt;VARIABLES!$B$38,0,IF($A89=VARIABLES!$B$38,VARIABLES!$B$39+VARIABLES!$B$40,VARIABLES!$B$40))</f>
        <v>40000</v>
      </c>
      <c r="I89" s="44">
        <f>H89*VARIABLES!$B$41</f>
        <v>300</v>
      </c>
      <c r="J89" s="44">
        <f>IF($A89&lt;VARIABLES!$B$38,0,(IF($A89=VARIABLES!$B$38,0,K88)+H89)*C89*VARIABLES!$B$42)</f>
        <v>16000.192372024572</v>
      </c>
      <c r="K89" s="44">
        <f>IF($A89&lt;VARIABLES!$B$38,0,(IF($A89=VARIABLES!$B$38,0,K88)+H89)*(1+C89)-J89)</f>
        <v>19344232.577777706</v>
      </c>
      <c r="L89" s="44">
        <f>IF($A89&lt;VARIABLES!$B$45,0,IF($A89=VARIABLES!$B$45,VARIABLES!$B$46+VARIABLES!$B$47,VARIABLES!$B$47))</f>
        <v>0</v>
      </c>
      <c r="M89" s="44">
        <f>L89*VARIABLES!$B$48</f>
        <v>0</v>
      </c>
      <c r="N89" s="44">
        <f>IF($A89&lt;VARIABLES!$B$45,0,(IF($A89=VARIABLES!$B$45,0,O88)+L89)*C89*VARIABLES!$B$49)</f>
        <v>80652.239357128492</v>
      </c>
      <c r="O89" s="44">
        <f>IF($A89&lt;VARIABLES!$B$45,0,(IF($A89=VARIABLES!$B$45,0,O88)+L89)*(1+C89)-N89)</f>
        <v>97508557.382768333</v>
      </c>
      <c r="P89" s="44">
        <f>IF($A89&lt;VARIABLES!$B$52,0,IF($A89=VARIABLES!$B$52,VARIABLES!$B$53+VARIABLES!$B$54,VARIABLES!$B$54))</f>
        <v>20000</v>
      </c>
      <c r="Q89" s="44">
        <f>P89*VARIABLES!$B$55</f>
        <v>150</v>
      </c>
      <c r="R89" s="44">
        <f>IF($A89&lt;VARIABLES!$B$52,0,(IF($A89=VARIABLES!$B$52,0,S88)+P89)*C89*VARIABLES!$B$56)</f>
        <v>2366.7389614186427</v>
      </c>
      <c r="S89" s="44">
        <f>IF($A89&lt;VARIABLES!$B$52,0,(IF($A89=VARIABLES!$B$52,0,S88)+P89)*(1+C89)-R89)</f>
        <v>11452649.83430481</v>
      </c>
      <c r="T89" s="45">
        <f>IF($A89&lt;VARIABLES!$B$60,0,MIN(VARIABLES!$B$59,INT(($A89-VARIABLES!$B$60)/VARIABLES!$B$61)+1)*VARIABLES!$B$62)</f>
        <v>84</v>
      </c>
      <c r="U89" s="44">
        <f>T89*VARIABLES!$B$64+IF(AND($A89&gt;=VARIABLES!$B$60,MOD($A89-VARIABLES!$B$60,VARIABLES!$B$61)=0,INT(($A89-VARIABLES!$B$60)/VARIABLES!$B$61)&lt;VARIABLES!$B$59),VARIABLES!$B$62*VARIABLES!$B$63,0)</f>
        <v>470000</v>
      </c>
      <c r="V89" s="44">
        <f>U89*VARIABLES!$B$65</f>
        <v>3525</v>
      </c>
      <c r="W89" s="44">
        <f>IF($A89&lt;VARIABLES!$B$60,0,(IF($A89&lt;VARIABLES!$B$60+1,0,X88)+U89)*C89*VARIABLES!$B$66)</f>
        <v>66056.761509060962</v>
      </c>
      <c r="X89" s="44">
        <f>IF($A89&lt;VARIABLES!$B$60,0,(IF($A89&lt;VARIABLES!$B$60+1,0,X88)+U89)*(1+C89)-W89)</f>
        <v>79862624.664454699</v>
      </c>
      <c r="Y89" s="44">
        <f t="shared" si="18"/>
        <v>730000</v>
      </c>
      <c r="Z89" s="44">
        <f t="shared" si="19"/>
        <v>5475</v>
      </c>
      <c r="AA89" s="44">
        <f t="shared" si="20"/>
        <v>191436.09648339174</v>
      </c>
      <c r="AB89" s="44">
        <f>(IF($A89=1,0,AD88)*VARIABLES!$B$18*VARIABLES!$B$16*VARIABLES!$B$17)+(Y89*VARIABLES!$B$16*VARIABLES!$B$17)</f>
        <v>41916.270932838728</v>
      </c>
      <c r="AC89" s="36">
        <f t="shared" si="21"/>
        <v>238827.36741623047</v>
      </c>
      <c r="AD89" s="37">
        <f t="shared" si="22"/>
        <v>335724899.42841572</v>
      </c>
      <c r="AE89" s="44">
        <f>IF($A89=1,VARIABLES!$B$21,0)</f>
        <v>0</v>
      </c>
      <c r="AF89" s="44">
        <f>IF($A89&lt;=3,VARIABLES!$B$22,IF($A89&lt;=6,VARIABLES!$B$23,VARIABLES!$B$24))*(1+VARIABLES!$B$25)^INT(($A89-1)/12)</f>
        <v>69166.9919136026</v>
      </c>
      <c r="AG89" s="44">
        <f>IF(MOD($A89,12)=0,AD89*VARIABLES!$B$26,0)</f>
        <v>0</v>
      </c>
      <c r="AH89" s="44">
        <f>VARIABLES!$B$27</f>
        <v>5000</v>
      </c>
      <c r="AI89" s="44">
        <f>IF(MOD($A89,12)=0,VARIABLES!$B$28,0)</f>
        <v>0</v>
      </c>
      <c r="AJ89" s="38">
        <f t="shared" si="23"/>
        <v>74166.9919136026</v>
      </c>
      <c r="AK89" s="39">
        <f>IF(OR($A89&lt;VARIABLES!$B$7,AND($A89&gt;=VARIABLES!$B$8,$A89&lt;VARIABLES!$B$10)),VARIABLES!$B$13,0)</f>
        <v>0</v>
      </c>
      <c r="AL89" s="46">
        <f t="shared" si="24"/>
        <v>164660.37550262787</v>
      </c>
      <c r="AM89" s="46">
        <f t="shared" si="25"/>
        <v>15738431.660998181</v>
      </c>
      <c r="AN89" s="41">
        <f t="shared" si="26"/>
        <v>0</v>
      </c>
    </row>
    <row r="90" spans="1:40" x14ac:dyDescent="0.2">
      <c r="A90" s="32">
        <v>87</v>
      </c>
      <c r="B90" s="32" t="str">
        <f>TEXT(DATE(VARIABLES!$B$70+INT((VARIABLES!$B$71+$A90-2)/12),MOD(VARIABLES!$B$71+$A90-2,12)+1,1),"mmm-yy")</f>
        <v>Aug-33</v>
      </c>
      <c r="C90" s="33">
        <f>IF($A90&lt;VARIABLES!$B$7,VARIABLES!$B$5/12,IF($A90&lt;VARIABLES!$B$8,VARIABLES!$B$6/12,IF($A90&lt;VARIABLES!$B$10,VARIABLES!$B$9/12,VARIABLES!$B$11/12)))</f>
        <v>8.3333333333333332E-3</v>
      </c>
      <c r="D90" s="34">
        <f>IF($A90&lt;VARIABLES!$B$31,0,IF($A90=VARIABLES!$B$31,VARIABLES!$B$32+VARIABLES!$B$33,VARIABLES!$B$33))</f>
        <v>200000</v>
      </c>
      <c r="E90" s="34">
        <f>D90*VARIABLES!$B$34</f>
        <v>1500</v>
      </c>
      <c r="F90" s="34">
        <f>IF($A90&lt;VARIABLES!$B$31,0,(IF($A90=VARIABLES!$B$31,0,G89)+D90)*C90*VARIABLES!$B$35)</f>
        <v>26616.007285231284</v>
      </c>
      <c r="G90" s="34">
        <f>IF($A90&lt;VARIABLES!$B$31,0,(IF($A90=VARIABLES!$B$31,0,G89)+D90)*(1+C90)-F90)</f>
        <v>128794859.25323418</v>
      </c>
      <c r="H90" s="34">
        <f>IF($A90&lt;VARIABLES!$B$38,0,IF($A90=VARIABLES!$B$38,VARIABLES!$B$39+VARIABLES!$B$40,VARIABLES!$B$40))</f>
        <v>40000</v>
      </c>
      <c r="I90" s="34">
        <f>H90*VARIABLES!$B$41</f>
        <v>300</v>
      </c>
      <c r="J90" s="34">
        <f>IF($A90&lt;VARIABLES!$B$38,0,(IF($A90=VARIABLES!$B$38,0,K89)+H90)*C90*VARIABLES!$B$42)</f>
        <v>16153.527148148089</v>
      </c>
      <c r="K90" s="34">
        <f>IF($A90&lt;VARIABLES!$B$38,0,(IF($A90=VARIABLES!$B$38,0,K89)+H90)*(1+C90)-J90)</f>
        <v>19529614.322111037</v>
      </c>
      <c r="L90" s="34">
        <f>IF($A90&lt;VARIABLES!$B$45,0,IF($A90=VARIABLES!$B$45,VARIABLES!$B$46+VARIABLES!$B$47,VARIABLES!$B$47))</f>
        <v>0</v>
      </c>
      <c r="M90" s="34">
        <f>L90*VARIABLES!$B$48</f>
        <v>0</v>
      </c>
      <c r="N90" s="34">
        <f>IF($A90&lt;VARIABLES!$B$45,0,(IF($A90=VARIABLES!$B$45,0,O89)+L90)*C90*VARIABLES!$B$49)</f>
        <v>81257.131152306945</v>
      </c>
      <c r="O90" s="34">
        <f>IF($A90&lt;VARIABLES!$B$45,0,(IF($A90=VARIABLES!$B$45,0,O89)+L90)*(1+C90)-N90)</f>
        <v>98239871.563139096</v>
      </c>
      <c r="P90" s="34">
        <f>IF($A90&lt;VARIABLES!$B$52,0,IF($A90=VARIABLES!$B$52,VARIABLES!$B$53+VARIABLES!$B$54,VARIABLES!$B$54))</f>
        <v>20000</v>
      </c>
      <c r="Q90" s="34">
        <f>P90*VARIABLES!$B$55</f>
        <v>150</v>
      </c>
      <c r="R90" s="34">
        <f>IF($A90&lt;VARIABLES!$B$52,0,(IF($A90=VARIABLES!$B$52,0,S89)+P90)*C90*VARIABLES!$B$56)</f>
        <v>2390.1353821468356</v>
      </c>
      <c r="S90" s="34">
        <f>IF($A90&lt;VARIABLES!$B$52,0,(IF($A90=VARIABLES!$B$52,0,S89)+P90)*(1+C90)-R90)</f>
        <v>11565865.114208534</v>
      </c>
      <c r="T90" s="35">
        <f>IF($A90&lt;VARIABLES!$B$60,0,MIN(VARIABLES!$B$59,INT(($A90-VARIABLES!$B$60)/VARIABLES!$B$61)+1)*VARIABLES!$B$62)</f>
        <v>85</v>
      </c>
      <c r="U90" s="34">
        <f>T90*VARIABLES!$B$64+IF(AND($A90&gt;=VARIABLES!$B$60,MOD($A90-VARIABLES!$B$60,VARIABLES!$B$61)=0,INT(($A90-VARIABLES!$B$60)/VARIABLES!$B$61)&lt;VARIABLES!$B$59),VARIABLES!$B$62*VARIABLES!$B$63,0)</f>
        <v>475000</v>
      </c>
      <c r="V90" s="34">
        <f>U90*VARIABLES!$B$65</f>
        <v>3562.5</v>
      </c>
      <c r="W90" s="34">
        <f>IF($A90&lt;VARIABLES!$B$60,0,(IF($A90&lt;VARIABLES!$B$60+1,0,X89)+U90)*C90*VARIABLES!$B$66)</f>
        <v>66948.020553712253</v>
      </c>
      <c r="X90" s="34">
        <f>IF($A90&lt;VARIABLES!$B$60,0,(IF($A90&lt;VARIABLES!$B$60+1,0,X89)+U90)*(1+C90)-W90)</f>
        <v>80940156.849438116</v>
      </c>
      <c r="Y90" s="34">
        <f t="shared" si="18"/>
        <v>735000</v>
      </c>
      <c r="Z90" s="34">
        <f t="shared" si="19"/>
        <v>5512.5</v>
      </c>
      <c r="AA90" s="34">
        <f t="shared" si="20"/>
        <v>193364.82152154541</v>
      </c>
      <c r="AB90" s="34">
        <f>(IF($A90=1,0,AD89)*VARIABLES!$B$18*VARIABLES!$B$16*VARIABLES!$B$17)+(Y90*VARIABLES!$B$16*VARIABLES!$B$17)</f>
        <v>42333.112428551962</v>
      </c>
      <c r="AC90" s="36">
        <f t="shared" si="21"/>
        <v>241210.43395009736</v>
      </c>
      <c r="AD90" s="37">
        <f t="shared" si="22"/>
        <v>339070367.10213095</v>
      </c>
      <c r="AE90" s="34">
        <f>IF($A90=1,VARIABLES!$B$21,0)</f>
        <v>0</v>
      </c>
      <c r="AF90" s="34">
        <f>IF($A90&lt;=3,VARIABLES!$B$22,IF($A90&lt;=6,VARIABLES!$B$23,VARIABLES!$B$24))*(1+VARIABLES!$B$25)^INT(($A90-1)/12)</f>
        <v>69166.9919136026</v>
      </c>
      <c r="AG90" s="34">
        <f>IF(MOD($A90,12)=0,AD90*VARIABLES!$B$26,0)</f>
        <v>0</v>
      </c>
      <c r="AH90" s="34">
        <f>VARIABLES!$B$27</f>
        <v>5000</v>
      </c>
      <c r="AI90" s="34">
        <f>IF(MOD($A90,12)=0,VARIABLES!$B$28,0)</f>
        <v>0</v>
      </c>
      <c r="AJ90" s="38">
        <f t="shared" si="23"/>
        <v>74166.9919136026</v>
      </c>
      <c r="AK90" s="39">
        <f>IF(OR($A90&lt;VARIABLES!$B$7,AND($A90&gt;=VARIABLES!$B$8,$A90&lt;VARIABLES!$B$10)),VARIABLES!$B$13,0)</f>
        <v>0</v>
      </c>
      <c r="AL90" s="40">
        <f t="shared" si="24"/>
        <v>167043.44203649476</v>
      </c>
      <c r="AM90" s="40">
        <f t="shared" si="25"/>
        <v>15905475.103034675</v>
      </c>
      <c r="AN90" s="41">
        <f t="shared" si="26"/>
        <v>0</v>
      </c>
    </row>
    <row r="91" spans="1:40" x14ac:dyDescent="0.2">
      <c r="A91" s="42">
        <v>88</v>
      </c>
      <c r="B91" s="42" t="str">
        <f>TEXT(DATE(VARIABLES!$B$70+INT((VARIABLES!$B$71+$A91-2)/12),MOD(VARIABLES!$B$71+$A91-2,12)+1,1),"mmm-yy")</f>
        <v>Sept-33</v>
      </c>
      <c r="C91" s="43">
        <f>IF($A91&lt;VARIABLES!$B$7,VARIABLES!$B$5/12,IF($A91&lt;VARIABLES!$B$8,VARIABLES!$B$6/12,IF($A91&lt;VARIABLES!$B$10,VARIABLES!$B$9/12,VARIABLES!$B$11/12)))</f>
        <v>8.3333333333333332E-3</v>
      </c>
      <c r="D91" s="44">
        <f>IF($A91&lt;VARIABLES!$B$31,0,IF($A91=VARIABLES!$B$31,VARIABLES!$B$32+VARIABLES!$B$33,VARIABLES!$B$33))</f>
        <v>200000</v>
      </c>
      <c r="E91" s="44">
        <f>D91*VARIABLES!$B$34</f>
        <v>1500</v>
      </c>
      <c r="F91" s="44">
        <f>IF($A91&lt;VARIABLES!$B$31,0,(IF($A91=VARIABLES!$B$31,0,G90)+D91)*C91*VARIABLES!$B$35)</f>
        <v>26873.929011090455</v>
      </c>
      <c r="G91" s="44">
        <f>IF($A91&lt;VARIABLES!$B$31,0,(IF($A91=VARIABLES!$B$31,0,G90)+D91)*(1+C91)-F91)</f>
        <v>130042942.48466671</v>
      </c>
      <c r="H91" s="44">
        <f>IF($A91&lt;VARIABLES!$B$38,0,IF($A91=VARIABLES!$B$38,VARIABLES!$B$39+VARIABLES!$B$40,VARIABLES!$B$40))</f>
        <v>40000</v>
      </c>
      <c r="I91" s="44">
        <f>H91*VARIABLES!$B$41</f>
        <v>300</v>
      </c>
      <c r="J91" s="44">
        <f>IF($A91&lt;VARIABLES!$B$38,0,(IF($A91=VARIABLES!$B$38,0,K90)+H91)*C91*VARIABLES!$B$42)</f>
        <v>16308.011935092531</v>
      </c>
      <c r="K91" s="44">
        <f>IF($A91&lt;VARIABLES!$B$38,0,(IF($A91=VARIABLES!$B$38,0,K90)+H91)*(1+C91)-J91)</f>
        <v>19716386.429526869</v>
      </c>
      <c r="L91" s="44">
        <f>IF($A91&lt;VARIABLES!$B$45,0,IF($A91=VARIABLES!$B$45,VARIABLES!$B$46+VARIABLES!$B$47,VARIABLES!$B$47))</f>
        <v>0</v>
      </c>
      <c r="M91" s="44">
        <f>L91*VARIABLES!$B$48</f>
        <v>0</v>
      </c>
      <c r="N91" s="44">
        <f>IF($A91&lt;VARIABLES!$B$45,0,(IF($A91=VARIABLES!$B$45,0,O90)+L91)*C91*VARIABLES!$B$49)</f>
        <v>81866.559635949263</v>
      </c>
      <c r="O91" s="44">
        <f>IF($A91&lt;VARIABLES!$B$45,0,(IF($A91=VARIABLES!$B$45,0,O90)+L91)*(1+C91)-N91)</f>
        <v>98976670.599862635</v>
      </c>
      <c r="P91" s="44">
        <f>IF($A91&lt;VARIABLES!$B$52,0,IF($A91=VARIABLES!$B$52,VARIABLES!$B$53+VARIABLES!$B$54,VARIABLES!$B$54))</f>
        <v>20000</v>
      </c>
      <c r="Q91" s="44">
        <f>P91*VARIABLES!$B$55</f>
        <v>150</v>
      </c>
      <c r="R91" s="44">
        <f>IF($A91&lt;VARIABLES!$B$52,0,(IF($A91=VARIABLES!$B$52,0,S90)+P91)*C91*VARIABLES!$B$56)</f>
        <v>2413.7218987934448</v>
      </c>
      <c r="S91" s="44">
        <f>IF($A91&lt;VARIABLES!$B$52,0,(IF($A91=VARIABLES!$B$52,0,S90)+P91)*(1+C91)-R91)</f>
        <v>11680000.268261477</v>
      </c>
      <c r="T91" s="45">
        <f>IF($A91&lt;VARIABLES!$B$60,0,MIN(VARIABLES!$B$59,INT(($A91-VARIABLES!$B$60)/VARIABLES!$B$61)+1)*VARIABLES!$B$62)</f>
        <v>86</v>
      </c>
      <c r="U91" s="44">
        <f>T91*VARIABLES!$B$64+IF(AND($A91&gt;=VARIABLES!$B$60,MOD($A91-VARIABLES!$B$60,VARIABLES!$B$61)=0,INT(($A91-VARIABLES!$B$60)/VARIABLES!$B$61)&lt;VARIABLES!$B$59),VARIABLES!$B$62*VARIABLES!$B$63,0)</f>
        <v>480000</v>
      </c>
      <c r="V91" s="44">
        <f>U91*VARIABLES!$B$65</f>
        <v>3600</v>
      </c>
      <c r="W91" s="44">
        <f>IF($A91&lt;VARIABLES!$B$60,0,(IF($A91&lt;VARIABLES!$B$60+1,0,X90)+U91)*C91*VARIABLES!$B$66)</f>
        <v>67850.130707865101</v>
      </c>
      <c r="X91" s="44">
        <f>IF($A91&lt;VARIABLES!$B$60,0,(IF($A91&lt;VARIABLES!$B$60+1,0,X90)+U91)*(1+C91)-W91)</f>
        <v>82030808.025808901</v>
      </c>
      <c r="Y91" s="44">
        <f t="shared" si="18"/>
        <v>740000</v>
      </c>
      <c r="Z91" s="44">
        <f t="shared" si="19"/>
        <v>5550</v>
      </c>
      <c r="AA91" s="44">
        <f t="shared" si="20"/>
        <v>195312.35318879079</v>
      </c>
      <c r="AB91" s="44">
        <f>(IF($A91=1,0,AD90)*VARIABLES!$B$18*VARIABLES!$B$16*VARIABLES!$B$17)+(Y91*VARIABLES!$B$16*VARIABLES!$B$17)</f>
        <v>42753.79588776637</v>
      </c>
      <c r="AC91" s="36">
        <f t="shared" si="21"/>
        <v>243616.14907655717</v>
      </c>
      <c r="AD91" s="37">
        <f t="shared" si="22"/>
        <v>342446807.80812657</v>
      </c>
      <c r="AE91" s="44">
        <f>IF($A91=1,VARIABLES!$B$21,0)</f>
        <v>0</v>
      </c>
      <c r="AF91" s="44">
        <f>IF($A91&lt;=3,VARIABLES!$B$22,IF($A91&lt;=6,VARIABLES!$B$23,VARIABLES!$B$24))*(1+VARIABLES!$B$25)^INT(($A91-1)/12)</f>
        <v>69166.9919136026</v>
      </c>
      <c r="AG91" s="44">
        <f>IF(MOD($A91,12)=0,AD91*VARIABLES!$B$26,0)</f>
        <v>0</v>
      </c>
      <c r="AH91" s="44">
        <f>VARIABLES!$B$27</f>
        <v>5000</v>
      </c>
      <c r="AI91" s="44">
        <f>IF(MOD($A91,12)=0,VARIABLES!$B$28,0)</f>
        <v>0</v>
      </c>
      <c r="AJ91" s="38">
        <f t="shared" si="23"/>
        <v>74166.9919136026</v>
      </c>
      <c r="AK91" s="39">
        <f>IF(OR($A91&lt;VARIABLES!$B$7,AND($A91&gt;=VARIABLES!$B$8,$A91&lt;VARIABLES!$B$10)),VARIABLES!$B$13,0)</f>
        <v>0</v>
      </c>
      <c r="AL91" s="46">
        <f t="shared" si="24"/>
        <v>169449.15716295457</v>
      </c>
      <c r="AM91" s="46">
        <f t="shared" si="25"/>
        <v>16074924.26019763</v>
      </c>
      <c r="AN91" s="41">
        <f t="shared" si="26"/>
        <v>0</v>
      </c>
    </row>
    <row r="92" spans="1:40" x14ac:dyDescent="0.2">
      <c r="A92" s="32">
        <v>89</v>
      </c>
      <c r="B92" s="32" t="str">
        <f>TEXT(DATE(VARIABLES!$B$70+INT((VARIABLES!$B$71+$A92-2)/12),MOD(VARIABLES!$B$71+$A92-2,12)+1,1),"mmm-yy")</f>
        <v>Oct-33</v>
      </c>
      <c r="C92" s="33">
        <f>IF($A92&lt;VARIABLES!$B$7,VARIABLES!$B$5/12,IF($A92&lt;VARIABLES!$B$8,VARIABLES!$B$6/12,IF($A92&lt;VARIABLES!$B$10,VARIABLES!$B$9/12,VARIABLES!$B$11/12)))</f>
        <v>8.3333333333333332E-3</v>
      </c>
      <c r="D92" s="34">
        <f>IF($A92&lt;VARIABLES!$B$31,0,IF($A92=VARIABLES!$B$31,VARIABLES!$B$32+VARIABLES!$B$33,VARIABLES!$B$33))</f>
        <v>200000</v>
      </c>
      <c r="E92" s="34">
        <f>D92*VARIABLES!$B$34</f>
        <v>1500</v>
      </c>
      <c r="F92" s="34">
        <f>IF($A92&lt;VARIABLES!$B$31,0,(IF($A92=VARIABLES!$B$31,0,G91)+D92)*C92*VARIABLES!$B$35)</f>
        <v>27133.946350972234</v>
      </c>
      <c r="G92" s="34">
        <f>IF($A92&lt;VARIABLES!$B$31,0,(IF($A92=VARIABLES!$B$31,0,G91)+D92)*(1+C92)-F92)</f>
        <v>131301166.39235461</v>
      </c>
      <c r="H92" s="34">
        <f>IF($A92&lt;VARIABLES!$B$38,0,IF($A92=VARIABLES!$B$38,VARIABLES!$B$39+VARIABLES!$B$40,VARIABLES!$B$40))</f>
        <v>40000</v>
      </c>
      <c r="I92" s="34">
        <f>H92*VARIABLES!$B$41</f>
        <v>300</v>
      </c>
      <c r="J92" s="34">
        <f>IF($A92&lt;VARIABLES!$B$38,0,(IF($A92=VARIABLES!$B$38,0,K91)+H92)*C92*VARIABLES!$B$42)</f>
        <v>16463.655357939057</v>
      </c>
      <c r="K92" s="34">
        <f>IF($A92&lt;VARIABLES!$B$38,0,(IF($A92=VARIABLES!$B$38,0,K91)+H92)*(1+C92)-J92)</f>
        <v>19904559.327748321</v>
      </c>
      <c r="L92" s="34">
        <f>IF($A92&lt;VARIABLES!$B$45,0,IF($A92=VARIABLES!$B$45,VARIABLES!$B$46+VARIABLES!$B$47,VARIABLES!$B$47))</f>
        <v>0</v>
      </c>
      <c r="M92" s="34">
        <f>L92*VARIABLES!$B$48</f>
        <v>0</v>
      </c>
      <c r="N92" s="34">
        <f>IF($A92&lt;VARIABLES!$B$45,0,(IF($A92=VARIABLES!$B$45,0,O91)+L92)*C92*VARIABLES!$B$49)</f>
        <v>82480.558833218878</v>
      </c>
      <c r="O92" s="34">
        <f>IF($A92&lt;VARIABLES!$B$45,0,(IF($A92=VARIABLES!$B$45,0,O91)+L92)*(1+C92)-N92)</f>
        <v>99718995.629361615</v>
      </c>
      <c r="P92" s="34">
        <f>IF($A92&lt;VARIABLES!$B$52,0,IF($A92=VARIABLES!$B$52,VARIABLES!$B$53+VARIABLES!$B$54,VARIABLES!$B$54))</f>
        <v>20000</v>
      </c>
      <c r="Q92" s="34">
        <f>P92*VARIABLES!$B$55</f>
        <v>150</v>
      </c>
      <c r="R92" s="34">
        <f>IF($A92&lt;VARIABLES!$B$52,0,(IF($A92=VARIABLES!$B$52,0,S91)+P92)*C92*VARIABLES!$B$56)</f>
        <v>2437.5000558878078</v>
      </c>
      <c r="S92" s="34">
        <f>IF($A92&lt;VARIABLES!$B$52,0,(IF($A92=VARIABLES!$B$52,0,S91)+P92)*(1+C92)-R92)</f>
        <v>11795062.7704411</v>
      </c>
      <c r="T92" s="35">
        <f>IF($A92&lt;VARIABLES!$B$60,0,MIN(VARIABLES!$B$59,INT(($A92-VARIABLES!$B$60)/VARIABLES!$B$61)+1)*VARIABLES!$B$62)</f>
        <v>87</v>
      </c>
      <c r="U92" s="34">
        <f>T92*VARIABLES!$B$64+IF(AND($A92&gt;=VARIABLES!$B$60,MOD($A92-VARIABLES!$B$60,VARIABLES!$B$61)=0,INT(($A92-VARIABLES!$B$60)/VARIABLES!$B$61)&lt;VARIABLES!$B$59),VARIABLES!$B$62*VARIABLES!$B$63,0)</f>
        <v>485000</v>
      </c>
      <c r="V92" s="34">
        <f>U92*VARIABLES!$B$65</f>
        <v>3637.5</v>
      </c>
      <c r="W92" s="34">
        <f>IF($A92&lt;VARIABLES!$B$60,0,(IF($A92&lt;VARIABLES!$B$60+1,0,X91)+U92)*C92*VARIABLES!$B$66)</f>
        <v>68763.17335484075</v>
      </c>
      <c r="X92" s="34">
        <f>IF($A92&lt;VARIABLES!$B$60,0,(IF($A92&lt;VARIABLES!$B$60+1,0,X91)+U92)*(1+C92)-W92)</f>
        <v>83134676.586002469</v>
      </c>
      <c r="Y92" s="34">
        <f t="shared" si="18"/>
        <v>745000</v>
      </c>
      <c r="Z92" s="34">
        <f t="shared" si="19"/>
        <v>5587.5</v>
      </c>
      <c r="AA92" s="34">
        <f t="shared" si="20"/>
        <v>197278.83395285872</v>
      </c>
      <c r="AB92" s="34">
        <f>(IF($A92=1,0,AD91)*VARIABLES!$B$18*VARIABLES!$B$16*VARIABLES!$B$17)+(Y92*VARIABLES!$B$16*VARIABLES!$B$17)</f>
        <v>43178.350976015819</v>
      </c>
      <c r="AC92" s="36">
        <f t="shared" si="21"/>
        <v>246044.68492887454</v>
      </c>
      <c r="AD92" s="37">
        <f t="shared" si="22"/>
        <v>345854460.70590812</v>
      </c>
      <c r="AE92" s="34">
        <f>IF($A92=1,VARIABLES!$B$21,0)</f>
        <v>0</v>
      </c>
      <c r="AF92" s="34">
        <f>IF($A92&lt;=3,VARIABLES!$B$22,IF($A92&lt;=6,VARIABLES!$B$23,VARIABLES!$B$24))*(1+VARIABLES!$B$25)^INT(($A92-1)/12)</f>
        <v>69166.9919136026</v>
      </c>
      <c r="AG92" s="34">
        <f>IF(MOD($A92,12)=0,AD92*VARIABLES!$B$26,0)</f>
        <v>0</v>
      </c>
      <c r="AH92" s="34">
        <f>VARIABLES!$B$27</f>
        <v>5000</v>
      </c>
      <c r="AI92" s="34">
        <f>IF(MOD($A92,12)=0,VARIABLES!$B$28,0)</f>
        <v>0</v>
      </c>
      <c r="AJ92" s="38">
        <f t="shared" si="23"/>
        <v>74166.9919136026</v>
      </c>
      <c r="AK92" s="39">
        <f>IF(OR($A92&lt;VARIABLES!$B$7,AND($A92&gt;=VARIABLES!$B$8,$A92&lt;VARIABLES!$B$10)),VARIABLES!$B$13,0)</f>
        <v>0</v>
      </c>
      <c r="AL92" s="40">
        <f t="shared" si="24"/>
        <v>171877.69301527194</v>
      </c>
      <c r="AM92" s="40">
        <f t="shared" si="25"/>
        <v>16246801.953212902</v>
      </c>
      <c r="AN92" s="41">
        <f t="shared" si="26"/>
        <v>0</v>
      </c>
    </row>
    <row r="93" spans="1:40" x14ac:dyDescent="0.2">
      <c r="A93" s="42">
        <v>90</v>
      </c>
      <c r="B93" s="42" t="str">
        <f>TEXT(DATE(VARIABLES!$B$70+INT((VARIABLES!$B$71+$A93-2)/12),MOD(VARIABLES!$B$71+$A93-2,12)+1,1),"mmm-yy")</f>
        <v>Nov-33</v>
      </c>
      <c r="C93" s="43">
        <f>IF($A93&lt;VARIABLES!$B$7,VARIABLES!$B$5/12,IF($A93&lt;VARIABLES!$B$8,VARIABLES!$B$6/12,IF($A93&lt;VARIABLES!$B$10,VARIABLES!$B$9/12,VARIABLES!$B$11/12)))</f>
        <v>8.3333333333333332E-3</v>
      </c>
      <c r="D93" s="44">
        <f>IF($A93&lt;VARIABLES!$B$31,0,IF($A93=VARIABLES!$B$31,VARIABLES!$B$32+VARIABLES!$B$33,VARIABLES!$B$33))</f>
        <v>200000</v>
      </c>
      <c r="E93" s="44">
        <f>D93*VARIABLES!$B$34</f>
        <v>1500</v>
      </c>
      <c r="F93" s="44">
        <f>IF($A93&lt;VARIABLES!$B$31,0,(IF($A93=VARIABLES!$B$31,0,G92)+D93)*C93*VARIABLES!$B$35)</f>
        <v>27396.076331740544</v>
      </c>
      <c r="G93" s="44">
        <f>IF($A93&lt;VARIABLES!$B$31,0,(IF($A93=VARIABLES!$B$31,0,G92)+D93)*(1+C93)-F93)</f>
        <v>132569613.3692925</v>
      </c>
      <c r="H93" s="44">
        <f>IF($A93&lt;VARIABLES!$B$38,0,IF($A93=VARIABLES!$B$38,VARIABLES!$B$39+VARIABLES!$B$40,VARIABLES!$B$40))</f>
        <v>40000</v>
      </c>
      <c r="I93" s="44">
        <f>H93*VARIABLES!$B$41</f>
        <v>300</v>
      </c>
      <c r="J93" s="44">
        <f>IF($A93&lt;VARIABLES!$B$38,0,(IF($A93=VARIABLES!$B$38,0,K92)+H93)*C93*VARIABLES!$B$42)</f>
        <v>16620.466106456934</v>
      </c>
      <c r="K93" s="44">
        <f>IF($A93&lt;VARIABLES!$B$38,0,(IF($A93=VARIABLES!$B$38,0,K92)+H93)*(1+C93)-J93)</f>
        <v>20094143.522706434</v>
      </c>
      <c r="L93" s="44">
        <f>IF($A93&lt;VARIABLES!$B$45,0,IF($A93=VARIABLES!$B$45,VARIABLES!$B$46+VARIABLES!$B$47,VARIABLES!$B$47))</f>
        <v>0</v>
      </c>
      <c r="M93" s="44">
        <f>L93*VARIABLES!$B$48</f>
        <v>0</v>
      </c>
      <c r="N93" s="44">
        <f>IF($A93&lt;VARIABLES!$B$45,0,(IF($A93=VARIABLES!$B$45,0,O92)+L93)*C93*VARIABLES!$B$49)</f>
        <v>83099.163024468013</v>
      </c>
      <c r="O93" s="44">
        <f>IF($A93&lt;VARIABLES!$B$45,0,(IF($A93=VARIABLES!$B$45,0,O92)+L93)*(1+C93)-N93)</f>
        <v>100466888.09658182</v>
      </c>
      <c r="P93" s="44">
        <f>IF($A93&lt;VARIABLES!$B$52,0,IF($A93=VARIABLES!$B$52,VARIABLES!$B$53+VARIABLES!$B$54,VARIABLES!$B$54))</f>
        <v>20000</v>
      </c>
      <c r="Q93" s="44">
        <f>P93*VARIABLES!$B$55</f>
        <v>150</v>
      </c>
      <c r="R93" s="44">
        <f>IF($A93&lt;VARIABLES!$B$52,0,(IF($A93=VARIABLES!$B$52,0,S92)+P93)*C93*VARIABLES!$B$56)</f>
        <v>2461.4714105085627</v>
      </c>
      <c r="S93" s="44">
        <f>IF($A93&lt;VARIABLES!$B$52,0,(IF($A93=VARIABLES!$B$52,0,S92)+P93)*(1+C93)-R93)</f>
        <v>11911060.155450933</v>
      </c>
      <c r="T93" s="45">
        <f>IF($A93&lt;VARIABLES!$B$60,0,MIN(VARIABLES!$B$59,INT(($A93-VARIABLES!$B$60)/VARIABLES!$B$61)+1)*VARIABLES!$B$62)</f>
        <v>88</v>
      </c>
      <c r="U93" s="44">
        <f>T93*VARIABLES!$B$64+IF(AND($A93&gt;=VARIABLES!$B$60,MOD($A93-VARIABLES!$B$60,VARIABLES!$B$61)=0,INT(($A93-VARIABLES!$B$60)/VARIABLES!$B$61)&lt;VARIABLES!$B$59),VARIABLES!$B$62*VARIABLES!$B$63,0)</f>
        <v>490000</v>
      </c>
      <c r="V93" s="44">
        <f>U93*VARIABLES!$B$65</f>
        <v>3675</v>
      </c>
      <c r="W93" s="44">
        <f>IF($A93&lt;VARIABLES!$B$60,0,(IF($A93&lt;VARIABLES!$B$60+1,0,X92)+U93)*C93*VARIABLES!$B$66)</f>
        <v>69687.230488335394</v>
      </c>
      <c r="X93" s="44">
        <f>IF($A93&lt;VARIABLES!$B$60,0,(IF($A93&lt;VARIABLES!$B$60+1,0,X92)+U93)*(1+C93)-W93)</f>
        <v>84251861.660397485</v>
      </c>
      <c r="Y93" s="44">
        <f t="shared" si="18"/>
        <v>750000</v>
      </c>
      <c r="Z93" s="44">
        <f t="shared" si="19"/>
        <v>5625</v>
      </c>
      <c r="AA93" s="44">
        <f t="shared" si="20"/>
        <v>199264.40736150945</v>
      </c>
      <c r="AB93" s="44">
        <f>(IF($A93=1,0,AD92)*VARIABLES!$B$18*VARIABLES!$B$16*VARIABLES!$B$17)+(Y93*VARIABLES!$B$16*VARIABLES!$B$17)</f>
        <v>43606.807588238516</v>
      </c>
      <c r="AC93" s="36">
        <f t="shared" si="21"/>
        <v>248496.21494974795</v>
      </c>
      <c r="AD93" s="37">
        <f t="shared" si="22"/>
        <v>349293566.80442917</v>
      </c>
      <c r="AE93" s="44">
        <f>IF($A93=1,VARIABLES!$B$21,0)</f>
        <v>0</v>
      </c>
      <c r="AF93" s="44">
        <f>IF($A93&lt;=3,VARIABLES!$B$22,IF($A93&lt;=6,VARIABLES!$B$23,VARIABLES!$B$24))*(1+VARIABLES!$B$25)^INT(($A93-1)/12)</f>
        <v>69166.9919136026</v>
      </c>
      <c r="AG93" s="44">
        <f>IF(MOD($A93,12)=0,AD93*VARIABLES!$B$26,0)</f>
        <v>0</v>
      </c>
      <c r="AH93" s="44">
        <f>VARIABLES!$B$27</f>
        <v>5000</v>
      </c>
      <c r="AI93" s="44">
        <f>IF(MOD($A93,12)=0,VARIABLES!$B$28,0)</f>
        <v>0</v>
      </c>
      <c r="AJ93" s="38">
        <f t="shared" si="23"/>
        <v>74166.9919136026</v>
      </c>
      <c r="AK93" s="39">
        <f>IF(OR($A93&lt;VARIABLES!$B$7,AND($A93&gt;=VARIABLES!$B$8,$A93&lt;VARIABLES!$B$10)),VARIABLES!$B$13,0)</f>
        <v>0</v>
      </c>
      <c r="AL93" s="46">
        <f t="shared" si="24"/>
        <v>174329.22303614535</v>
      </c>
      <c r="AM93" s="46">
        <f t="shared" si="25"/>
        <v>16421131.176249048</v>
      </c>
      <c r="AN93" s="41">
        <f t="shared" si="26"/>
        <v>0</v>
      </c>
    </row>
    <row r="94" spans="1:40" x14ac:dyDescent="0.2">
      <c r="A94" s="32">
        <v>91</v>
      </c>
      <c r="B94" s="32" t="str">
        <f>TEXT(DATE(VARIABLES!$B$70+INT((VARIABLES!$B$71+$A94-2)/12),MOD(VARIABLES!$B$71+$A94-2,12)+1,1),"mmm-yy")</f>
        <v>Dec-33</v>
      </c>
      <c r="C94" s="33">
        <f>IF($A94&lt;VARIABLES!$B$7,VARIABLES!$B$5/12,IF($A94&lt;VARIABLES!$B$8,VARIABLES!$B$6/12,IF($A94&lt;VARIABLES!$B$10,VARIABLES!$B$9/12,VARIABLES!$B$11/12)))</f>
        <v>8.3333333333333332E-3</v>
      </c>
      <c r="D94" s="34">
        <f>IF($A94&lt;VARIABLES!$B$31,0,IF($A94=VARIABLES!$B$31,VARIABLES!$B$32+VARIABLES!$B$33,VARIABLES!$B$33))</f>
        <v>200000</v>
      </c>
      <c r="E94" s="34">
        <f>D94*VARIABLES!$B$34</f>
        <v>1500</v>
      </c>
      <c r="F94" s="34">
        <f>IF($A94&lt;VARIABLES!$B$31,0,(IF($A94=VARIABLES!$B$31,0,G93)+D94)*C94*VARIABLES!$B$35)</f>
        <v>27660.336118602601</v>
      </c>
      <c r="G94" s="34">
        <f>IF($A94&lt;VARIABLES!$B$31,0,(IF($A94=VARIABLES!$B$31,0,G93)+D94)*(1+C94)-F94)</f>
        <v>133848366.47791798</v>
      </c>
      <c r="H94" s="34">
        <f>IF($A94&lt;VARIABLES!$B$38,0,IF($A94=VARIABLES!$B$38,VARIABLES!$B$39+VARIABLES!$B$40,VARIABLES!$B$40))</f>
        <v>40000</v>
      </c>
      <c r="I94" s="34">
        <f>H94*VARIABLES!$B$41</f>
        <v>300</v>
      </c>
      <c r="J94" s="34">
        <f>IF($A94&lt;VARIABLES!$B$38,0,(IF($A94=VARIABLES!$B$38,0,K93)+H94)*C94*VARIABLES!$B$42)</f>
        <v>16778.452935588695</v>
      </c>
      <c r="K94" s="34">
        <f>IF($A94&lt;VARIABLES!$B$38,0,(IF($A94=VARIABLES!$B$38,0,K93)+H94)*(1+C94)-J94)</f>
        <v>20285149.599126734</v>
      </c>
      <c r="L94" s="34">
        <f>IF($A94&lt;VARIABLES!$B$45,0,IF($A94=VARIABLES!$B$45,VARIABLES!$B$46+VARIABLES!$B$47,VARIABLES!$B$47))</f>
        <v>0</v>
      </c>
      <c r="M94" s="34">
        <f>L94*VARIABLES!$B$48</f>
        <v>0</v>
      </c>
      <c r="N94" s="34">
        <f>IF($A94&lt;VARIABLES!$B$45,0,(IF($A94=VARIABLES!$B$45,0,O93)+L94)*C94*VARIABLES!$B$49)</f>
        <v>83722.406747151515</v>
      </c>
      <c r="O94" s="34">
        <f>IF($A94&lt;VARIABLES!$B$45,0,(IF($A94=VARIABLES!$B$45,0,O93)+L94)*(1+C94)-N94)</f>
        <v>101220389.75730619</v>
      </c>
      <c r="P94" s="34">
        <f>IF($A94&lt;VARIABLES!$B$52,0,IF($A94=VARIABLES!$B$52,VARIABLES!$B$53+VARIABLES!$B$54,VARIABLES!$B$54))</f>
        <v>20000</v>
      </c>
      <c r="Q94" s="34">
        <f>P94*VARIABLES!$B$55</f>
        <v>150</v>
      </c>
      <c r="R94" s="34">
        <f>IF($A94&lt;VARIABLES!$B$52,0,(IF($A94=VARIABLES!$B$52,0,S93)+P94)*C94*VARIABLES!$B$56)</f>
        <v>2485.6375323856114</v>
      </c>
      <c r="S94" s="34">
        <f>IF($A94&lt;VARIABLES!$B$52,0,(IF($A94=VARIABLES!$B$52,0,S93)+P94)*(1+C94)-R94)</f>
        <v>12028000.019213973</v>
      </c>
      <c r="T94" s="35">
        <f>IF($A94&lt;VARIABLES!$B$60,0,MIN(VARIABLES!$B$59,INT(($A94-VARIABLES!$B$60)/VARIABLES!$B$61)+1)*VARIABLES!$B$62)</f>
        <v>89</v>
      </c>
      <c r="U94" s="34">
        <f>T94*VARIABLES!$B$64+IF(AND($A94&gt;=VARIABLES!$B$60,MOD($A94-VARIABLES!$B$60,VARIABLES!$B$61)=0,INT(($A94-VARIABLES!$B$60)/VARIABLES!$B$61)&lt;VARIABLES!$B$59),VARIABLES!$B$62*VARIABLES!$B$63,0)</f>
        <v>495000</v>
      </c>
      <c r="V94" s="34">
        <f>U94*VARIABLES!$B$65</f>
        <v>3712.5</v>
      </c>
      <c r="W94" s="34">
        <f>IF($A94&lt;VARIABLES!$B$60,0,(IF($A94&lt;VARIABLES!$B$60+1,0,X93)+U94)*C94*VARIABLES!$B$66)</f>
        <v>70622.384716997898</v>
      </c>
      <c r="X94" s="34">
        <f>IF($A94&lt;VARIABLES!$B$60,0,(IF($A94&lt;VARIABLES!$B$60+1,0,X93)+U94)*(1+C94)-W94)</f>
        <v>85382463.122850463</v>
      </c>
      <c r="Y94" s="34">
        <f t="shared" si="18"/>
        <v>755000</v>
      </c>
      <c r="Z94" s="34">
        <f t="shared" si="19"/>
        <v>5662.5</v>
      </c>
      <c r="AA94" s="34">
        <f t="shared" si="20"/>
        <v>201269.21805072631</v>
      </c>
      <c r="AB94" s="34">
        <f>(IF($A94=1,0,AD93)*VARIABLES!$B$18*VARIABLES!$B$16*VARIABLES!$B$17)+(Y94*VARIABLES!$B$16*VARIABLES!$B$17)</f>
        <v>44039.195850553646</v>
      </c>
      <c r="AC94" s="36">
        <f t="shared" si="21"/>
        <v>250970.91390127997</v>
      </c>
      <c r="AD94" s="37">
        <f t="shared" si="22"/>
        <v>352764368.97641534</v>
      </c>
      <c r="AE94" s="34">
        <f>IF($A94=1,VARIABLES!$B$21,0)</f>
        <v>0</v>
      </c>
      <c r="AF94" s="34">
        <f>IF($A94&lt;=3,VARIABLES!$B$22,IF($A94&lt;=6,VARIABLES!$B$23,VARIABLES!$B$24))*(1+VARIABLES!$B$25)^INT(($A94-1)/12)</f>
        <v>69166.9919136026</v>
      </c>
      <c r="AG94" s="34">
        <f>IF(MOD($A94,12)=0,AD94*VARIABLES!$B$26,0)</f>
        <v>0</v>
      </c>
      <c r="AH94" s="34">
        <f>VARIABLES!$B$27</f>
        <v>5000</v>
      </c>
      <c r="AI94" s="34">
        <f>IF(MOD($A94,12)=0,VARIABLES!$B$28,0)</f>
        <v>0</v>
      </c>
      <c r="AJ94" s="38">
        <f t="shared" si="23"/>
        <v>74166.9919136026</v>
      </c>
      <c r="AK94" s="39">
        <f>IF(OR($A94&lt;VARIABLES!$B$7,AND($A94&gt;=VARIABLES!$B$8,$A94&lt;VARIABLES!$B$10)),VARIABLES!$B$13,0)</f>
        <v>0</v>
      </c>
      <c r="AL94" s="40">
        <f t="shared" si="24"/>
        <v>176803.92198767737</v>
      </c>
      <c r="AM94" s="40">
        <f t="shared" si="25"/>
        <v>16597935.098236725</v>
      </c>
      <c r="AN94" s="41">
        <f t="shared" si="26"/>
        <v>0</v>
      </c>
    </row>
    <row r="95" spans="1:40" x14ac:dyDescent="0.2">
      <c r="A95" s="42">
        <v>92</v>
      </c>
      <c r="B95" s="42" t="str">
        <f>TEXT(DATE(VARIABLES!$B$70+INT((VARIABLES!$B$71+$A95-2)/12),MOD(VARIABLES!$B$71+$A95-2,12)+1,1),"mmm-yy")</f>
        <v>Jan-34</v>
      </c>
      <c r="C95" s="43">
        <f>IF($A95&lt;VARIABLES!$B$7,VARIABLES!$B$5/12,IF($A95&lt;VARIABLES!$B$8,VARIABLES!$B$6/12,IF($A95&lt;VARIABLES!$B$10,VARIABLES!$B$9/12,VARIABLES!$B$11/12)))</f>
        <v>8.3333333333333332E-3</v>
      </c>
      <c r="D95" s="44">
        <f>IF($A95&lt;VARIABLES!$B$31,0,IF($A95=VARIABLES!$B$31,VARIABLES!$B$32+VARIABLES!$B$33,VARIABLES!$B$33))</f>
        <v>200000</v>
      </c>
      <c r="E95" s="44">
        <f>D95*VARIABLES!$B$34</f>
        <v>1500</v>
      </c>
      <c r="F95" s="44">
        <f>IF($A95&lt;VARIABLES!$B$31,0,(IF($A95=VARIABLES!$B$31,0,G94)+D95)*C95*VARIABLES!$B$35)</f>
        <v>27926.743016232911</v>
      </c>
      <c r="G95" s="44">
        <f>IF($A95&lt;VARIABLES!$B$31,0,(IF($A95=VARIABLES!$B$31,0,G94)+D95)*(1+C95)-F95)</f>
        <v>135137509.45555106</v>
      </c>
      <c r="H95" s="44">
        <f>IF($A95&lt;VARIABLES!$B$38,0,IF($A95=VARIABLES!$B$38,VARIABLES!$B$39+VARIABLES!$B$40,VARIABLES!$B$40))</f>
        <v>40000</v>
      </c>
      <c r="I95" s="44">
        <f>H95*VARIABLES!$B$41</f>
        <v>300</v>
      </c>
      <c r="J95" s="44">
        <f>IF($A95&lt;VARIABLES!$B$38,0,(IF($A95=VARIABLES!$B$38,0,K94)+H95)*C95*VARIABLES!$B$42)</f>
        <v>16937.624665938944</v>
      </c>
      <c r="K95" s="44">
        <f>IF($A95&lt;VARIABLES!$B$38,0,(IF($A95=VARIABLES!$B$38,0,K94)+H95)*(1+C95)-J95)</f>
        <v>20477588.221120186</v>
      </c>
      <c r="L95" s="44">
        <f>IF($A95&lt;VARIABLES!$B$45,0,IF($A95=VARIABLES!$B$45,VARIABLES!$B$46+VARIABLES!$B$47,VARIABLES!$B$47))</f>
        <v>0</v>
      </c>
      <c r="M95" s="44">
        <f>L95*VARIABLES!$B$48</f>
        <v>0</v>
      </c>
      <c r="N95" s="44">
        <f>IF($A95&lt;VARIABLES!$B$45,0,(IF($A95=VARIABLES!$B$45,0,O94)+L95)*C95*VARIABLES!$B$49)</f>
        <v>84350.324797755165</v>
      </c>
      <c r="O95" s="44">
        <f>IF($A95&lt;VARIABLES!$B$45,0,(IF($A95=VARIABLES!$B$45,0,O94)+L95)*(1+C95)-N95)</f>
        <v>101979542.68048599</v>
      </c>
      <c r="P95" s="44">
        <f>IF($A95&lt;VARIABLES!$B$52,0,IF($A95=VARIABLES!$B$52,VARIABLES!$B$53+VARIABLES!$B$54,VARIABLES!$B$54))</f>
        <v>20000</v>
      </c>
      <c r="Q95" s="44">
        <f>P95*VARIABLES!$B$55</f>
        <v>150</v>
      </c>
      <c r="R95" s="44">
        <f>IF($A95&lt;VARIABLES!$B$52,0,(IF($A95=VARIABLES!$B$52,0,S94)+P95)*C95*VARIABLES!$B$56)</f>
        <v>2510.0000040029113</v>
      </c>
      <c r="S95" s="44">
        <f>IF($A95&lt;VARIABLES!$B$52,0,(IF($A95=VARIABLES!$B$52,0,S94)+P95)*(1+C95)-R95)</f>
        <v>12145890.019370086</v>
      </c>
      <c r="T95" s="45">
        <f>IF($A95&lt;VARIABLES!$B$60,0,MIN(VARIABLES!$B$59,INT(($A95-VARIABLES!$B$60)/VARIABLES!$B$61)+1)*VARIABLES!$B$62)</f>
        <v>90</v>
      </c>
      <c r="U95" s="44">
        <f>T95*VARIABLES!$B$64+IF(AND($A95&gt;=VARIABLES!$B$60,MOD($A95-VARIABLES!$B$60,VARIABLES!$B$61)=0,INT(($A95-VARIABLES!$B$60)/VARIABLES!$B$61)&lt;VARIABLES!$B$59),VARIABLES!$B$62*VARIABLES!$B$63,0)</f>
        <v>500000</v>
      </c>
      <c r="V95" s="44">
        <f>U95*VARIABLES!$B$65</f>
        <v>3750</v>
      </c>
      <c r="W95" s="44">
        <f>IF($A95&lt;VARIABLES!$B$60,0,(IF($A95&lt;VARIABLES!$B$60+1,0,X94)+U95)*C95*VARIABLES!$B$66)</f>
        <v>71568.719269042063</v>
      </c>
      <c r="X95" s="44">
        <f>IF($A95&lt;VARIABLES!$B$60,0,(IF($A95&lt;VARIABLES!$B$60+1,0,X94)+U95)*(1+C95)-W95)</f>
        <v>86526581.596271843</v>
      </c>
      <c r="Y95" s="44">
        <f t="shared" si="18"/>
        <v>760000</v>
      </c>
      <c r="Z95" s="44">
        <f t="shared" si="19"/>
        <v>5700</v>
      </c>
      <c r="AA95" s="44">
        <f t="shared" si="20"/>
        <v>203293.411752972</v>
      </c>
      <c r="AB95" s="44">
        <f>(IF($A95=1,0,AD94)*VARIABLES!$B$18*VARIABLES!$B$16*VARIABLES!$B$17)+(Y95*VARIABLES!$B$16*VARIABLES!$B$17)</f>
        <v>44475.546122051921</v>
      </c>
      <c r="AC95" s="36">
        <f t="shared" si="21"/>
        <v>253468.95787502392</v>
      </c>
      <c r="AD95" s="37">
        <f t="shared" si="22"/>
        <v>356267111.97279918</v>
      </c>
      <c r="AE95" s="44">
        <f>IF($A95=1,VARIABLES!$B$21,0)</f>
        <v>0</v>
      </c>
      <c r="AF95" s="44">
        <f>IF($A95&lt;=3,VARIABLES!$B$22,IF($A95&lt;=6,VARIABLES!$B$23,VARIABLES!$B$24))*(1+VARIABLES!$B$25)^INT(($A95-1)/12)</f>
        <v>69166.9919136026</v>
      </c>
      <c r="AG95" s="44">
        <f>IF(MOD($A95,12)=0,AD95*VARIABLES!$B$26,0)</f>
        <v>0</v>
      </c>
      <c r="AH95" s="44">
        <f>VARIABLES!$B$27</f>
        <v>5000</v>
      </c>
      <c r="AI95" s="44">
        <f>IF(MOD($A95,12)=0,VARIABLES!$B$28,0)</f>
        <v>0</v>
      </c>
      <c r="AJ95" s="38">
        <f t="shared" si="23"/>
        <v>74166.9919136026</v>
      </c>
      <c r="AK95" s="39">
        <f>IF(OR($A95&lt;VARIABLES!$B$7,AND($A95&gt;=VARIABLES!$B$8,$A95&lt;VARIABLES!$B$10)),VARIABLES!$B$13,0)</f>
        <v>0</v>
      </c>
      <c r="AL95" s="46">
        <f t="shared" si="24"/>
        <v>179301.96596142132</v>
      </c>
      <c r="AM95" s="46">
        <f t="shared" si="25"/>
        <v>16777237.064198148</v>
      </c>
      <c r="AN95" s="41">
        <f t="shared" si="26"/>
        <v>0</v>
      </c>
    </row>
    <row r="96" spans="1:40" x14ac:dyDescent="0.2">
      <c r="A96" s="32">
        <v>93</v>
      </c>
      <c r="B96" s="32" t="str">
        <f>TEXT(DATE(VARIABLES!$B$70+INT((VARIABLES!$B$71+$A96-2)/12),MOD(VARIABLES!$B$71+$A96-2,12)+1,1),"mmm-yy")</f>
        <v>Feb-34</v>
      </c>
      <c r="C96" s="33">
        <f>IF($A96&lt;VARIABLES!$B$7,VARIABLES!$B$5/12,IF($A96&lt;VARIABLES!$B$8,VARIABLES!$B$6/12,IF($A96&lt;VARIABLES!$B$10,VARIABLES!$B$9/12,VARIABLES!$B$11/12)))</f>
        <v>8.3333333333333332E-3</v>
      </c>
      <c r="D96" s="34">
        <f>IF($A96&lt;VARIABLES!$B$31,0,IF($A96=VARIABLES!$B$31,VARIABLES!$B$32+VARIABLES!$B$33,VARIABLES!$B$33))</f>
        <v>200000</v>
      </c>
      <c r="E96" s="34">
        <f>D96*VARIABLES!$B$34</f>
        <v>1500</v>
      </c>
      <c r="F96" s="34">
        <f>IF($A96&lt;VARIABLES!$B$31,0,(IF($A96=VARIABLES!$B$31,0,G95)+D96)*C96*VARIABLES!$B$35)</f>
        <v>28195.314469906472</v>
      </c>
      <c r="G96" s="34">
        <f>IF($A96&lt;VARIABLES!$B$31,0,(IF($A96=VARIABLES!$B$31,0,G95)+D96)*(1+C96)-F96)</f>
        <v>136437126.71987742</v>
      </c>
      <c r="H96" s="34">
        <f>IF($A96&lt;VARIABLES!$B$38,0,IF($A96=VARIABLES!$B$38,VARIABLES!$B$39+VARIABLES!$B$40,VARIABLES!$B$40))</f>
        <v>40000</v>
      </c>
      <c r="I96" s="34">
        <f>H96*VARIABLES!$B$41</f>
        <v>300</v>
      </c>
      <c r="J96" s="34">
        <f>IF($A96&lt;VARIABLES!$B$38,0,(IF($A96=VARIABLES!$B$38,0,K95)+H96)*C96*VARIABLES!$B$42)</f>
        <v>17097.990184266822</v>
      </c>
      <c r="K96" s="34">
        <f>IF($A96&lt;VARIABLES!$B$38,0,(IF($A96=VARIABLES!$B$38,0,K95)+H96)*(1+C96)-J96)</f>
        <v>20671470.132778589</v>
      </c>
      <c r="L96" s="34">
        <f>IF($A96&lt;VARIABLES!$B$45,0,IF($A96=VARIABLES!$B$45,VARIABLES!$B$46+VARIABLES!$B$47,VARIABLES!$B$47))</f>
        <v>0</v>
      </c>
      <c r="M96" s="34">
        <f>L96*VARIABLES!$B$48</f>
        <v>0</v>
      </c>
      <c r="N96" s="34">
        <f>IF($A96&lt;VARIABLES!$B$45,0,(IF($A96=VARIABLES!$B$45,0,O95)+L96)*C96*VARIABLES!$B$49)</f>
        <v>84982.952233738324</v>
      </c>
      <c r="O96" s="34">
        <f>IF($A96&lt;VARIABLES!$B$45,0,(IF($A96=VARIABLES!$B$45,0,O95)+L96)*(1+C96)-N96)</f>
        <v>102744389.25058964</v>
      </c>
      <c r="P96" s="34">
        <f>IF($A96&lt;VARIABLES!$B$52,0,IF($A96=VARIABLES!$B$52,VARIABLES!$B$53+VARIABLES!$B$54,VARIABLES!$B$54))</f>
        <v>20000</v>
      </c>
      <c r="Q96" s="34">
        <f>P96*VARIABLES!$B$55</f>
        <v>150</v>
      </c>
      <c r="R96" s="34">
        <f>IF($A96&lt;VARIABLES!$B$52,0,(IF($A96=VARIABLES!$B$52,0,S95)+P96)*C96*VARIABLES!$B$56)</f>
        <v>2534.5604207021015</v>
      </c>
      <c r="S96" s="34">
        <f>IF($A96&lt;VARIABLES!$B$52,0,(IF($A96=VARIABLES!$B$52,0,S95)+P96)*(1+C96)-R96)</f>
        <v>12264737.875777468</v>
      </c>
      <c r="T96" s="35">
        <f>IF($A96&lt;VARIABLES!$B$60,0,MIN(VARIABLES!$B$59,INT(($A96-VARIABLES!$B$60)/VARIABLES!$B$61)+1)*VARIABLES!$B$62)</f>
        <v>91</v>
      </c>
      <c r="U96" s="34">
        <f>T96*VARIABLES!$B$64+IF(AND($A96&gt;=VARIABLES!$B$60,MOD($A96-VARIABLES!$B$60,VARIABLES!$B$61)=0,INT(($A96-VARIABLES!$B$60)/VARIABLES!$B$61)&lt;VARIABLES!$B$59),VARIABLES!$B$62*VARIABLES!$B$63,0)</f>
        <v>505000</v>
      </c>
      <c r="V96" s="34">
        <f>U96*VARIABLES!$B$65</f>
        <v>3787.5</v>
      </c>
      <c r="W96" s="34">
        <f>IF($A96&lt;VARIABLES!$B$60,0,(IF($A96&lt;VARIABLES!$B$60+1,0,X95)+U96)*C96*VARIABLES!$B$66)</f>
        <v>72526.317996893209</v>
      </c>
      <c r="X96" s="34">
        <f>IF($A96&lt;VARIABLES!$B$60,0,(IF($A96&lt;VARIABLES!$B$60+1,0,X95)+U96)*(1+C96)-W96)</f>
        <v>87684318.458243877</v>
      </c>
      <c r="Y96" s="34">
        <f t="shared" si="18"/>
        <v>765000</v>
      </c>
      <c r="Z96" s="34">
        <f t="shared" si="19"/>
        <v>5737.5</v>
      </c>
      <c r="AA96" s="34">
        <f t="shared" si="20"/>
        <v>205337.13530550693</v>
      </c>
      <c r="AB96" s="34">
        <f>(IF($A96=1,0,AD95)*VARIABLES!$B$18*VARIABLES!$B$16*VARIABLES!$B$17)+(Y96*VARIABLES!$B$16*VARIABLES!$B$17)</f>
        <v>44915.888996599897</v>
      </c>
      <c r="AC96" s="36">
        <f t="shared" si="21"/>
        <v>255990.52430210682</v>
      </c>
      <c r="AD96" s="37">
        <f t="shared" si="22"/>
        <v>359802042.43726695</v>
      </c>
      <c r="AE96" s="34">
        <f>IF($A96=1,VARIABLES!$B$21,0)</f>
        <v>0</v>
      </c>
      <c r="AF96" s="34">
        <f>IF($A96&lt;=3,VARIABLES!$B$22,IF($A96&lt;=6,VARIABLES!$B$23,VARIABLES!$B$24))*(1+VARIABLES!$B$25)^INT(($A96-1)/12)</f>
        <v>69166.9919136026</v>
      </c>
      <c r="AG96" s="34">
        <f>IF(MOD($A96,12)=0,AD96*VARIABLES!$B$26,0)</f>
        <v>0</v>
      </c>
      <c r="AH96" s="34">
        <f>VARIABLES!$B$27</f>
        <v>5000</v>
      </c>
      <c r="AI96" s="34">
        <f>IF(MOD($A96,12)=0,VARIABLES!$B$28,0)</f>
        <v>0</v>
      </c>
      <c r="AJ96" s="38">
        <f t="shared" si="23"/>
        <v>74166.9919136026</v>
      </c>
      <c r="AK96" s="39">
        <f>IF(OR($A96&lt;VARIABLES!$B$7,AND($A96&gt;=VARIABLES!$B$8,$A96&lt;VARIABLES!$B$10)),VARIABLES!$B$13,0)</f>
        <v>0</v>
      </c>
      <c r="AL96" s="40">
        <f t="shared" si="24"/>
        <v>181823.53238850422</v>
      </c>
      <c r="AM96" s="40">
        <f t="shared" si="25"/>
        <v>16959060.596586652</v>
      </c>
      <c r="AN96" s="41">
        <f t="shared" si="26"/>
        <v>0</v>
      </c>
    </row>
    <row r="97" spans="1:40" x14ac:dyDescent="0.2">
      <c r="A97" s="42">
        <v>94</v>
      </c>
      <c r="B97" s="42" t="str">
        <f>TEXT(DATE(VARIABLES!$B$70+INT((VARIABLES!$B$71+$A97-2)/12),MOD(VARIABLES!$B$71+$A97-2,12)+1,1),"mmm-yy")</f>
        <v>Mar-34</v>
      </c>
      <c r="C97" s="43">
        <f>IF($A97&lt;VARIABLES!$B$7,VARIABLES!$B$5/12,IF($A97&lt;VARIABLES!$B$8,VARIABLES!$B$6/12,IF($A97&lt;VARIABLES!$B$10,VARIABLES!$B$9/12,VARIABLES!$B$11/12)))</f>
        <v>8.3333333333333332E-3</v>
      </c>
      <c r="D97" s="44">
        <f>IF($A97&lt;VARIABLES!$B$31,0,IF($A97=VARIABLES!$B$31,VARIABLES!$B$32+VARIABLES!$B$33,VARIABLES!$B$33))</f>
        <v>200000</v>
      </c>
      <c r="E97" s="44">
        <f>D97*VARIABLES!$B$34</f>
        <v>1500</v>
      </c>
      <c r="F97" s="44">
        <f>IF($A97&lt;VARIABLES!$B$31,0,(IF($A97=VARIABLES!$B$31,0,G96)+D97)*C97*VARIABLES!$B$35)</f>
        <v>28466.068066641132</v>
      </c>
      <c r="G97" s="44">
        <f>IF($A97&lt;VARIABLES!$B$31,0,(IF($A97=VARIABLES!$B$31,0,G96)+D97)*(1+C97)-F97)</f>
        <v>137747303.37447643</v>
      </c>
      <c r="H97" s="44">
        <f>IF($A97&lt;VARIABLES!$B$38,0,IF($A97=VARIABLES!$B$38,VARIABLES!$B$39+VARIABLES!$B$40,VARIABLES!$B$40))</f>
        <v>40000</v>
      </c>
      <c r="I97" s="44">
        <f>H97*VARIABLES!$B$41</f>
        <v>300</v>
      </c>
      <c r="J97" s="44">
        <f>IF($A97&lt;VARIABLES!$B$38,0,(IF($A97=VARIABLES!$B$38,0,K96)+H97)*C97*VARIABLES!$B$42)</f>
        <v>17259.558443982158</v>
      </c>
      <c r="K97" s="44">
        <f>IF($A97&lt;VARIABLES!$B$38,0,(IF($A97=VARIABLES!$B$38,0,K96)+H97)*(1+C97)-J97)</f>
        <v>20866806.158774428</v>
      </c>
      <c r="L97" s="44">
        <f>IF($A97&lt;VARIABLES!$B$45,0,IF($A97=VARIABLES!$B$45,VARIABLES!$B$46+VARIABLES!$B$47,VARIABLES!$B$47))</f>
        <v>0</v>
      </c>
      <c r="M97" s="44">
        <f>L97*VARIABLES!$B$48</f>
        <v>0</v>
      </c>
      <c r="N97" s="44">
        <f>IF($A97&lt;VARIABLES!$B$45,0,(IF($A97=VARIABLES!$B$45,0,O96)+L97)*C97*VARIABLES!$B$49)</f>
        <v>85620.324375491371</v>
      </c>
      <c r="O97" s="44">
        <f>IF($A97&lt;VARIABLES!$B$45,0,(IF($A97=VARIABLES!$B$45,0,O96)+L97)*(1+C97)-N97)</f>
        <v>103514972.16996905</v>
      </c>
      <c r="P97" s="44">
        <f>IF($A97&lt;VARIABLES!$B$52,0,IF($A97=VARIABLES!$B$52,VARIABLES!$B$53+VARIABLES!$B$54,VARIABLES!$B$54))</f>
        <v>20000</v>
      </c>
      <c r="Q97" s="44">
        <f>P97*VARIABLES!$B$55</f>
        <v>150</v>
      </c>
      <c r="R97" s="44">
        <f>IF($A97&lt;VARIABLES!$B$52,0,(IF($A97=VARIABLES!$B$52,0,S96)+P97)*C97*VARIABLES!$B$56)</f>
        <v>2559.3203907869724</v>
      </c>
      <c r="S97" s="44">
        <f>IF($A97&lt;VARIABLES!$B$52,0,(IF($A97=VARIABLES!$B$52,0,S96)+P97)*(1+C97)-R97)</f>
        <v>12384551.37101816</v>
      </c>
      <c r="T97" s="45">
        <f>IF($A97&lt;VARIABLES!$B$60,0,MIN(VARIABLES!$B$59,INT(($A97-VARIABLES!$B$60)/VARIABLES!$B$61)+1)*VARIABLES!$B$62)</f>
        <v>92</v>
      </c>
      <c r="U97" s="44">
        <f>T97*VARIABLES!$B$64+IF(AND($A97&gt;=VARIABLES!$B$60,MOD($A97-VARIABLES!$B$60,VARIABLES!$B$61)=0,INT(($A97-VARIABLES!$B$60)/VARIABLES!$B$61)&lt;VARIABLES!$B$59),VARIABLES!$B$62*VARIABLES!$B$63,0)</f>
        <v>510000</v>
      </c>
      <c r="V97" s="44">
        <f>U97*VARIABLES!$B$65</f>
        <v>3825</v>
      </c>
      <c r="W97" s="44">
        <f>IF($A97&lt;VARIABLES!$B$60,0,(IF($A97&lt;VARIABLES!$B$60+1,0,X96)+U97)*C97*VARIABLES!$B$66)</f>
        <v>73495.265381869904</v>
      </c>
      <c r="X97" s="44">
        <f>IF($A97&lt;VARIABLES!$B$60,0,(IF($A97&lt;VARIABLES!$B$60+1,0,X96)+U97)*(1+C97)-W97)</f>
        <v>88855775.846680701</v>
      </c>
      <c r="Y97" s="44">
        <f t="shared" si="18"/>
        <v>770000</v>
      </c>
      <c r="Z97" s="44">
        <f t="shared" si="19"/>
        <v>5775</v>
      </c>
      <c r="AA97" s="44">
        <f t="shared" si="20"/>
        <v>207400.53665877157</v>
      </c>
      <c r="AB97" s="44">
        <f>(IF($A97=1,0,AD96)*VARIABLES!$B$18*VARIABLES!$B$16*VARIABLES!$B$17)+(Y97*VARIABLES!$B$16*VARIABLES!$B$17)</f>
        <v>45360.255304658371</v>
      </c>
      <c r="AC97" s="36">
        <f t="shared" si="21"/>
        <v>258535.79196342995</v>
      </c>
      <c r="AD97" s="37">
        <f t="shared" si="22"/>
        <v>363369408.92091876</v>
      </c>
      <c r="AE97" s="44">
        <f>IF($A97=1,VARIABLES!$B$21,0)</f>
        <v>0</v>
      </c>
      <c r="AF97" s="44">
        <f>IF($A97&lt;=3,VARIABLES!$B$22,IF($A97&lt;=6,VARIABLES!$B$23,VARIABLES!$B$24))*(1+VARIABLES!$B$25)^INT(($A97-1)/12)</f>
        <v>69166.9919136026</v>
      </c>
      <c r="AG97" s="44">
        <f>IF(MOD($A97,12)=0,AD97*VARIABLES!$B$26,0)</f>
        <v>0</v>
      </c>
      <c r="AH97" s="44">
        <f>VARIABLES!$B$27</f>
        <v>5000</v>
      </c>
      <c r="AI97" s="44">
        <f>IF(MOD($A97,12)=0,VARIABLES!$B$28,0)</f>
        <v>0</v>
      </c>
      <c r="AJ97" s="38">
        <f t="shared" si="23"/>
        <v>74166.9919136026</v>
      </c>
      <c r="AK97" s="39">
        <f>IF(OR($A97&lt;VARIABLES!$B$7,AND($A97&gt;=VARIABLES!$B$8,$A97&lt;VARIABLES!$B$10)),VARIABLES!$B$13,0)</f>
        <v>0</v>
      </c>
      <c r="AL97" s="46">
        <f t="shared" si="24"/>
        <v>184368.80004982735</v>
      </c>
      <c r="AM97" s="46">
        <f t="shared" si="25"/>
        <v>17143429.396636479</v>
      </c>
      <c r="AN97" s="41">
        <f t="shared" si="26"/>
        <v>0</v>
      </c>
    </row>
    <row r="98" spans="1:40" x14ac:dyDescent="0.2">
      <c r="A98" s="32">
        <v>95</v>
      </c>
      <c r="B98" s="32" t="str">
        <f>TEXT(DATE(VARIABLES!$B$70+INT((VARIABLES!$B$71+$A98-2)/12),MOD(VARIABLES!$B$71+$A98-2,12)+1,1),"mmm-yy")</f>
        <v>Apr-34</v>
      </c>
      <c r="C98" s="33">
        <f>IF($A98&lt;VARIABLES!$B$7,VARIABLES!$B$5/12,IF($A98&lt;VARIABLES!$B$8,VARIABLES!$B$6/12,IF($A98&lt;VARIABLES!$B$10,VARIABLES!$B$9/12,VARIABLES!$B$11/12)))</f>
        <v>8.3333333333333332E-3</v>
      </c>
      <c r="D98" s="34">
        <f>IF($A98&lt;VARIABLES!$B$31,0,IF($A98=VARIABLES!$B$31,VARIABLES!$B$32+VARIABLES!$B$33,VARIABLES!$B$33))</f>
        <v>200000</v>
      </c>
      <c r="E98" s="34">
        <f>D98*VARIABLES!$B$34</f>
        <v>1500</v>
      </c>
      <c r="F98" s="34">
        <f>IF($A98&lt;VARIABLES!$B$31,0,(IF($A98=VARIABLES!$B$31,0,G97)+D98)*C98*VARIABLES!$B$35)</f>
        <v>28739.021536349257</v>
      </c>
      <c r="G98" s="34">
        <f>IF($A98&lt;VARIABLES!$B$31,0,(IF($A98=VARIABLES!$B$31,0,G97)+D98)*(1+C98)-F98)</f>
        <v>139068125.21439406</v>
      </c>
      <c r="H98" s="34">
        <f>IF($A98&lt;VARIABLES!$B$38,0,IF($A98=VARIABLES!$B$38,VARIABLES!$B$39+VARIABLES!$B$40,VARIABLES!$B$40))</f>
        <v>40000</v>
      </c>
      <c r="I98" s="34">
        <f>H98*VARIABLES!$B$41</f>
        <v>300</v>
      </c>
      <c r="J98" s="34">
        <f>IF($A98&lt;VARIABLES!$B$38,0,(IF($A98=VARIABLES!$B$38,0,K97)+H98)*C98*VARIABLES!$B$42)</f>
        <v>17422.338465645356</v>
      </c>
      <c r="K98" s="34">
        <f>IF($A98&lt;VARIABLES!$B$38,0,(IF($A98=VARIABLES!$B$38,0,K97)+H98)*(1+C98)-J98)</f>
        <v>21063607.204965234</v>
      </c>
      <c r="L98" s="34">
        <f>IF($A98&lt;VARIABLES!$B$45,0,IF($A98=VARIABLES!$B$45,VARIABLES!$B$46+VARIABLES!$B$47,VARIABLES!$B$47))</f>
        <v>0</v>
      </c>
      <c r="M98" s="34">
        <f>L98*VARIABLES!$B$48</f>
        <v>0</v>
      </c>
      <c r="N98" s="34">
        <f>IF($A98&lt;VARIABLES!$B$45,0,(IF($A98=VARIABLES!$B$45,0,O97)+L98)*C98*VARIABLES!$B$49)</f>
        <v>86262.476808307547</v>
      </c>
      <c r="O98" s="34">
        <f>IF($A98&lt;VARIABLES!$B$45,0,(IF($A98=VARIABLES!$B$45,0,O97)+L98)*(1+C98)-N98)</f>
        <v>104291334.46124381</v>
      </c>
      <c r="P98" s="34">
        <f>IF($A98&lt;VARIABLES!$B$52,0,IF($A98=VARIABLES!$B$52,VARIABLES!$B$53+VARIABLES!$B$54,VARIABLES!$B$54))</f>
        <v>20000</v>
      </c>
      <c r="Q98" s="34">
        <f>P98*VARIABLES!$B$55</f>
        <v>150</v>
      </c>
      <c r="R98" s="34">
        <f>IF($A98&lt;VARIABLES!$B$52,0,(IF($A98=VARIABLES!$B$52,0,S97)+P98)*C98*VARIABLES!$B$56)</f>
        <v>2584.2815356287833</v>
      </c>
      <c r="S98" s="34">
        <f>IF($A98&lt;VARIABLES!$B$52,0,(IF($A98=VARIABLES!$B$52,0,S97)+P98)*(1+C98)-R98)</f>
        <v>12505338.350907682</v>
      </c>
      <c r="T98" s="35">
        <f>IF($A98&lt;VARIABLES!$B$60,0,MIN(VARIABLES!$B$59,INT(($A98-VARIABLES!$B$60)/VARIABLES!$B$61)+1)*VARIABLES!$B$62)</f>
        <v>93</v>
      </c>
      <c r="U98" s="34">
        <f>T98*VARIABLES!$B$64+IF(AND($A98&gt;=VARIABLES!$B$60,MOD($A98-VARIABLES!$B$60,VARIABLES!$B$61)=0,INT(($A98-VARIABLES!$B$60)/VARIABLES!$B$61)&lt;VARIABLES!$B$59),VARIABLES!$B$62*VARIABLES!$B$63,0)</f>
        <v>515000</v>
      </c>
      <c r="V98" s="34">
        <f>U98*VARIABLES!$B$65</f>
        <v>3862.5</v>
      </c>
      <c r="W98" s="34">
        <f>IF($A98&lt;VARIABLES!$B$60,0,(IF($A98&lt;VARIABLES!$B$60+1,0,X97)+U98)*C98*VARIABLES!$B$66)</f>
        <v>74475.64653890059</v>
      </c>
      <c r="X98" s="34">
        <f>IF($A98&lt;VARIABLES!$B$60,0,(IF($A98&lt;VARIABLES!$B$60+1,0,X97)+U98)*(1+C98)-W98)</f>
        <v>90041056.665530801</v>
      </c>
      <c r="Y98" s="34">
        <f t="shared" si="18"/>
        <v>775000</v>
      </c>
      <c r="Z98" s="34">
        <f t="shared" si="19"/>
        <v>5812.5</v>
      </c>
      <c r="AA98" s="34">
        <f t="shared" si="20"/>
        <v>209483.76488483153</v>
      </c>
      <c r="AB98" s="34">
        <f>(IF($A98=1,0,AD97)*VARIABLES!$B$18*VARIABLES!$B$16*VARIABLES!$B$17)+(Y98*VARIABLES!$B$16*VARIABLES!$B$17)</f>
        <v>45808.676115114846</v>
      </c>
      <c r="AC98" s="36">
        <f t="shared" si="21"/>
        <v>261104.94099994638</v>
      </c>
      <c r="AD98" s="37">
        <f t="shared" si="22"/>
        <v>366969461.89704156</v>
      </c>
      <c r="AE98" s="34">
        <f>IF($A98=1,VARIABLES!$B$21,0)</f>
        <v>0</v>
      </c>
      <c r="AF98" s="34">
        <f>IF($A98&lt;=3,VARIABLES!$B$22,IF($A98&lt;=6,VARIABLES!$B$23,VARIABLES!$B$24))*(1+VARIABLES!$B$25)^INT(($A98-1)/12)</f>
        <v>69166.9919136026</v>
      </c>
      <c r="AG98" s="34">
        <f>IF(MOD($A98,12)=0,AD98*VARIABLES!$B$26,0)</f>
        <v>0</v>
      </c>
      <c r="AH98" s="34">
        <f>VARIABLES!$B$27</f>
        <v>5000</v>
      </c>
      <c r="AI98" s="34">
        <f>IF(MOD($A98,12)=0,VARIABLES!$B$28,0)</f>
        <v>0</v>
      </c>
      <c r="AJ98" s="38">
        <f t="shared" si="23"/>
        <v>74166.9919136026</v>
      </c>
      <c r="AK98" s="39">
        <f>IF(OR($A98&lt;VARIABLES!$B$7,AND($A98&gt;=VARIABLES!$B$8,$A98&lt;VARIABLES!$B$10)),VARIABLES!$B$13,0)</f>
        <v>0</v>
      </c>
      <c r="AL98" s="40">
        <f t="shared" si="24"/>
        <v>186937.94908634378</v>
      </c>
      <c r="AM98" s="40">
        <f t="shared" si="25"/>
        <v>17330367.345722821</v>
      </c>
      <c r="AN98" s="41">
        <f t="shared" si="26"/>
        <v>0</v>
      </c>
    </row>
    <row r="99" spans="1:40" x14ac:dyDescent="0.2">
      <c r="A99" s="42">
        <v>96</v>
      </c>
      <c r="B99" s="42" t="str">
        <f>TEXT(DATE(VARIABLES!$B$70+INT((VARIABLES!$B$71+$A99-2)/12),MOD(VARIABLES!$B$71+$A99-2,12)+1,1),"mmm-yy")</f>
        <v>May-34</v>
      </c>
      <c r="C99" s="43">
        <f>IF($A99&lt;VARIABLES!$B$7,VARIABLES!$B$5/12,IF($A99&lt;VARIABLES!$B$8,VARIABLES!$B$6/12,IF($A99&lt;VARIABLES!$B$10,VARIABLES!$B$9/12,VARIABLES!$B$11/12)))</f>
        <v>8.3333333333333332E-3</v>
      </c>
      <c r="D99" s="44">
        <f>IF($A99&lt;VARIABLES!$B$31,0,IF($A99=VARIABLES!$B$31,VARIABLES!$B$32+VARIABLES!$B$33,VARIABLES!$B$33))</f>
        <v>200000</v>
      </c>
      <c r="E99" s="44">
        <f>D99*VARIABLES!$B$34</f>
        <v>1500</v>
      </c>
      <c r="F99" s="44">
        <f>IF($A99&lt;VARIABLES!$B$31,0,(IF($A99=VARIABLES!$B$31,0,G98)+D99)*C99*VARIABLES!$B$35)</f>
        <v>29014.192752998766</v>
      </c>
      <c r="G99" s="44">
        <f>IF($A99&lt;VARIABLES!$B$31,0,(IF($A99=VARIABLES!$B$31,0,G98)+D99)*(1+C99)-F99)</f>
        <v>140399678.73176101</v>
      </c>
      <c r="H99" s="44">
        <f>IF($A99&lt;VARIABLES!$B$38,0,IF($A99=VARIABLES!$B$38,VARIABLES!$B$39+VARIABLES!$B$40,VARIABLES!$B$40))</f>
        <v>40000</v>
      </c>
      <c r="I99" s="44">
        <f>H99*VARIABLES!$B$41</f>
        <v>300</v>
      </c>
      <c r="J99" s="44">
        <f>IF($A99&lt;VARIABLES!$B$38,0,(IF($A99=VARIABLES!$B$38,0,K98)+H99)*C99*VARIABLES!$B$42)</f>
        <v>17586.339337471029</v>
      </c>
      <c r="K99" s="44">
        <f>IF($A99&lt;VARIABLES!$B$38,0,(IF($A99=VARIABLES!$B$38,0,K98)+H99)*(1+C99)-J99)</f>
        <v>21261884.259002473</v>
      </c>
      <c r="L99" s="44">
        <f>IF($A99&lt;VARIABLES!$B$45,0,IF($A99=VARIABLES!$B$45,VARIABLES!$B$46+VARIABLES!$B$47,VARIABLES!$B$47))</f>
        <v>0</v>
      </c>
      <c r="M99" s="44">
        <f>L99*VARIABLES!$B$48</f>
        <v>0</v>
      </c>
      <c r="N99" s="44">
        <f>IF($A99&lt;VARIABLES!$B$45,0,(IF($A99=VARIABLES!$B$45,0,O98)+L99)*C99*VARIABLES!$B$49)</f>
        <v>86909.445384369843</v>
      </c>
      <c r="O99" s="44">
        <f>IF($A99&lt;VARIABLES!$B$45,0,(IF($A99=VARIABLES!$B$45,0,O98)+L99)*(1+C99)-N99)</f>
        <v>105073519.46970314</v>
      </c>
      <c r="P99" s="44">
        <f>IF($A99&lt;VARIABLES!$B$52,0,IF($A99=VARIABLES!$B$52,VARIABLES!$B$53+VARIABLES!$B$54,VARIABLES!$B$54))</f>
        <v>20000</v>
      </c>
      <c r="Q99" s="44">
        <f>P99*VARIABLES!$B$55</f>
        <v>150</v>
      </c>
      <c r="R99" s="44">
        <f>IF($A99&lt;VARIABLES!$B$52,0,(IF($A99=VARIABLES!$B$52,0,S98)+P99)*C99*VARIABLES!$B$56)</f>
        <v>2609.4454897724336</v>
      </c>
      <c r="S99" s="44">
        <f>IF($A99&lt;VARIABLES!$B$52,0,(IF($A99=VARIABLES!$B$52,0,S98)+P99)*(1+C99)-R99)</f>
        <v>12627106.725008806</v>
      </c>
      <c r="T99" s="45">
        <f>IF($A99&lt;VARIABLES!$B$60,0,MIN(VARIABLES!$B$59,INT(($A99-VARIABLES!$B$60)/VARIABLES!$B$61)+1)*VARIABLES!$B$62)</f>
        <v>94</v>
      </c>
      <c r="U99" s="44">
        <f>T99*VARIABLES!$B$64+IF(AND($A99&gt;=VARIABLES!$B$60,MOD($A99-VARIABLES!$B$60,VARIABLES!$B$61)=0,INT(($A99-VARIABLES!$B$60)/VARIABLES!$B$61)&lt;VARIABLES!$B$59),VARIABLES!$B$62*VARIABLES!$B$63,0)</f>
        <v>520000</v>
      </c>
      <c r="V99" s="44">
        <f>U99*VARIABLES!$B$65</f>
        <v>3900</v>
      </c>
      <c r="W99" s="44">
        <f>IF($A99&lt;VARIABLES!$B$60,0,(IF($A99&lt;VARIABLES!$B$60+1,0,X98)+U99)*C99*VARIABLES!$B$66)</f>
        <v>75467.547221275672</v>
      </c>
      <c r="X99" s="44">
        <f>IF($A99&lt;VARIABLES!$B$60,0,(IF($A99&lt;VARIABLES!$B$60+1,0,X98)+U99)*(1+C99)-W99)</f>
        <v>91240264.590522274</v>
      </c>
      <c r="Y99" s="44">
        <f t="shared" si="18"/>
        <v>780000</v>
      </c>
      <c r="Z99" s="44">
        <f t="shared" si="19"/>
        <v>5850</v>
      </c>
      <c r="AA99" s="44">
        <f t="shared" si="20"/>
        <v>211586.97018588771</v>
      </c>
      <c r="AB99" s="44">
        <f>(IF($A99=1,0,AD98)*VARIABLES!$B$18*VARIABLES!$B$16*VARIABLES!$B$17)+(Y99*VARIABLES!$B$16*VARIABLES!$B$17)</f>
        <v>46261.182737130199</v>
      </c>
      <c r="AC99" s="36">
        <f t="shared" si="21"/>
        <v>263698.15292301791</v>
      </c>
      <c r="AD99" s="37">
        <f t="shared" si="22"/>
        <v>370602453.7759977</v>
      </c>
      <c r="AE99" s="44">
        <f>IF($A99=1,VARIABLES!$B$21,0)</f>
        <v>0</v>
      </c>
      <c r="AF99" s="44">
        <f>IF($A99&lt;=3,VARIABLES!$B$22,IF($A99&lt;=6,VARIABLES!$B$23,VARIABLES!$B$24))*(1+VARIABLES!$B$25)^INT(($A99-1)/12)</f>
        <v>69166.9919136026</v>
      </c>
      <c r="AG99" s="44">
        <f>IF(MOD($A99,12)=0,AD99*VARIABLES!$B$26,0)</f>
        <v>926506.13443999423</v>
      </c>
      <c r="AH99" s="44">
        <f>VARIABLES!$B$27</f>
        <v>5000</v>
      </c>
      <c r="AI99" s="44">
        <f>IF(MOD($A99,12)=0,VARIABLES!$B$28,0)</f>
        <v>3000</v>
      </c>
      <c r="AJ99" s="38">
        <f t="shared" si="23"/>
        <v>1003673.1263535968</v>
      </c>
      <c r="AK99" s="39">
        <f>IF(OR($A99&lt;VARIABLES!$B$7,AND($A99&gt;=VARIABLES!$B$8,$A99&lt;VARIABLES!$B$10)),VARIABLES!$B$13,0)</f>
        <v>0</v>
      </c>
      <c r="AL99" s="46">
        <f t="shared" si="24"/>
        <v>-739974.97343057883</v>
      </c>
      <c r="AM99" s="46">
        <f t="shared" si="25"/>
        <v>16590392.372292241</v>
      </c>
      <c r="AN99" s="41">
        <f t="shared" si="26"/>
        <v>0</v>
      </c>
    </row>
    <row r="100" spans="1:40" x14ac:dyDescent="0.2">
      <c r="A100" s="47" t="s">
        <v>131</v>
      </c>
      <c r="B100" s="19"/>
      <c r="Y100" s="48">
        <f>SUM(Y4:Y99)</f>
        <v>57225000</v>
      </c>
      <c r="Z100" s="48">
        <f>SUM(Z4:Z99)</f>
        <v>429187.5</v>
      </c>
      <c r="AA100" s="48">
        <f>SUM(AA4:AA99)</f>
        <v>23569564.483079217</v>
      </c>
      <c r="AB100" s="48">
        <f>SUM(AB4:AB99)</f>
        <v>1507186.6027668894</v>
      </c>
      <c r="AC100" s="48">
        <f>SUM(AC4:AC99)</f>
        <v>25505938.585846104</v>
      </c>
      <c r="AD100" s="48">
        <f>AD99</f>
        <v>370602453.7759977</v>
      </c>
      <c r="AE100" s="48">
        <f t="shared" ref="AE100:AL100" si="27">SUM(AE4:AE99)</f>
        <v>57500</v>
      </c>
      <c r="AF100" s="48">
        <f t="shared" si="27"/>
        <v>5359902.2856837446</v>
      </c>
      <c r="AG100" s="48">
        <f t="shared" si="27"/>
        <v>2994143.9278701134</v>
      </c>
      <c r="AH100" s="48">
        <f t="shared" si="27"/>
        <v>480000</v>
      </c>
      <c r="AI100" s="48">
        <f t="shared" si="27"/>
        <v>24000</v>
      </c>
      <c r="AJ100" s="48">
        <f t="shared" si="27"/>
        <v>8915546.2135538552</v>
      </c>
      <c r="AK100" s="48">
        <f t="shared" si="27"/>
        <v>0</v>
      </c>
      <c r="AL100" s="48">
        <f t="shared" si="27"/>
        <v>16590392.372292241</v>
      </c>
      <c r="AM100" s="48">
        <f>AM99</f>
        <v>16590392.372292241</v>
      </c>
      <c r="AN100" s="48">
        <f>AN99</f>
        <v>0</v>
      </c>
    </row>
    <row r="102" spans="1:40" ht="75" customHeight="1" x14ac:dyDescent="0.2">
      <c r="A102" s="49" t="s">
        <v>132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</row>
  </sheetData>
  <mergeCells count="10">
    <mergeCell ref="A102:AN102"/>
    <mergeCell ref="A1:AN1"/>
    <mergeCell ref="A2:C2"/>
    <mergeCell ref="A100:B100"/>
    <mergeCell ref="AE2:AJ2"/>
    <mergeCell ref="AL2:AN2"/>
    <mergeCell ref="D2:X2"/>
    <mergeCell ref="Y2:AC2"/>
    <mergeCell ref="AD2"/>
    <mergeCell ref="A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F1"/>
  <sheetViews>
    <sheetView showGridLines="0" topLeftCell="A37" workbookViewId="0">
      <selection sqref="A1:F1"/>
    </sheetView>
  </sheetViews>
  <sheetFormatPr defaultRowHeight="15" x14ac:dyDescent="0.25"/>
  <sheetData>
    <row r="1" spans="1:6" ht="24" customHeight="1" x14ac:dyDescent="0.25">
      <c r="A1" s="17" t="s">
        <v>133</v>
      </c>
      <c r="B1" s="9"/>
      <c r="C1" s="9"/>
      <c r="D1" s="9"/>
      <c r="E1" s="9"/>
      <c r="F1" s="9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MONTHLY FORECAST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Davin Gaier</cp:lastModifiedBy>
  <dcterms:created xsi:type="dcterms:W3CDTF">2026-06-24T22:34:42Z</dcterms:created>
  <dcterms:modified xsi:type="dcterms:W3CDTF">2026-06-27T08:42:24Z</dcterms:modified>
</cp:coreProperties>
</file>