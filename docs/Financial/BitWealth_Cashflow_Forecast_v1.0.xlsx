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Forecast" sheetId="2" state="visible" r:id="rId2"/>
    <sheet xmlns:r="http://schemas.openxmlformats.org/officeDocument/2006/relationships" name="AUM Growth" sheetId="3" state="visible" r:id="rId3"/>
    <sheet xmlns:r="http://schemas.openxmlformats.org/officeDocument/2006/relationships" name="Client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 #,##0;[Red](R #,##0)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A1A1A"/>
      <sz val="10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1A1A1A"/>
      <sz val="11"/>
    </font>
    <font>
      <name val="Calibri"/>
      <i val="1"/>
      <color rgb="00555555"/>
      <sz val="9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3"/>
    </font>
  </fonts>
  <fills count="14">
    <fill>
      <patternFill/>
    </fill>
    <fill>
      <patternFill patternType="gray125"/>
    </fill>
    <fill>
      <patternFill patternType="solid">
        <fgColor rgb="00C9A227"/>
      </patternFill>
    </fill>
    <fill>
      <patternFill patternType="solid">
        <fgColor rgb="00F5EBC8"/>
      </patternFill>
    </fill>
    <fill>
      <patternFill patternType="solid">
        <fgColor rgb="00006064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A1A1A"/>
      </patternFill>
    </fill>
    <fill>
      <patternFill patternType="solid">
        <fgColor rgb="001B5E20"/>
      </patternFill>
    </fill>
    <fill>
      <patternFill patternType="solid">
        <fgColor rgb="00B71C1C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64" fontId="5" fillId="11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 vertical="center"/>
    </xf>
    <xf numFmtId="164" fontId="5" fillId="1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164" fontId="5" fillId="3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164" fontId="4" fillId="1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Operating Cashflow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Forecast'!N3</f>
            </strRef>
          </tx>
          <spPr>
            <a:ln xmlns:a="http://schemas.openxmlformats.org/drawingml/2006/main" w="20000">
              <a:solidFill>
                <a:srgbClr val="C9A22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Forecast'!$B$4:$B$39</f>
            </numRef>
          </cat>
          <val>
            <numRef>
              <f>'Monthly Forecast'!$N$4:$N$39</f>
            </numRef>
          </val>
        </ser>
        <ser>
          <idx val="1"/>
          <order val="1"/>
          <tx>
            <strRef>
              <f>'Monthly Forecast'!F3</f>
            </strRef>
          </tx>
          <spPr>
            <a:ln xmlns:a="http://schemas.openxmlformats.org/drawingml/2006/main" w="15000">
              <a:solidFill>
                <a:srgbClr val="1B5E2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Forecast'!$B$4:$B$39</f>
            </numRef>
          </cat>
          <val>
            <numRef>
              <f>'Monthly Forecast'!$F$4:$F$39</f>
            </numRef>
          </val>
        </ser>
        <ser>
          <idx val="2"/>
          <order val="2"/>
          <tx>
            <strRef>
              <f>'Monthly Forecast'!L3</f>
            </strRef>
          </tx>
          <spPr>
            <a:ln xmlns:a="http://schemas.openxmlformats.org/drawingml/2006/main" w="15000">
              <a:solidFill>
                <a:srgbClr val="B71C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Forecast'!$B$4:$B$39</f>
            </numRef>
          </cat>
          <val>
            <numRef>
              <f>'Monthly Forecast'!$L$4:$L$39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AUM Growth (ZAR)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'AUM Growth'!C3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prstDash val="solid"/>
            </a:ln>
          </spPr>
          <cat>
            <numRef>
              <f>'AUM Growth'!$B$4:$B$39</f>
            </numRef>
          </cat>
          <val>
            <numRef>
              <f>'AUM Growth'!$C$4:$C$39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ZAR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43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41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5" customWidth="1" min="3" max="3"/>
  </cols>
  <sheetData>
    <row r="1" ht="30" customHeight="1">
      <c r="A1" s="1" t="inlineStr">
        <is>
          <t>BitWealth (Pty) Ltd — Cashflow Forecast: Key Assumptions</t>
        </is>
      </c>
    </row>
    <row r="2">
      <c r="A2" s="2" t="inlineStr">
        <is>
          <t>36-Month Forecast · Baseline scenario · June 2026 – May 2029 · All amounts in ZAR</t>
        </is>
      </c>
    </row>
    <row r="4" ht="18" customHeight="1">
      <c r="A4" s="3" t="inlineStr">
        <is>
          <t>REVENUE ASSUMPTIONS</t>
        </is>
      </c>
    </row>
    <row r="5">
      <c r="A5" s="4" t="inlineStr">
        <is>
          <t>Platform fee rate</t>
        </is>
      </c>
      <c r="B5" s="5" t="inlineStr">
        <is>
          <t>0.75%</t>
        </is>
      </c>
      <c r="C5" s="6" t="inlineStr">
        <is>
          <t>Charged on ALL contributions (lump sum + monthly)</t>
        </is>
      </c>
    </row>
    <row r="6">
      <c r="A6" s="4" t="inlineStr">
        <is>
          <t>Performance fee rate</t>
        </is>
      </c>
      <c r="B6" s="5" t="inlineStr">
        <is>
          <t>10%</t>
        </is>
      </c>
      <c r="C6" s="6" t="inlineStr">
        <is>
          <t>10% of profits above High Water Mark</t>
        </is>
      </c>
    </row>
    <row r="7">
      <c r="A7" s="4" t="inlineStr">
        <is>
          <t>Performance fee crystallisation</t>
        </is>
      </c>
      <c r="B7" s="5" t="inlineStr">
        <is>
          <t>Quarterly</t>
        </is>
      </c>
      <c r="C7" s="6" t="inlineStr">
        <is>
          <t>Every 3 months per client (client may opt for monthly or annual)</t>
        </is>
      </c>
    </row>
    <row r="8">
      <c r="A8" s="4" t="inlineStr">
        <is>
          <t>HWM method</t>
        </is>
      </c>
      <c r="B8" s="5" t="inlineStr">
        <is>
          <t>Cost-basis</t>
        </is>
      </c>
      <c r="C8" s="6" t="inlineStr">
        <is>
          <t>New contributions added to HWM so new money is never immediately profitable</t>
        </is>
      </c>
    </row>
    <row r="9">
      <c r="A9" s="4" t="inlineStr">
        <is>
          <t>Annual portfolio return (assumed)</t>
        </is>
      </c>
      <c r="B9" s="5" t="inlineStr">
        <is>
          <t>20% p.a.</t>
        </is>
      </c>
      <c r="C9" s="6" t="inlineStr">
        <is>
          <t>1.6667% per month simple; used to project AUM and performance fee income</t>
        </is>
      </c>
    </row>
    <row r="11" ht="18" customHeight="1">
      <c r="A11" s="3" t="inlineStr">
        <is>
          <t>COST ASSUMPTIONS</t>
        </is>
      </c>
    </row>
    <row r="12">
      <c r="A12" s="4" t="inlineStr">
        <is>
          <t>CAEP onboarding fee (once-off)</t>
        </is>
      </c>
      <c r="B12" s="5" t="inlineStr">
        <is>
          <t>R 50 000</t>
        </is>
      </c>
      <c r="C12" s="6" t="inlineStr">
        <is>
          <t>Paid Month 1 when Juristic Representative appointment confirmed</t>
        </is>
      </c>
    </row>
    <row r="13">
      <c r="A13" s="4" t="inlineStr">
        <is>
          <t>CAEP hosting — Months 1-3</t>
        </is>
      </c>
      <c r="B13" s="5" t="inlineStr">
        <is>
          <t>R 20 000 / mth</t>
        </is>
      </c>
      <c r="C13" s="6" t="inlineStr"/>
    </row>
    <row r="14">
      <c r="A14" s="4" t="inlineStr">
        <is>
          <t>CAEP hosting — Months 4-6</t>
        </is>
      </c>
      <c r="B14" s="5" t="inlineStr">
        <is>
          <t>R 30 000 / mth</t>
        </is>
      </c>
      <c r="C14" s="6" t="inlineStr"/>
    </row>
    <row r="15">
      <c r="A15" s="4" t="inlineStr">
        <is>
          <t>CAEP hosting — Month 7 onwards</t>
        </is>
      </c>
      <c r="B15" s="5" t="inlineStr">
        <is>
          <t>R 40 000 / mth</t>
        </is>
      </c>
      <c r="C15" s="6" t="inlineStr">
        <is>
          <t>Steady-state representative hosting fee</t>
        </is>
      </c>
    </row>
    <row r="16">
      <c r="A16" s="4" t="inlineStr">
        <is>
          <t>CAEP AUM fee</t>
        </is>
      </c>
      <c r="B16" s="5" t="inlineStr">
        <is>
          <t>0.25% p.a.</t>
        </is>
      </c>
      <c r="C16" s="6" t="inlineStr">
        <is>
          <t>Annual fee on total AUM paid to CAEP; modelled as monthly accrual (÷12)</t>
        </is>
      </c>
    </row>
    <row r="17">
      <c r="A17" s="4" t="inlineStr">
        <is>
          <t>Software &amp; infrastructure</t>
        </is>
      </c>
      <c r="B17" s="5" t="inlineStr">
        <is>
          <t>R 5 000 / mth</t>
        </is>
      </c>
      <c r="C17" s="6" t="inlineStr">
        <is>
          <t>Cloud, Supabase, VALR API, domain, backups</t>
        </is>
      </c>
    </row>
    <row r="18">
      <c r="A18" s="4" t="inlineStr">
        <is>
          <t>Company secretarial (CIPC etc.)</t>
        </is>
      </c>
      <c r="B18" s="5" t="inlineStr">
        <is>
          <t>R 3 000 p.a.</t>
        </is>
      </c>
      <c r="C18" s="6" t="inlineStr">
        <is>
          <t>Billed in months 12, 24 and 36 of the model</t>
        </is>
      </c>
    </row>
    <row r="19">
      <c r="A19" s="4" t="inlineStr">
        <is>
          <t>Founder salary / drawings</t>
        </is>
      </c>
      <c r="B19" s="5" t="inlineStr">
        <is>
          <t>R 0</t>
        </is>
      </c>
      <c r="C19" s="6" t="inlineStr">
        <is>
          <t>Excluded — model shows pure company breakeven on operating revenue</t>
        </is>
      </c>
    </row>
    <row r="20">
      <c r="A20" s="4" t="inlineStr">
        <is>
          <t>Simon Hobday capital</t>
        </is>
      </c>
      <c r="B20" s="5" t="inlineStr">
        <is>
          <t>Excluded</t>
        </is>
      </c>
      <c r="C20" s="6" t="inlineStr">
        <is>
          <t>R500k equity + R500k loan excluded; model shows operating-revenue breakeven</t>
        </is>
      </c>
    </row>
    <row r="22" ht="18" customHeight="1">
      <c r="A22" s="3" t="inlineStr">
        <is>
          <t>CLIENT ASSUMPTIONS</t>
        </is>
      </c>
    </row>
    <row r="23">
      <c r="A23" s="4" t="inlineStr">
        <is>
          <t>Client 1 — initial lump sum</t>
        </is>
      </c>
      <c r="B23" s="5" t="inlineStr">
        <is>
          <t>R 300 000</t>
        </is>
      </c>
      <c r="C23" s="6" t="inlineStr">
        <is>
          <t>Existing signed-up client; Month 1</t>
        </is>
      </c>
    </row>
    <row r="24">
      <c r="A24" s="4" t="inlineStr">
        <is>
          <t>Client 1 — monthly contribution</t>
        </is>
      </c>
      <c r="B24" s="5" t="inlineStr">
        <is>
          <t>R 200 000 / mth</t>
        </is>
      </c>
      <c r="C24" s="6" t="inlineStr">
        <is>
          <t>Minimum 5 years; starts Month 1</t>
        </is>
      </c>
    </row>
    <row r="25">
      <c r="A25" s="4" t="inlineStr">
        <is>
          <t>Client 2 — monthly contribution</t>
        </is>
      </c>
      <c r="B25" s="5" t="inlineStr">
        <is>
          <t>R 40 000 / mth</t>
        </is>
      </c>
      <c r="C25" s="6" t="inlineStr">
        <is>
          <t>Lined-up client; Month 2 start, no lump sum</t>
        </is>
      </c>
    </row>
    <row r="26">
      <c r="A26" s="4" t="inlineStr">
        <is>
          <t>Client 3 — initial lump sum</t>
        </is>
      </c>
      <c r="B26" s="5" t="inlineStr">
        <is>
          <t>R 5 000 000</t>
        </is>
      </c>
      <c r="C26" s="6" t="inlineStr">
        <is>
          <t>Lined-up client; Month 2, no monthly contributions</t>
        </is>
      </c>
    </row>
    <row r="27">
      <c r="A27" s="4" t="inlineStr">
        <is>
          <t>New client acquisition</t>
        </is>
      </c>
      <c r="B27" s="5" t="inlineStr">
        <is>
          <t>1 per quarter</t>
        </is>
      </c>
      <c r="C27" s="6" t="inlineStr">
        <is>
          <t>1 new R 50k/month client from Month 4, every 3 months</t>
        </is>
      </c>
    </row>
    <row r="28">
      <c r="A28" s="4" t="inlineStr">
        <is>
          <t>New client monthly contribution</t>
        </is>
      </c>
      <c r="B28" s="5" t="inlineStr">
        <is>
          <t>R 50 000 / mth</t>
        </is>
      </c>
      <c r="C28" s="6" t="inlineStr">
        <is>
          <t>Conservative flat assumption; no lump sum for new clients</t>
        </is>
      </c>
    </row>
    <row r="30" ht="18" customHeight="1">
      <c r="A30" s="7" t="inlineStr">
        <is>
          <t>MODEL SUMMARY (calculated)</t>
        </is>
      </c>
    </row>
    <row r="31">
      <c r="A31" s="4" t="inlineStr">
        <is>
          <t>Forecast horizon</t>
        </is>
      </c>
      <c r="B31" s="5" t="inlineStr">
        <is>
          <t>36 months</t>
        </is>
      </c>
      <c r="C31" s="6" t="inlineStr">
        <is>
          <t>June 2026 — May 2029</t>
        </is>
      </c>
    </row>
    <row r="32">
      <c r="A32" s="4" t="inlineStr">
        <is>
          <t>AUM at Month 36</t>
        </is>
      </c>
      <c r="B32" s="5" t="inlineStr">
        <is>
          <t>R 32,354,881</t>
        </is>
      </c>
      <c r="C32" s="6" t="inlineStr">
        <is>
          <t>End-of-month portfolio value after fees</t>
        </is>
      </c>
    </row>
    <row r="33">
      <c r="A33" s="4" t="inlineStr">
        <is>
          <t>First month with positive net cash</t>
        </is>
      </c>
      <c r="B33" s="5" t="inlineStr">
        <is>
          <t>Month 2 (Jul-26)</t>
        </is>
      </c>
      <c r="C33" s="6" t="inlineStr">
        <is>
          <t>Monthly revenue exceeds monthly costs</t>
        </is>
      </c>
    </row>
    <row r="34">
      <c r="A34" s="4" t="inlineStr">
        <is>
          <t>Cumulative cash breakeven</t>
        </is>
      </c>
      <c r="B34" s="5" t="inlineStr">
        <is>
          <t>Month None (N/A)</t>
        </is>
      </c>
      <c r="C34" s="6" t="inlineStr">
        <is>
          <t>Cumulative cash turns positive</t>
        </is>
      </c>
    </row>
    <row r="35">
      <c r="A35" s="4" t="inlineStr">
        <is>
          <t>Peak capital required (worst deficit)</t>
        </is>
      </c>
      <c r="B35" s="5" t="inlineStr">
        <is>
          <t>R 671,936</t>
        </is>
      </c>
      <c r="C35" s="6" t="inlineStr">
        <is>
          <t>Maximum cumulative cash deficit before breakeven</t>
        </is>
      </c>
    </row>
  </sheetData>
  <mergeCells count="6">
    <mergeCell ref="A11:C11"/>
    <mergeCell ref="A1:C1"/>
    <mergeCell ref="A22:C22"/>
    <mergeCell ref="A30:C30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14" customWidth="1" min="8" max="8"/>
    <col width="14" customWidth="1" min="9" max="9"/>
    <col width="11" customWidth="1" min="10" max="10"/>
    <col width="11" customWidth="1" min="11" max="11"/>
    <col width="13" customWidth="1" min="12" max="12"/>
    <col width="13" customWidth="1" min="13" max="13"/>
    <col width="16" customWidth="1" min="14" max="14"/>
    <col width="16" customWidth="1" min="15" max="15"/>
  </cols>
  <sheetData>
    <row r="1" ht="25" customHeight="1">
      <c r="A1" s="8" t="inlineStr">
        <is>
          <t>BitWealth (Pty) Ltd — 36-Month Operating Cashflow Forecast (June 2026 – May 2029)</t>
        </is>
      </c>
    </row>
    <row r="2">
      <c r="A2" s="9" t="inlineStr">
        <is>
          <t>PERIOD</t>
        </is>
      </c>
      <c r="C2" s="10" t="inlineStr">
        <is>
          <t>REVENUE</t>
        </is>
      </c>
      <c r="G2" s="11" t="inlineStr">
        <is>
          <t>COSTS</t>
        </is>
      </c>
      <c r="M2" s="12" t="inlineStr">
        <is>
          <t>CASHFLOW</t>
        </is>
      </c>
    </row>
    <row r="3" ht="36" customHeight="1">
      <c r="A3" s="13" t="inlineStr">
        <is>
          <t>Month</t>
        </is>
      </c>
      <c r="B3" s="13" t="inlineStr">
        <is>
          <t>Month</t>
        </is>
      </c>
      <c r="C3" s="14" t="inlineStr">
        <is>
          <t>Total Contributions</t>
        </is>
      </c>
      <c r="D3" s="14" t="inlineStr">
        <is>
          <t>Platform Fee
(Revenue)</t>
        </is>
      </c>
      <c r="E3" s="14" t="inlineStr">
        <is>
          <t>Perf Fee
(Revenue)</t>
        </is>
      </c>
      <c r="F3" s="14" t="inlineStr">
        <is>
          <t>TOTAL
REVENUE</t>
        </is>
      </c>
      <c r="G3" s="15" t="inlineStr">
        <is>
          <t>CAEP
Onboarding</t>
        </is>
      </c>
      <c r="H3" s="15" t="inlineStr">
        <is>
          <t>CAEP
Hosting</t>
        </is>
      </c>
      <c r="I3" s="15" t="inlineStr">
        <is>
          <t>CAEP AUM
Fee (cost)</t>
        </is>
      </c>
      <c r="J3" s="15" t="inlineStr">
        <is>
          <t>Software</t>
        </is>
      </c>
      <c r="K3" s="15" t="inlineStr">
        <is>
          <t>Co. Sec.</t>
        </is>
      </c>
      <c r="L3" s="15" t="inlineStr">
        <is>
          <t>TOTAL
COSTS</t>
        </is>
      </c>
      <c r="M3" s="16" t="inlineStr">
        <is>
          <t>NET MONTHLY
CASH</t>
        </is>
      </c>
      <c r="N3" s="16" t="inlineStr">
        <is>
          <t>CUMULATIVE
CASH</t>
        </is>
      </c>
      <c r="O3" s="16" t="inlineStr">
        <is>
          <t>TOTAL AUM
(end of month)</t>
        </is>
      </c>
    </row>
    <row r="4">
      <c r="A4" s="17" t="n">
        <v>1</v>
      </c>
      <c r="B4" s="17" t="inlineStr">
        <is>
          <t>Jun-26</t>
        </is>
      </c>
      <c r="C4" s="18" t="n">
        <v>500000</v>
      </c>
      <c r="D4" s="18" t="n">
        <v>3750</v>
      </c>
      <c r="E4" s="18" t="n">
        <v>0</v>
      </c>
      <c r="F4" s="19" t="n">
        <v>3750</v>
      </c>
      <c r="G4" s="18" t="n">
        <v>50000</v>
      </c>
      <c r="H4" s="18" t="n">
        <v>20000</v>
      </c>
      <c r="I4" s="18" t="n">
        <v>105.9027777777778</v>
      </c>
      <c r="J4" s="18" t="n">
        <v>5000</v>
      </c>
      <c r="K4" s="18" t="n">
        <v>0</v>
      </c>
      <c r="L4" s="20" t="n">
        <v>75105.90277777778</v>
      </c>
      <c r="M4" s="21" t="n">
        <v>-71355.90277777778</v>
      </c>
      <c r="N4" s="21" t="n">
        <v>-71355.90277777778</v>
      </c>
      <c r="O4" s="18" t="n">
        <v>508333.3333333333</v>
      </c>
    </row>
    <row r="5">
      <c r="A5" s="22" t="n">
        <v>2</v>
      </c>
      <c r="B5" s="22" t="inlineStr">
        <is>
          <t>Jul-26</t>
        </is>
      </c>
      <c r="C5" s="23" t="n">
        <v>5240000</v>
      </c>
      <c r="D5" s="23" t="n">
        <v>39300</v>
      </c>
      <c r="E5" s="23" t="n">
        <v>0</v>
      </c>
      <c r="F5" s="19" t="n">
        <v>39300</v>
      </c>
      <c r="G5" s="23" t="n">
        <v>0</v>
      </c>
      <c r="H5" s="23" t="n">
        <v>20000</v>
      </c>
      <c r="I5" s="23" t="n">
        <v>1217.528935185185</v>
      </c>
      <c r="J5" s="23" t="n">
        <v>5000</v>
      </c>
      <c r="K5" s="23" t="n">
        <v>0</v>
      </c>
      <c r="L5" s="20" t="n">
        <v>26217.52893518519</v>
      </c>
      <c r="M5" s="24" t="n">
        <v>13082.47106481481</v>
      </c>
      <c r="N5" s="21" t="n">
        <v>-58273.43171296296</v>
      </c>
      <c r="O5" s="23" t="n">
        <v>5844138.888888888</v>
      </c>
    </row>
    <row r="6">
      <c r="A6" s="17" t="n">
        <v>3</v>
      </c>
      <c r="B6" s="17" t="inlineStr">
        <is>
          <t>Aug-26</t>
        </is>
      </c>
      <c r="C6" s="18" t="n">
        <v>240000</v>
      </c>
      <c r="D6" s="18" t="n">
        <v>1800</v>
      </c>
      <c r="E6" s="18" t="n">
        <v>3547.453703703685</v>
      </c>
      <c r="F6" s="19" t="n">
        <v>5347.453703703684</v>
      </c>
      <c r="G6" s="18" t="n">
        <v>0</v>
      </c>
      <c r="H6" s="18" t="n">
        <v>20000</v>
      </c>
      <c r="I6" s="18" t="n">
        <v>1287.915364583333</v>
      </c>
      <c r="J6" s="18" t="n">
        <v>5000</v>
      </c>
      <c r="K6" s="18" t="n">
        <v>0</v>
      </c>
      <c r="L6" s="20" t="n">
        <v>26287.91536458333</v>
      </c>
      <c r="M6" s="21" t="n">
        <v>-20940.46166087965</v>
      </c>
      <c r="N6" s="21" t="n">
        <v>-79213.89337384261</v>
      </c>
      <c r="O6" s="18" t="n">
        <v>6181993.749999999</v>
      </c>
    </row>
    <row r="7">
      <c r="A7" s="22" t="n">
        <v>4</v>
      </c>
      <c r="B7" s="22" t="inlineStr">
        <is>
          <t>Sep-26</t>
        </is>
      </c>
      <c r="C7" s="23" t="n">
        <v>290000</v>
      </c>
      <c r="D7" s="23" t="n">
        <v>2175</v>
      </c>
      <c r="E7" s="23" t="n">
        <v>25823.4444444444</v>
      </c>
      <c r="F7" s="19" t="n">
        <v>27998.4444444444</v>
      </c>
      <c r="G7" s="23" t="n">
        <v>0</v>
      </c>
      <c r="H7" s="23" t="n">
        <v>30000</v>
      </c>
      <c r="I7" s="23" t="n">
        <v>1365.424347511574</v>
      </c>
      <c r="J7" s="23" t="n">
        <v>5000</v>
      </c>
      <c r="K7" s="23" t="n">
        <v>0</v>
      </c>
      <c r="L7" s="20" t="n">
        <v>36365.42434751157</v>
      </c>
      <c r="M7" s="21" t="n">
        <v>-8366.979903067175</v>
      </c>
      <c r="N7" s="21" t="n">
        <v>-87580.87327690978</v>
      </c>
      <c r="O7" s="23" t="n">
        <v>6554036.868055555</v>
      </c>
    </row>
    <row r="8">
      <c r="A8" s="17" t="n">
        <v>5</v>
      </c>
      <c r="B8" s="17" t="inlineStr">
        <is>
          <t>Oct-26</t>
        </is>
      </c>
      <c r="C8" s="18" t="n">
        <v>290000</v>
      </c>
      <c r="D8" s="18" t="n">
        <v>2175</v>
      </c>
      <c r="E8" s="18" t="n">
        <v>0</v>
      </c>
      <c r="F8" s="19" t="n">
        <v>2175</v>
      </c>
      <c r="G8" s="18" t="n">
        <v>0</v>
      </c>
      <c r="H8" s="18" t="n">
        <v>30000</v>
      </c>
      <c r="I8" s="18" t="n">
        <v>1449.605031081212</v>
      </c>
      <c r="J8" s="18" t="n">
        <v>5000</v>
      </c>
      <c r="K8" s="18" t="n">
        <v>0</v>
      </c>
      <c r="L8" s="20" t="n">
        <v>36449.60503108121</v>
      </c>
      <c r="M8" s="21" t="n">
        <v>-34274.60503108121</v>
      </c>
      <c r="N8" s="21" t="n">
        <v>-121855.478307991</v>
      </c>
      <c r="O8" s="18" t="n">
        <v>6958104.149189815</v>
      </c>
    </row>
    <row r="9">
      <c r="A9" s="22" t="n">
        <v>6</v>
      </c>
      <c r="B9" s="22" t="inlineStr">
        <is>
          <t>Nov-26</t>
        </is>
      </c>
      <c r="C9" s="23" t="n">
        <v>290000</v>
      </c>
      <c r="D9" s="23" t="n">
        <v>2175</v>
      </c>
      <c r="E9" s="23" t="n">
        <v>7265.620973186751</v>
      </c>
      <c r="F9" s="19" t="n">
        <v>9440.620973186751</v>
      </c>
      <c r="G9" s="23" t="n">
        <v>0</v>
      </c>
      <c r="H9" s="23" t="n">
        <v>30000</v>
      </c>
      <c r="I9" s="23" t="n">
        <v>1533.675055007596</v>
      </c>
      <c r="J9" s="23" t="n">
        <v>5000</v>
      </c>
      <c r="K9" s="23" t="n">
        <v>0</v>
      </c>
      <c r="L9" s="20" t="n">
        <v>36533.6750550076</v>
      </c>
      <c r="M9" s="21" t="n">
        <v>-27093.05408182085</v>
      </c>
      <c r="N9" s="21" t="n">
        <v>-148948.5323898119</v>
      </c>
      <c r="O9" s="23" t="n">
        <v>7361640.264036459</v>
      </c>
    </row>
    <row r="10">
      <c r="A10" s="17" t="n">
        <v>7</v>
      </c>
      <c r="B10" s="17" t="inlineStr">
        <is>
          <t>Dec-26</t>
        </is>
      </c>
      <c r="C10" s="18" t="n">
        <v>340000</v>
      </c>
      <c r="D10" s="18" t="n">
        <v>2550</v>
      </c>
      <c r="E10" s="18" t="n">
        <v>27615.0301810186</v>
      </c>
      <c r="F10" s="19" t="n">
        <v>30165.0301810186</v>
      </c>
      <c r="G10" s="18" t="n">
        <v>0</v>
      </c>
      <c r="H10" s="18" t="n">
        <v>40000</v>
      </c>
      <c r="I10" s="18" t="n">
        <v>1625.497063525566</v>
      </c>
      <c r="J10" s="18" t="n">
        <v>5000</v>
      </c>
      <c r="K10" s="18" t="n">
        <v>0</v>
      </c>
      <c r="L10" s="20" t="n">
        <v>46625.49706352557</v>
      </c>
      <c r="M10" s="21" t="n">
        <v>-16460.46688250696</v>
      </c>
      <c r="N10" s="21" t="n">
        <v>-165408.9992723188</v>
      </c>
      <c r="O10" s="18" t="n">
        <v>7802385.904922714</v>
      </c>
    </row>
    <row r="11">
      <c r="A11" s="22" t="n">
        <v>8</v>
      </c>
      <c r="B11" s="22" t="inlineStr">
        <is>
          <t>Jan-27</t>
        </is>
      </c>
      <c r="C11" s="23" t="n">
        <v>340000</v>
      </c>
      <c r="D11" s="23" t="n">
        <v>2550</v>
      </c>
      <c r="E11" s="23" t="n">
        <v>0</v>
      </c>
      <c r="F11" s="19" t="n">
        <v>2550</v>
      </c>
      <c r="G11" s="23" t="n">
        <v>0</v>
      </c>
      <c r="H11" s="23" t="n">
        <v>40000</v>
      </c>
      <c r="I11" s="23" t="n">
        <v>1724.602570139881</v>
      </c>
      <c r="J11" s="23" t="n">
        <v>5000</v>
      </c>
      <c r="K11" s="23" t="n">
        <v>0</v>
      </c>
      <c r="L11" s="20" t="n">
        <v>46724.60257013988</v>
      </c>
      <c r="M11" s="21" t="n">
        <v>-44174.60257013988</v>
      </c>
      <c r="N11" s="21" t="n">
        <v>-209583.6018424587</v>
      </c>
      <c r="O11" s="23" t="n">
        <v>8278092.336671427</v>
      </c>
    </row>
    <row r="12">
      <c r="A12" s="17" t="n">
        <v>9</v>
      </c>
      <c r="B12" s="17" t="inlineStr">
        <is>
          <t>Feb-27</t>
        </is>
      </c>
      <c r="C12" s="18" t="n">
        <v>340000</v>
      </c>
      <c r="D12" s="18" t="n">
        <v>2550</v>
      </c>
      <c r="E12" s="18" t="n">
        <v>11916.47933205665</v>
      </c>
      <c r="F12" s="19" t="n">
        <v>14466.47933205665</v>
      </c>
      <c r="G12" s="18" t="n">
        <v>0</v>
      </c>
      <c r="H12" s="18" t="n">
        <v>40000</v>
      </c>
      <c r="I12" s="18" t="n">
        <v>1822.877235336922</v>
      </c>
      <c r="J12" s="18" t="n">
        <v>5000</v>
      </c>
      <c r="K12" s="18" t="n">
        <v>0</v>
      </c>
      <c r="L12" s="20" t="n">
        <v>46822.87723533692</v>
      </c>
      <c r="M12" s="21" t="n">
        <v>-32356.39790328027</v>
      </c>
      <c r="N12" s="21" t="n">
        <v>-241939.999745739</v>
      </c>
      <c r="O12" s="18" t="n">
        <v>8749810.729617227</v>
      </c>
    </row>
    <row r="13">
      <c r="A13" s="22" t="n">
        <v>10</v>
      </c>
      <c r="B13" s="22" t="inlineStr">
        <is>
          <t>Mar-27</t>
        </is>
      </c>
      <c r="C13" s="23" t="n">
        <v>390000</v>
      </c>
      <c r="D13" s="23" t="n">
        <v>2925</v>
      </c>
      <c r="E13" s="23" t="n">
        <v>29488.58842998138</v>
      </c>
      <c r="F13" s="19" t="n">
        <v>32413.58842998138</v>
      </c>
      <c r="G13" s="23" t="n">
        <v>0</v>
      </c>
      <c r="H13" s="23" t="n">
        <v>40000</v>
      </c>
      <c r="I13" s="23" t="n">
        <v>1929.719233336292</v>
      </c>
      <c r="J13" s="23" t="n">
        <v>5000</v>
      </c>
      <c r="K13" s="23" t="n">
        <v>0</v>
      </c>
      <c r="L13" s="20" t="n">
        <v>46929.71923333629</v>
      </c>
      <c r="M13" s="21" t="n">
        <v>-14516.13080335491</v>
      </c>
      <c r="N13" s="21" t="n">
        <v>-256456.1305490939</v>
      </c>
      <c r="O13" s="23" t="n">
        <v>9262652.320014199</v>
      </c>
    </row>
    <row r="14">
      <c r="A14" s="17" t="n">
        <v>11</v>
      </c>
      <c r="B14" s="17" t="inlineStr">
        <is>
          <t>Apr-27</t>
        </is>
      </c>
      <c r="C14" s="18" t="n">
        <v>390000</v>
      </c>
      <c r="D14" s="18" t="n">
        <v>2925</v>
      </c>
      <c r="E14" s="18" t="n">
        <v>0</v>
      </c>
      <c r="F14" s="19" t="n">
        <v>2925</v>
      </c>
      <c r="G14" s="18" t="n">
        <v>0</v>
      </c>
      <c r="H14" s="18" t="n">
        <v>40000</v>
      </c>
      <c r="I14" s="18" t="n">
        <v>2044.485387225229</v>
      </c>
      <c r="J14" s="18" t="n">
        <v>5000</v>
      </c>
      <c r="K14" s="18" t="n">
        <v>0</v>
      </c>
      <c r="L14" s="20" t="n">
        <v>47044.48538722523</v>
      </c>
      <c r="M14" s="21" t="n">
        <v>-44119.48538722523</v>
      </c>
      <c r="N14" s="21" t="n">
        <v>-300575.6159363191</v>
      </c>
      <c r="O14" s="18" t="n">
        <v>9813529.858681101</v>
      </c>
    </row>
    <row r="15">
      <c r="A15" s="22" t="n">
        <v>12</v>
      </c>
      <c r="B15" s="22" t="inlineStr">
        <is>
          <t>May-27</t>
        </is>
      </c>
      <c r="C15" s="23" t="n">
        <v>390000</v>
      </c>
      <c r="D15" s="23" t="n">
        <v>2925</v>
      </c>
      <c r="E15" s="23" t="n">
        <v>17542.70328386586</v>
      </c>
      <c r="F15" s="19" t="n">
        <v>20467.70328386586</v>
      </c>
      <c r="G15" s="23" t="n">
        <v>0</v>
      </c>
      <c r="H15" s="23" t="n">
        <v>40000</v>
      </c>
      <c r="I15" s="23" t="n">
        <v>2157.509580494845</v>
      </c>
      <c r="J15" s="23" t="n">
        <v>5000</v>
      </c>
      <c r="K15" s="23" t="n">
        <v>3000</v>
      </c>
      <c r="L15" s="20" t="n">
        <v>50157.50958049484</v>
      </c>
      <c r="M15" s="21" t="n">
        <v>-29689.80629662898</v>
      </c>
      <c r="N15" s="21" t="n">
        <v>-330265.4222329481</v>
      </c>
      <c r="O15" s="23" t="n">
        <v>10356045.98637526</v>
      </c>
    </row>
    <row r="16">
      <c r="A16" s="17" t="n">
        <v>13</v>
      </c>
      <c r="B16" s="17" t="inlineStr">
        <is>
          <t>Jun-27</t>
        </is>
      </c>
      <c r="C16" s="18" t="n">
        <v>440000</v>
      </c>
      <c r="D16" s="18" t="n">
        <v>3300</v>
      </c>
      <c r="E16" s="18" t="n">
        <v>31447.86977532713</v>
      </c>
      <c r="F16" s="19" t="n">
        <v>34747.86977532713</v>
      </c>
      <c r="G16" s="18" t="n">
        <v>0</v>
      </c>
      <c r="H16" s="18" t="n">
        <v>40000</v>
      </c>
      <c r="I16" s="18" t="n">
        <v>2280.110878411011</v>
      </c>
      <c r="J16" s="18" t="n">
        <v>5000</v>
      </c>
      <c r="K16" s="18" t="n">
        <v>0</v>
      </c>
      <c r="L16" s="20" t="n">
        <v>47280.11087841101</v>
      </c>
      <c r="M16" s="21" t="n">
        <v>-12532.24110308388</v>
      </c>
      <c r="N16" s="21" t="n">
        <v>-342797.663336032</v>
      </c>
      <c r="O16" s="18" t="n">
        <v>10944532.21637285</v>
      </c>
    </row>
    <row r="17">
      <c r="A17" s="22" t="n">
        <v>14</v>
      </c>
      <c r="B17" s="22" t="inlineStr">
        <is>
          <t>Jul-27</t>
        </is>
      </c>
      <c r="C17" s="23" t="n">
        <v>440000</v>
      </c>
      <c r="D17" s="23" t="n">
        <v>3300</v>
      </c>
      <c r="E17" s="23" t="n">
        <v>0</v>
      </c>
      <c r="F17" s="19" t="n">
        <v>3300</v>
      </c>
      <c r="G17" s="23" t="n">
        <v>0</v>
      </c>
      <c r="H17" s="23" t="n">
        <v>40000</v>
      </c>
      <c r="I17" s="23" t="n">
        <v>2411.307170828972</v>
      </c>
      <c r="J17" s="23" t="n">
        <v>5000</v>
      </c>
      <c r="K17" s="23" t="n">
        <v>0</v>
      </c>
      <c r="L17" s="20" t="n">
        <v>47411.30717082897</v>
      </c>
      <c r="M17" s="21" t="n">
        <v>-44111.30717082897</v>
      </c>
      <c r="N17" s="21" t="n">
        <v>-386908.9705068609</v>
      </c>
      <c r="O17" s="23" t="n">
        <v>11574274.41997906</v>
      </c>
    </row>
    <row r="18">
      <c r="A18" s="17" t="n">
        <v>15</v>
      </c>
      <c r="B18" s="17" t="inlineStr">
        <is>
          <t>Aug-27</t>
        </is>
      </c>
      <c r="C18" s="18" t="n">
        <v>440000</v>
      </c>
      <c r="D18" s="18" t="n">
        <v>3300</v>
      </c>
      <c r="E18" s="18" t="n">
        <v>24188.91986851459</v>
      </c>
      <c r="F18" s="19" t="n">
        <v>27488.91986851459</v>
      </c>
      <c r="G18" s="18" t="n">
        <v>0</v>
      </c>
      <c r="H18" s="18" t="n">
        <v>40000</v>
      </c>
      <c r="I18" s="18" t="n">
        <v>2539.650709814625</v>
      </c>
      <c r="J18" s="18" t="n">
        <v>5000</v>
      </c>
      <c r="K18" s="18" t="n">
        <v>0</v>
      </c>
      <c r="L18" s="20" t="n">
        <v>47539.65070981462</v>
      </c>
      <c r="M18" s="21" t="n">
        <v>-20050.73084130004</v>
      </c>
      <c r="N18" s="21" t="n">
        <v>-406959.701348161</v>
      </c>
      <c r="O18" s="18" t="n">
        <v>12190323.4071102</v>
      </c>
    </row>
    <row r="19">
      <c r="A19" s="22" t="n">
        <v>16</v>
      </c>
      <c r="B19" s="22" t="inlineStr">
        <is>
          <t>Sep-27</t>
        </is>
      </c>
      <c r="C19" s="23" t="n">
        <v>490000</v>
      </c>
      <c r="D19" s="23" t="n">
        <v>3675</v>
      </c>
      <c r="E19" s="23" t="n">
        <v>33496.79640589454</v>
      </c>
      <c r="F19" s="19" t="n">
        <v>37171.79640589454</v>
      </c>
      <c r="G19" s="23" t="n">
        <v>0</v>
      </c>
      <c r="H19" s="23" t="n">
        <v>40000</v>
      </c>
      <c r="I19" s="23" t="n">
        <v>2678.784444615863</v>
      </c>
      <c r="J19" s="23" t="n">
        <v>5000</v>
      </c>
      <c r="K19" s="23" t="n">
        <v>0</v>
      </c>
      <c r="L19" s="20" t="n">
        <v>47678.78444461586</v>
      </c>
      <c r="M19" s="21" t="n">
        <v>-10506.98803872132</v>
      </c>
      <c r="N19" s="21" t="n">
        <v>-417466.6893868823</v>
      </c>
      <c r="O19" s="23" t="n">
        <v>12858165.33415614</v>
      </c>
    </row>
    <row r="20">
      <c r="A20" s="17" t="n">
        <v>17</v>
      </c>
      <c r="B20" s="17" t="inlineStr">
        <is>
          <t>Oct-27</t>
        </is>
      </c>
      <c r="C20" s="18" t="n">
        <v>490000</v>
      </c>
      <c r="D20" s="18" t="n">
        <v>3675</v>
      </c>
      <c r="E20" s="18" t="n">
        <v>0</v>
      </c>
      <c r="F20" s="19" t="n">
        <v>3675</v>
      </c>
      <c r="G20" s="18" t="n">
        <v>0</v>
      </c>
      <c r="H20" s="18" t="n">
        <v>40000</v>
      </c>
      <c r="I20" s="18" t="n">
        <v>2827.21557424835</v>
      </c>
      <c r="J20" s="18" t="n">
        <v>5000</v>
      </c>
      <c r="K20" s="18" t="n">
        <v>0</v>
      </c>
      <c r="L20" s="20" t="n">
        <v>47827.21557424835</v>
      </c>
      <c r="M20" s="21" t="n">
        <v>-44152.21557424835</v>
      </c>
      <c r="N20" s="21" t="n">
        <v>-461618.9049611306</v>
      </c>
      <c r="O20" s="18" t="n">
        <v>13570634.75639208</v>
      </c>
    </row>
    <row r="21">
      <c r="A21" s="22" t="n">
        <v>18</v>
      </c>
      <c r="B21" s="22" t="inlineStr">
        <is>
          <t>Nov-27</t>
        </is>
      </c>
      <c r="C21" s="23" t="n">
        <v>490000</v>
      </c>
      <c r="D21" s="23" t="n">
        <v>3675</v>
      </c>
      <c r="E21" s="23" t="n">
        <v>31901.79799892446</v>
      </c>
      <c r="F21" s="19" t="n">
        <v>35576.79799892446</v>
      </c>
      <c r="G21" s="23" t="n">
        <v>0</v>
      </c>
      <c r="H21" s="23" t="n">
        <v>40000</v>
      </c>
      <c r="I21" s="23" t="n">
        <v>2971.474348124935</v>
      </c>
      <c r="J21" s="23" t="n">
        <v>5000</v>
      </c>
      <c r="K21" s="23" t="n">
        <v>0</v>
      </c>
      <c r="L21" s="20" t="n">
        <v>47971.47434812493</v>
      </c>
      <c r="M21" s="21" t="n">
        <v>-12394.67634920047</v>
      </c>
      <c r="N21" s="21" t="n">
        <v>-474013.5813103311</v>
      </c>
      <c r="O21" s="23" t="n">
        <v>14263076.87099969</v>
      </c>
    </row>
    <row r="22">
      <c r="A22" s="17" t="n">
        <v>19</v>
      </c>
      <c r="B22" s="17" t="inlineStr">
        <is>
          <t>Dec-27</t>
        </is>
      </c>
      <c r="C22" s="18" t="n">
        <v>540000</v>
      </c>
      <c r="D22" s="18" t="n">
        <v>4050</v>
      </c>
      <c r="E22" s="18" t="n">
        <v>35639.46996700489</v>
      </c>
      <c r="F22" s="19" t="n">
        <v>39689.46996700489</v>
      </c>
      <c r="G22" s="18" t="n">
        <v>0</v>
      </c>
      <c r="H22" s="18" t="n">
        <v>40000</v>
      </c>
      <c r="I22" s="18" t="n">
        <v>3127.949031017225</v>
      </c>
      <c r="J22" s="18" t="n">
        <v>5000</v>
      </c>
      <c r="K22" s="18" t="n">
        <v>0</v>
      </c>
      <c r="L22" s="20" t="n">
        <v>48127.94903101723</v>
      </c>
      <c r="M22" s="21" t="n">
        <v>-8438.479064012332</v>
      </c>
      <c r="N22" s="21" t="n">
        <v>-482452.0603743435</v>
      </c>
      <c r="O22" s="18" t="n">
        <v>15014155.34888268</v>
      </c>
    </row>
    <row r="23">
      <c r="A23" s="22" t="n">
        <v>20</v>
      </c>
      <c r="B23" s="22" t="inlineStr">
        <is>
          <t>Jan-28</t>
        </is>
      </c>
      <c r="C23" s="23" t="n">
        <v>540000</v>
      </c>
      <c r="D23" s="23" t="n">
        <v>4050</v>
      </c>
      <c r="E23" s="23" t="n">
        <v>0</v>
      </c>
      <c r="F23" s="19" t="n">
        <v>4050</v>
      </c>
      <c r="G23" s="23" t="n">
        <v>0</v>
      </c>
      <c r="H23" s="23" t="n">
        <v>40000</v>
      </c>
      <c r="I23" s="23" t="n">
        <v>3294.456514867512</v>
      </c>
      <c r="J23" s="23" t="n">
        <v>5000</v>
      </c>
      <c r="K23" s="23" t="n">
        <v>0</v>
      </c>
      <c r="L23" s="20" t="n">
        <v>48294.45651486751</v>
      </c>
      <c r="M23" s="21" t="n">
        <v>-44244.45651486751</v>
      </c>
      <c r="N23" s="21" t="n">
        <v>-526696.516889211</v>
      </c>
      <c r="O23" s="23" t="n">
        <v>15813391.27136406</v>
      </c>
    </row>
    <row r="24">
      <c r="A24" s="17" t="n">
        <v>21</v>
      </c>
      <c r="B24" s="17" t="inlineStr">
        <is>
          <t>Feb-28</t>
        </is>
      </c>
      <c r="C24" s="18" t="n">
        <v>540000</v>
      </c>
      <c r="D24" s="18" t="n">
        <v>4050</v>
      </c>
      <c r="E24" s="18" t="n">
        <v>40730.14188523725</v>
      </c>
      <c r="F24" s="19" t="n">
        <v>44780.14188523725</v>
      </c>
      <c r="G24" s="18" t="n">
        <v>0</v>
      </c>
      <c r="H24" s="18" t="n">
        <v>40000</v>
      </c>
      <c r="I24" s="18" t="n">
        <v>3455.253677222545</v>
      </c>
      <c r="J24" s="18" t="n">
        <v>5000</v>
      </c>
      <c r="K24" s="18" t="n">
        <v>0</v>
      </c>
      <c r="L24" s="20" t="n">
        <v>48455.25367722254</v>
      </c>
      <c r="M24" s="21" t="n">
        <v>-3675.111791985291</v>
      </c>
      <c r="N24" s="21" t="n">
        <v>-530371.6286811964</v>
      </c>
      <c r="O24" s="18" t="n">
        <v>16585217.65066822</v>
      </c>
    </row>
    <row r="25">
      <c r="A25" s="22" t="n">
        <v>22</v>
      </c>
      <c r="B25" s="22" t="inlineStr">
        <is>
          <t>Mar-28</t>
        </is>
      </c>
      <c r="C25" s="23" t="n">
        <v>590000</v>
      </c>
      <c r="D25" s="23" t="n">
        <v>4425</v>
      </c>
      <c r="E25" s="23" t="n">
        <v>37880.17977134239</v>
      </c>
      <c r="F25" s="19" t="n">
        <v>42305.17977134239</v>
      </c>
      <c r="G25" s="23" t="n">
        <v>0</v>
      </c>
      <c r="H25" s="23" t="n">
        <v>40000</v>
      </c>
      <c r="I25" s="23" t="n">
        <v>3629.914812168336</v>
      </c>
      <c r="J25" s="23" t="n">
        <v>5000</v>
      </c>
      <c r="K25" s="23" t="n">
        <v>0</v>
      </c>
      <c r="L25" s="20" t="n">
        <v>48629.91481216834</v>
      </c>
      <c r="M25" s="21" t="n">
        <v>-6324.735040825944</v>
      </c>
      <c r="N25" s="21" t="n">
        <v>-536696.3637220223</v>
      </c>
      <c r="O25" s="23" t="n">
        <v>17423591.09840801</v>
      </c>
    </row>
    <row r="26">
      <c r="A26" s="17" t="n">
        <v>23</v>
      </c>
      <c r="B26" s="17" t="inlineStr">
        <is>
          <t>Apr-28</t>
        </is>
      </c>
      <c r="C26" s="18" t="n">
        <v>590000</v>
      </c>
      <c r="D26" s="18" t="n">
        <v>4425</v>
      </c>
      <c r="E26" s="18" t="n">
        <v>0</v>
      </c>
      <c r="F26" s="19" t="n">
        <v>4425</v>
      </c>
      <c r="G26" s="18" t="n">
        <v>0</v>
      </c>
      <c r="H26" s="18" t="n">
        <v>40000</v>
      </c>
      <c r="I26" s="18" t="n">
        <v>3815.37867014892</v>
      </c>
      <c r="J26" s="18" t="n">
        <v>5000</v>
      </c>
      <c r="K26" s="18" t="n">
        <v>0</v>
      </c>
      <c r="L26" s="20" t="n">
        <v>48815.37867014892</v>
      </c>
      <c r="M26" s="21" t="n">
        <v>-44390.37867014892</v>
      </c>
      <c r="N26" s="21" t="n">
        <v>-581086.7423921712</v>
      </c>
      <c r="O26" s="18" t="n">
        <v>18313817.61671482</v>
      </c>
    </row>
    <row r="27">
      <c r="A27" s="22" t="n">
        <v>24</v>
      </c>
      <c r="B27" s="22" t="inlineStr">
        <is>
          <t>May-28</t>
        </is>
      </c>
      <c r="C27" s="23" t="n">
        <v>590000</v>
      </c>
      <c r="D27" s="23" t="n">
        <v>4425</v>
      </c>
      <c r="E27" s="23" t="n">
        <v>50724.98873355963</v>
      </c>
      <c r="F27" s="19" t="n">
        <v>55149.98873355963</v>
      </c>
      <c r="G27" s="23" t="n">
        <v>0</v>
      </c>
      <c r="H27" s="23" t="n">
        <v>40000</v>
      </c>
      <c r="I27" s="23" t="n">
        <v>3993.365886443022</v>
      </c>
      <c r="J27" s="23" t="n">
        <v>5000</v>
      </c>
      <c r="K27" s="23" t="n">
        <v>3000</v>
      </c>
      <c r="L27" s="20" t="n">
        <v>51993.36588644302</v>
      </c>
      <c r="M27" s="24" t="n">
        <v>3156.622847116611</v>
      </c>
      <c r="N27" s="21" t="n">
        <v>-577930.1195450546</v>
      </c>
      <c r="O27" s="23" t="n">
        <v>19168156.2549265</v>
      </c>
    </row>
    <row r="28">
      <c r="A28" s="17" t="n">
        <v>25</v>
      </c>
      <c r="B28" s="17" t="inlineStr">
        <is>
          <t>Jun-28</t>
        </is>
      </c>
      <c r="C28" s="18" t="n">
        <v>640000</v>
      </c>
      <c r="D28" s="18" t="n">
        <v>4800</v>
      </c>
      <c r="E28" s="18" t="n">
        <v>40223.41138551927</v>
      </c>
      <c r="F28" s="19" t="n">
        <v>45023.41138551927</v>
      </c>
      <c r="G28" s="18" t="n">
        <v>0</v>
      </c>
      <c r="H28" s="18" t="n">
        <v>40000</v>
      </c>
      <c r="I28" s="18" t="n">
        <v>4187.097662733978</v>
      </c>
      <c r="J28" s="18" t="n">
        <v>5000</v>
      </c>
      <c r="K28" s="18" t="n">
        <v>0</v>
      </c>
      <c r="L28" s="20" t="n">
        <v>49187.09766273398</v>
      </c>
      <c r="M28" s="21" t="n">
        <v>-4163.686277214707</v>
      </c>
      <c r="N28" s="21" t="n">
        <v>-582093.8058222693</v>
      </c>
      <c r="O28" s="18" t="n">
        <v>20098068.78112309</v>
      </c>
    </row>
    <row r="29">
      <c r="A29" s="22" t="n">
        <v>26</v>
      </c>
      <c r="B29" s="22" t="inlineStr">
        <is>
          <t>Jul-28</t>
        </is>
      </c>
      <c r="C29" s="23" t="n">
        <v>640000</v>
      </c>
      <c r="D29" s="23" t="n">
        <v>4800</v>
      </c>
      <c r="E29" s="23" t="n">
        <v>0</v>
      </c>
      <c r="F29" s="19" t="n">
        <v>4800</v>
      </c>
      <c r="G29" s="23" t="n">
        <v>0</v>
      </c>
      <c r="H29" s="23" t="n">
        <v>40000</v>
      </c>
      <c r="I29" s="23" t="n">
        <v>4392.438179335099</v>
      </c>
      <c r="J29" s="23" t="n">
        <v>5000</v>
      </c>
      <c r="K29" s="23" t="n">
        <v>0</v>
      </c>
      <c r="L29" s="20" t="n">
        <v>49392.4381793351</v>
      </c>
      <c r="M29" s="21" t="n">
        <v>-44592.4381793351</v>
      </c>
      <c r="N29" s="21" t="n">
        <v>-626686.2440016044</v>
      </c>
      <c r="O29" s="23" t="n">
        <v>21083703.26080848</v>
      </c>
    </row>
    <row r="30">
      <c r="A30" s="17" t="n">
        <v>27</v>
      </c>
      <c r="B30" s="17" t="inlineStr">
        <is>
          <t>Aug-28</t>
        </is>
      </c>
      <c r="C30" s="18" t="n">
        <v>640000</v>
      </c>
      <c r="D30" s="18" t="n">
        <v>4800</v>
      </c>
      <c r="E30" s="18" t="n">
        <v>61939.71091483232</v>
      </c>
      <c r="F30" s="19" t="n">
        <v>66739.71091483232</v>
      </c>
      <c r="G30" s="18" t="n">
        <v>0</v>
      </c>
      <c r="H30" s="18" t="n">
        <v>40000</v>
      </c>
      <c r="I30" s="18" t="n">
        <v>4588.296931438983</v>
      </c>
      <c r="J30" s="18" t="n">
        <v>5000</v>
      </c>
      <c r="K30" s="18" t="n">
        <v>0</v>
      </c>
      <c r="L30" s="20" t="n">
        <v>49588.29693143898</v>
      </c>
      <c r="M30" s="24" t="n">
        <v>17151.41398339334</v>
      </c>
      <c r="N30" s="21" t="n">
        <v>-609534.830018211</v>
      </c>
      <c r="O30" s="18" t="n">
        <v>22023825.27090712</v>
      </c>
    </row>
    <row r="31">
      <c r="A31" s="22" t="n">
        <v>28</v>
      </c>
      <c r="B31" s="22" t="inlineStr">
        <is>
          <t>Sep-28</t>
        </is>
      </c>
      <c r="C31" s="23" t="n">
        <v>690000</v>
      </c>
      <c r="D31" s="23" t="n">
        <v>5175</v>
      </c>
      <c r="E31" s="23" t="n">
        <v>42673.85560950977</v>
      </c>
      <c r="F31" s="19" t="n">
        <v>47848.85560950977</v>
      </c>
      <c r="G31" s="23" t="n">
        <v>0</v>
      </c>
      <c r="H31" s="23" t="n">
        <v>40000</v>
      </c>
      <c r="I31" s="23" t="n">
        <v>4802.023993710985</v>
      </c>
      <c r="J31" s="23" t="n">
        <v>5000</v>
      </c>
      <c r="K31" s="23" t="n">
        <v>0</v>
      </c>
      <c r="L31" s="20" t="n">
        <v>49802.02399371099</v>
      </c>
      <c r="M31" s="21" t="n">
        <v>-1953.168384201213</v>
      </c>
      <c r="N31" s="21" t="n">
        <v>-611487.9984024123</v>
      </c>
      <c r="O31" s="23" t="n">
        <v>23049715.16981273</v>
      </c>
    </row>
    <row r="32">
      <c r="A32" s="17" t="n">
        <v>29</v>
      </c>
      <c r="B32" s="17" t="inlineStr">
        <is>
          <t>Oct-28</t>
        </is>
      </c>
      <c r="C32" s="18" t="n">
        <v>690000</v>
      </c>
      <c r="D32" s="18" t="n">
        <v>5175</v>
      </c>
      <c r="E32" s="18" t="n">
        <v>0</v>
      </c>
      <c r="F32" s="19" t="n">
        <v>5175</v>
      </c>
      <c r="G32" s="18" t="n">
        <v>0</v>
      </c>
      <c r="H32" s="18" t="n">
        <v>40000</v>
      </c>
      <c r="I32" s="18" t="n">
        <v>5028.203560272835</v>
      </c>
      <c r="J32" s="18" t="n">
        <v>5000</v>
      </c>
      <c r="K32" s="18" t="n">
        <v>0</v>
      </c>
      <c r="L32" s="20" t="n">
        <v>50028.20356027284</v>
      </c>
      <c r="M32" s="21" t="n">
        <v>-44853.20356027284</v>
      </c>
      <c r="N32" s="21" t="n">
        <v>-656341.2019626851</v>
      </c>
      <c r="O32" s="18" t="n">
        <v>24135377.08930961</v>
      </c>
    </row>
    <row r="33">
      <c r="A33" s="22" t="n">
        <v>30</v>
      </c>
      <c r="B33" s="22" t="inlineStr">
        <is>
          <t>Nov-28</t>
        </is>
      </c>
      <c r="C33" s="23" t="n">
        <v>690000</v>
      </c>
      <c r="D33" s="23" t="n">
        <v>5175</v>
      </c>
      <c r="E33" s="23" t="n">
        <v>74430.12280835163</v>
      </c>
      <c r="F33" s="19" t="n">
        <v>79605.12280835163</v>
      </c>
      <c r="G33" s="23" t="n">
        <v>0</v>
      </c>
      <c r="H33" s="23" t="n">
        <v>40000</v>
      </c>
      <c r="I33" s="23" t="n">
        <v>5242.64651069231</v>
      </c>
      <c r="J33" s="23" t="n">
        <v>5000</v>
      </c>
      <c r="K33" s="23" t="n">
        <v>0</v>
      </c>
      <c r="L33" s="20" t="n">
        <v>50242.64651069231</v>
      </c>
      <c r="M33" s="24" t="n">
        <v>29362.47629765932</v>
      </c>
      <c r="N33" s="21" t="n">
        <v>-626978.7256650258</v>
      </c>
      <c r="O33" s="23" t="n">
        <v>25164703.25132309</v>
      </c>
    </row>
    <row r="34">
      <c r="A34" s="17" t="n">
        <v>31</v>
      </c>
      <c r="B34" s="17" t="inlineStr">
        <is>
          <t>Dec-28</t>
        </is>
      </c>
      <c r="C34" s="18" t="n">
        <v>740000</v>
      </c>
      <c r="D34" s="18" t="n">
        <v>5550</v>
      </c>
      <c r="E34" s="18" t="n">
        <v>45236.41786693218</v>
      </c>
      <c r="F34" s="19" t="n">
        <v>50786.41786693218</v>
      </c>
      <c r="G34" s="18" t="n">
        <v>0</v>
      </c>
      <c r="H34" s="18" t="n">
        <v>40000</v>
      </c>
      <c r="I34" s="18" t="n">
        <v>5477.335809926015</v>
      </c>
      <c r="J34" s="18" t="n">
        <v>5000</v>
      </c>
      <c r="K34" s="18" t="n">
        <v>0</v>
      </c>
      <c r="L34" s="20" t="n">
        <v>50477.33580992601</v>
      </c>
      <c r="M34" s="24" t="n">
        <v>309.0820570061696</v>
      </c>
      <c r="N34" s="21" t="n">
        <v>-626669.6436080196</v>
      </c>
      <c r="O34" s="18" t="n">
        <v>26291211.88764487</v>
      </c>
    </row>
    <row r="35">
      <c r="A35" s="22" t="n">
        <v>32</v>
      </c>
      <c r="B35" s="22" t="inlineStr">
        <is>
          <t>Jan-29</t>
        </is>
      </c>
      <c r="C35" s="23" t="n">
        <v>740000</v>
      </c>
      <c r="D35" s="23" t="n">
        <v>5550</v>
      </c>
      <c r="E35" s="23" t="n">
        <v>0</v>
      </c>
      <c r="F35" s="19" t="n">
        <v>5550</v>
      </c>
      <c r="G35" s="23" t="n">
        <v>0</v>
      </c>
      <c r="H35" s="23" t="n">
        <v>40000</v>
      </c>
      <c r="I35" s="23" t="n">
        <v>5725.36085120256</v>
      </c>
      <c r="J35" s="23" t="n">
        <v>5000</v>
      </c>
      <c r="K35" s="23" t="n">
        <v>0</v>
      </c>
      <c r="L35" s="20" t="n">
        <v>50725.36085120256</v>
      </c>
      <c r="M35" s="21" t="n">
        <v>-45175.36085120256</v>
      </c>
      <c r="N35" s="21" t="n">
        <v>-671845.0044592221</v>
      </c>
      <c r="O35" s="23" t="n">
        <v>27481732.08577229</v>
      </c>
    </row>
    <row r="36">
      <c r="A36" s="17" t="n">
        <v>33</v>
      </c>
      <c r="B36" s="17" t="inlineStr">
        <is>
          <t>Feb-29</t>
        </is>
      </c>
      <c r="C36" s="18" t="n">
        <v>740000</v>
      </c>
      <c r="D36" s="18" t="n">
        <v>5550</v>
      </c>
      <c r="E36" s="18" t="n">
        <v>88254.59253382713</v>
      </c>
      <c r="F36" s="19" t="n">
        <v>93804.59253382713</v>
      </c>
      <c r="G36" s="18" t="n">
        <v>0</v>
      </c>
      <c r="H36" s="18" t="n">
        <v>40000</v>
      </c>
      <c r="I36" s="18" t="n">
        <v>5959.1332697225</v>
      </c>
      <c r="J36" s="18" t="n">
        <v>5000</v>
      </c>
      <c r="K36" s="18" t="n">
        <v>0</v>
      </c>
      <c r="L36" s="20" t="n">
        <v>50959.1332697225</v>
      </c>
      <c r="M36" s="24" t="n">
        <v>42845.45926410463</v>
      </c>
      <c r="N36" s="21" t="n">
        <v>-628999.5451951175</v>
      </c>
      <c r="O36" s="18" t="n">
        <v>28603839.694668</v>
      </c>
    </row>
    <row r="37">
      <c r="A37" s="22" t="n">
        <v>34</v>
      </c>
      <c r="B37" s="22" t="inlineStr">
        <is>
          <t>Mar-29</t>
        </is>
      </c>
      <c r="C37" s="23" t="n">
        <v>790000</v>
      </c>
      <c r="D37" s="23" t="n">
        <v>5925</v>
      </c>
      <c r="E37" s="23" t="n">
        <v>47916.22802497431</v>
      </c>
      <c r="F37" s="19" t="n">
        <v>53841.22802497431</v>
      </c>
      <c r="G37" s="23" t="n">
        <v>0</v>
      </c>
      <c r="H37" s="23" t="n">
        <v>40000</v>
      </c>
      <c r="I37" s="23" t="n">
        <v>6215.795998934894</v>
      </c>
      <c r="J37" s="23" t="n">
        <v>5000</v>
      </c>
      <c r="K37" s="23" t="n">
        <v>0</v>
      </c>
      <c r="L37" s="20" t="n">
        <v>51215.7959989349</v>
      </c>
      <c r="M37" s="24" t="n">
        <v>2625.432026039409</v>
      </c>
      <c r="N37" s="21" t="n">
        <v>-626374.113169078</v>
      </c>
      <c r="O37" s="23" t="n">
        <v>29835820.79488749</v>
      </c>
    </row>
    <row r="38">
      <c r="A38" s="17" t="n">
        <v>35</v>
      </c>
      <c r="B38" s="17" t="inlineStr">
        <is>
          <t>Apr-29</t>
        </is>
      </c>
      <c r="C38" s="18" t="n">
        <v>790000</v>
      </c>
      <c r="D38" s="18" t="n">
        <v>5925</v>
      </c>
      <c r="E38" s="18" t="n">
        <v>0</v>
      </c>
      <c r="F38" s="19" t="n">
        <v>5925</v>
      </c>
      <c r="G38" s="18" t="n">
        <v>0</v>
      </c>
      <c r="H38" s="18" t="n">
        <v>40000</v>
      </c>
      <c r="I38" s="18" t="n">
        <v>6486.718987806031</v>
      </c>
      <c r="J38" s="18" t="n">
        <v>5000</v>
      </c>
      <c r="K38" s="18" t="n">
        <v>0</v>
      </c>
      <c r="L38" s="20" t="n">
        <v>51486.71898780603</v>
      </c>
      <c r="M38" s="21" t="n">
        <v>-45561.71898780603</v>
      </c>
      <c r="N38" s="21" t="n">
        <v>-671935.832156884</v>
      </c>
      <c r="O38" s="18" t="n">
        <v>31136251.14146895</v>
      </c>
    </row>
    <row r="39">
      <c r="A39" s="22" t="n">
        <v>36</v>
      </c>
      <c r="B39" s="22" t="inlineStr">
        <is>
          <t>May-29</t>
        </is>
      </c>
      <c r="C39" s="23" t="n">
        <v>790000</v>
      </c>
      <c r="D39" s="23" t="n">
        <v>5925</v>
      </c>
      <c r="E39" s="23" t="n">
        <v>103474.1587956443</v>
      </c>
      <c r="F39" s="19" t="n">
        <v>109399.1587956443</v>
      </c>
      <c r="G39" s="23" t="n">
        <v>0</v>
      </c>
      <c r="H39" s="23" t="n">
        <v>40000</v>
      </c>
      <c r="I39" s="23" t="n">
        <v>6740.600243409262</v>
      </c>
      <c r="J39" s="23" t="n">
        <v>5000</v>
      </c>
      <c r="K39" s="23" t="n">
        <v>3000</v>
      </c>
      <c r="L39" s="20" t="n">
        <v>54740.60024340926</v>
      </c>
      <c r="M39" s="24" t="n">
        <v>54658.55855223501</v>
      </c>
      <c r="N39" s="21" t="n">
        <v>-617277.273604649</v>
      </c>
      <c r="O39" s="23" t="n">
        <v>32354881.16836445</v>
      </c>
    </row>
    <row r="40">
      <c r="A40" s="25" t="inlineStr">
        <is>
          <t>TOTAL</t>
        </is>
      </c>
      <c r="B40" s="26" t="n"/>
      <c r="C40" s="27" t="n">
        <v>23800000</v>
      </c>
      <c r="D40" s="27" t="n">
        <v>178500</v>
      </c>
      <c r="E40" s="27" t="n">
        <v>913357.9826936531</v>
      </c>
      <c r="F40" s="27" t="n">
        <v>1091857.982693653</v>
      </c>
      <c r="G40" s="27" t="n">
        <v>50000</v>
      </c>
      <c r="H40" s="27" t="n">
        <v>1350000</v>
      </c>
      <c r="I40" s="27" t="n">
        <v>120135.2562983022</v>
      </c>
      <c r="J40" s="27" t="n">
        <v>180000</v>
      </c>
      <c r="K40" s="27" t="n">
        <v>9000</v>
      </c>
      <c r="L40" s="27" t="n">
        <v>1709135.256298302</v>
      </c>
      <c r="M40" s="27" t="n">
        <v>-617277.2736046491</v>
      </c>
      <c r="N40" s="27" t="n">
        <v>-617277.273604649</v>
      </c>
      <c r="O40" s="27" t="n">
        <v>32354881.16836445</v>
      </c>
    </row>
  </sheetData>
  <mergeCells count="6">
    <mergeCell ref="A2:B2"/>
    <mergeCell ref="G2:L2"/>
    <mergeCell ref="A1:O1"/>
    <mergeCell ref="A40:B40"/>
    <mergeCell ref="C2:F2"/>
    <mergeCell ref="M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6" customWidth="1" min="4" max="4"/>
    <col width="16" customWidth="1" min="5" max="5"/>
    <col width="18" customWidth="1" min="6" max="6"/>
  </cols>
  <sheetData>
    <row r="1">
      <c r="A1" s="8" t="inlineStr">
        <is>
          <t>BitWealth (Pty) Ltd — Total AUM Projection</t>
        </is>
      </c>
    </row>
    <row r="3">
      <c r="A3" s="28" t="inlineStr">
        <is>
          <t>Month</t>
        </is>
      </c>
      <c r="B3" s="28" t="inlineStr">
        <is>
          <t>Month Label</t>
        </is>
      </c>
      <c r="C3" s="28" t="inlineStr">
        <is>
          <t>Total AUM</t>
        </is>
      </c>
      <c r="D3" s="28" t="inlineStr">
        <is>
          <t>Total Revenue</t>
        </is>
      </c>
      <c r="E3" s="28" t="inlineStr">
        <is>
          <t>Total Costs</t>
        </is>
      </c>
      <c r="F3" s="28" t="inlineStr">
        <is>
          <t>Net Monthly Cash</t>
        </is>
      </c>
    </row>
    <row r="4">
      <c r="A4" t="n">
        <v>1</v>
      </c>
      <c r="B4" t="inlineStr">
        <is>
          <t>Jun-26</t>
        </is>
      </c>
      <c r="C4" s="29" t="n">
        <v>508333</v>
      </c>
      <c r="D4" s="29" t="n">
        <v>3750</v>
      </c>
      <c r="E4" s="29" t="n">
        <v>75106</v>
      </c>
      <c r="F4" s="29" t="n">
        <v>-71356</v>
      </c>
    </row>
    <row r="5">
      <c r="A5" t="n">
        <v>2</v>
      </c>
      <c r="B5" t="inlineStr">
        <is>
          <t>Jul-26</t>
        </is>
      </c>
      <c r="C5" s="29" t="n">
        <v>5844139</v>
      </c>
      <c r="D5" s="29" t="n">
        <v>39300</v>
      </c>
      <c r="E5" s="29" t="n">
        <v>26218</v>
      </c>
      <c r="F5" s="29" t="n">
        <v>13082</v>
      </c>
    </row>
    <row r="6">
      <c r="A6" t="n">
        <v>3</v>
      </c>
      <c r="B6" t="inlineStr">
        <is>
          <t>Aug-26</t>
        </is>
      </c>
      <c r="C6" s="29" t="n">
        <v>6181994</v>
      </c>
      <c r="D6" s="29" t="n">
        <v>5347</v>
      </c>
      <c r="E6" s="29" t="n">
        <v>26288</v>
      </c>
      <c r="F6" s="29" t="n">
        <v>-20940</v>
      </c>
    </row>
    <row r="7">
      <c r="A7" t="n">
        <v>4</v>
      </c>
      <c r="B7" t="inlineStr">
        <is>
          <t>Sep-26</t>
        </is>
      </c>
      <c r="C7" s="29" t="n">
        <v>6554037</v>
      </c>
      <c r="D7" s="29" t="n">
        <v>27998</v>
      </c>
      <c r="E7" s="29" t="n">
        <v>36365</v>
      </c>
      <c r="F7" s="29" t="n">
        <v>-8367</v>
      </c>
    </row>
    <row r="8">
      <c r="A8" t="n">
        <v>5</v>
      </c>
      <c r="B8" t="inlineStr">
        <is>
          <t>Oct-26</t>
        </is>
      </c>
      <c r="C8" s="29" t="n">
        <v>6958104</v>
      </c>
      <c r="D8" s="29" t="n">
        <v>2175</v>
      </c>
      <c r="E8" s="29" t="n">
        <v>36450</v>
      </c>
      <c r="F8" s="29" t="n">
        <v>-34275</v>
      </c>
    </row>
    <row r="9">
      <c r="A9" t="n">
        <v>6</v>
      </c>
      <c r="B9" t="inlineStr">
        <is>
          <t>Nov-26</t>
        </is>
      </c>
      <c r="C9" s="29" t="n">
        <v>7361640</v>
      </c>
      <c r="D9" s="29" t="n">
        <v>9441</v>
      </c>
      <c r="E9" s="29" t="n">
        <v>36534</v>
      </c>
      <c r="F9" s="29" t="n">
        <v>-27093</v>
      </c>
    </row>
    <row r="10">
      <c r="A10" t="n">
        <v>7</v>
      </c>
      <c r="B10" t="inlineStr">
        <is>
          <t>Dec-26</t>
        </is>
      </c>
      <c r="C10" s="29" t="n">
        <v>7802386</v>
      </c>
      <c r="D10" s="29" t="n">
        <v>30165</v>
      </c>
      <c r="E10" s="29" t="n">
        <v>46625</v>
      </c>
      <c r="F10" s="29" t="n">
        <v>-16460</v>
      </c>
    </row>
    <row r="11">
      <c r="A11" t="n">
        <v>8</v>
      </c>
      <c r="B11" t="inlineStr">
        <is>
          <t>Jan-27</t>
        </is>
      </c>
      <c r="C11" s="29" t="n">
        <v>8278092</v>
      </c>
      <c r="D11" s="29" t="n">
        <v>2550</v>
      </c>
      <c r="E11" s="29" t="n">
        <v>46725</v>
      </c>
      <c r="F11" s="29" t="n">
        <v>-44175</v>
      </c>
    </row>
    <row r="12">
      <c r="A12" t="n">
        <v>9</v>
      </c>
      <c r="B12" t="inlineStr">
        <is>
          <t>Feb-27</t>
        </is>
      </c>
      <c r="C12" s="29" t="n">
        <v>8749811</v>
      </c>
      <c r="D12" s="29" t="n">
        <v>14466</v>
      </c>
      <c r="E12" s="29" t="n">
        <v>46823</v>
      </c>
      <c r="F12" s="29" t="n">
        <v>-32356</v>
      </c>
    </row>
    <row r="13">
      <c r="A13" t="n">
        <v>10</v>
      </c>
      <c r="B13" t="inlineStr">
        <is>
          <t>Mar-27</t>
        </is>
      </c>
      <c r="C13" s="29" t="n">
        <v>9262652</v>
      </c>
      <c r="D13" s="29" t="n">
        <v>32414</v>
      </c>
      <c r="E13" s="29" t="n">
        <v>46930</v>
      </c>
      <c r="F13" s="29" t="n">
        <v>-14516</v>
      </c>
    </row>
    <row r="14">
      <c r="A14" t="n">
        <v>11</v>
      </c>
      <c r="B14" t="inlineStr">
        <is>
          <t>Apr-27</t>
        </is>
      </c>
      <c r="C14" s="29" t="n">
        <v>9813530</v>
      </c>
      <c r="D14" s="29" t="n">
        <v>2925</v>
      </c>
      <c r="E14" s="29" t="n">
        <v>47044</v>
      </c>
      <c r="F14" s="29" t="n">
        <v>-44119</v>
      </c>
    </row>
    <row r="15">
      <c r="A15" t="n">
        <v>12</v>
      </c>
      <c r="B15" t="inlineStr">
        <is>
          <t>May-27</t>
        </is>
      </c>
      <c r="C15" s="29" t="n">
        <v>10356046</v>
      </c>
      <c r="D15" s="29" t="n">
        <v>20468</v>
      </c>
      <c r="E15" s="29" t="n">
        <v>50158</v>
      </c>
      <c r="F15" s="29" t="n">
        <v>-29690</v>
      </c>
    </row>
    <row r="16">
      <c r="A16" t="n">
        <v>13</v>
      </c>
      <c r="B16" t="inlineStr">
        <is>
          <t>Jun-27</t>
        </is>
      </c>
      <c r="C16" s="29" t="n">
        <v>10944532</v>
      </c>
      <c r="D16" s="29" t="n">
        <v>34748</v>
      </c>
      <c r="E16" s="29" t="n">
        <v>47280</v>
      </c>
      <c r="F16" s="29" t="n">
        <v>-12532</v>
      </c>
    </row>
    <row r="17">
      <c r="A17" t="n">
        <v>14</v>
      </c>
      <c r="B17" t="inlineStr">
        <is>
          <t>Jul-27</t>
        </is>
      </c>
      <c r="C17" s="29" t="n">
        <v>11574274</v>
      </c>
      <c r="D17" s="29" t="n">
        <v>3300</v>
      </c>
      <c r="E17" s="29" t="n">
        <v>47411</v>
      </c>
      <c r="F17" s="29" t="n">
        <v>-44111</v>
      </c>
    </row>
    <row r="18">
      <c r="A18" t="n">
        <v>15</v>
      </c>
      <c r="B18" t="inlineStr">
        <is>
          <t>Aug-27</t>
        </is>
      </c>
      <c r="C18" s="29" t="n">
        <v>12190323</v>
      </c>
      <c r="D18" s="29" t="n">
        <v>27489</v>
      </c>
      <c r="E18" s="29" t="n">
        <v>47540</v>
      </c>
      <c r="F18" s="29" t="n">
        <v>-20051</v>
      </c>
    </row>
    <row r="19">
      <c r="A19" t="n">
        <v>16</v>
      </c>
      <c r="B19" t="inlineStr">
        <is>
          <t>Sep-27</t>
        </is>
      </c>
      <c r="C19" s="29" t="n">
        <v>12858165</v>
      </c>
      <c r="D19" s="29" t="n">
        <v>37172</v>
      </c>
      <c r="E19" s="29" t="n">
        <v>47679</v>
      </c>
      <c r="F19" s="29" t="n">
        <v>-10507</v>
      </c>
    </row>
    <row r="20">
      <c r="A20" t="n">
        <v>17</v>
      </c>
      <c r="B20" t="inlineStr">
        <is>
          <t>Oct-27</t>
        </is>
      </c>
      <c r="C20" s="29" t="n">
        <v>13570635</v>
      </c>
      <c r="D20" s="29" t="n">
        <v>3675</v>
      </c>
      <c r="E20" s="29" t="n">
        <v>47827</v>
      </c>
      <c r="F20" s="29" t="n">
        <v>-44152</v>
      </c>
    </row>
    <row r="21">
      <c r="A21" t="n">
        <v>18</v>
      </c>
      <c r="B21" t="inlineStr">
        <is>
          <t>Nov-27</t>
        </is>
      </c>
      <c r="C21" s="29" t="n">
        <v>14263077</v>
      </c>
      <c r="D21" s="29" t="n">
        <v>35577</v>
      </c>
      <c r="E21" s="29" t="n">
        <v>47971</v>
      </c>
      <c r="F21" s="29" t="n">
        <v>-12395</v>
      </c>
    </row>
    <row r="22">
      <c r="A22" t="n">
        <v>19</v>
      </c>
      <c r="B22" t="inlineStr">
        <is>
          <t>Dec-27</t>
        </is>
      </c>
      <c r="C22" s="29" t="n">
        <v>15014155</v>
      </c>
      <c r="D22" s="29" t="n">
        <v>39689</v>
      </c>
      <c r="E22" s="29" t="n">
        <v>48128</v>
      </c>
      <c r="F22" s="29" t="n">
        <v>-8438</v>
      </c>
    </row>
    <row r="23">
      <c r="A23" t="n">
        <v>20</v>
      </c>
      <c r="B23" t="inlineStr">
        <is>
          <t>Jan-28</t>
        </is>
      </c>
      <c r="C23" s="29" t="n">
        <v>15813391</v>
      </c>
      <c r="D23" s="29" t="n">
        <v>4050</v>
      </c>
      <c r="E23" s="29" t="n">
        <v>48294</v>
      </c>
      <c r="F23" s="29" t="n">
        <v>-44244</v>
      </c>
    </row>
    <row r="24">
      <c r="A24" t="n">
        <v>21</v>
      </c>
      <c r="B24" t="inlineStr">
        <is>
          <t>Feb-28</t>
        </is>
      </c>
      <c r="C24" s="29" t="n">
        <v>16585218</v>
      </c>
      <c r="D24" s="29" t="n">
        <v>44780</v>
      </c>
      <c r="E24" s="29" t="n">
        <v>48455</v>
      </c>
      <c r="F24" s="29" t="n">
        <v>-3675</v>
      </c>
    </row>
    <row r="25">
      <c r="A25" t="n">
        <v>22</v>
      </c>
      <c r="B25" t="inlineStr">
        <is>
          <t>Mar-28</t>
        </is>
      </c>
      <c r="C25" s="29" t="n">
        <v>17423591</v>
      </c>
      <c r="D25" s="29" t="n">
        <v>42305</v>
      </c>
      <c r="E25" s="29" t="n">
        <v>48630</v>
      </c>
      <c r="F25" s="29" t="n">
        <v>-6325</v>
      </c>
    </row>
    <row r="26">
      <c r="A26" t="n">
        <v>23</v>
      </c>
      <c r="B26" t="inlineStr">
        <is>
          <t>Apr-28</t>
        </is>
      </c>
      <c r="C26" s="29" t="n">
        <v>18313818</v>
      </c>
      <c r="D26" s="29" t="n">
        <v>4425</v>
      </c>
      <c r="E26" s="29" t="n">
        <v>48815</v>
      </c>
      <c r="F26" s="29" t="n">
        <v>-44390</v>
      </c>
    </row>
    <row r="27">
      <c r="A27" t="n">
        <v>24</v>
      </c>
      <c r="B27" t="inlineStr">
        <is>
          <t>May-28</t>
        </is>
      </c>
      <c r="C27" s="29" t="n">
        <v>19168156</v>
      </c>
      <c r="D27" s="29" t="n">
        <v>55150</v>
      </c>
      <c r="E27" s="29" t="n">
        <v>51993</v>
      </c>
      <c r="F27" s="29" t="n">
        <v>3157</v>
      </c>
    </row>
    <row r="28">
      <c r="A28" t="n">
        <v>25</v>
      </c>
      <c r="B28" t="inlineStr">
        <is>
          <t>Jun-28</t>
        </is>
      </c>
      <c r="C28" s="29" t="n">
        <v>20098069</v>
      </c>
      <c r="D28" s="29" t="n">
        <v>45023</v>
      </c>
      <c r="E28" s="29" t="n">
        <v>49187</v>
      </c>
      <c r="F28" s="29" t="n">
        <v>-4164</v>
      </c>
    </row>
    <row r="29">
      <c r="A29" t="n">
        <v>26</v>
      </c>
      <c r="B29" t="inlineStr">
        <is>
          <t>Jul-28</t>
        </is>
      </c>
      <c r="C29" s="29" t="n">
        <v>21083703</v>
      </c>
      <c r="D29" s="29" t="n">
        <v>4800</v>
      </c>
      <c r="E29" s="29" t="n">
        <v>49392</v>
      </c>
      <c r="F29" s="29" t="n">
        <v>-44592</v>
      </c>
    </row>
    <row r="30">
      <c r="A30" t="n">
        <v>27</v>
      </c>
      <c r="B30" t="inlineStr">
        <is>
          <t>Aug-28</t>
        </is>
      </c>
      <c r="C30" s="29" t="n">
        <v>22023825</v>
      </c>
      <c r="D30" s="29" t="n">
        <v>66740</v>
      </c>
      <c r="E30" s="29" t="n">
        <v>49588</v>
      </c>
      <c r="F30" s="29" t="n">
        <v>17151</v>
      </c>
    </row>
    <row r="31">
      <c r="A31" t="n">
        <v>28</v>
      </c>
      <c r="B31" t="inlineStr">
        <is>
          <t>Sep-28</t>
        </is>
      </c>
      <c r="C31" s="29" t="n">
        <v>23049715</v>
      </c>
      <c r="D31" s="29" t="n">
        <v>47849</v>
      </c>
      <c r="E31" s="29" t="n">
        <v>49802</v>
      </c>
      <c r="F31" s="29" t="n">
        <v>-1953</v>
      </c>
    </row>
    <row r="32">
      <c r="A32" t="n">
        <v>29</v>
      </c>
      <c r="B32" t="inlineStr">
        <is>
          <t>Oct-28</t>
        </is>
      </c>
      <c r="C32" s="29" t="n">
        <v>24135377</v>
      </c>
      <c r="D32" s="29" t="n">
        <v>5175</v>
      </c>
      <c r="E32" s="29" t="n">
        <v>50028</v>
      </c>
      <c r="F32" s="29" t="n">
        <v>-44853</v>
      </c>
    </row>
    <row r="33">
      <c r="A33" t="n">
        <v>30</v>
      </c>
      <c r="B33" t="inlineStr">
        <is>
          <t>Nov-28</t>
        </is>
      </c>
      <c r="C33" s="29" t="n">
        <v>25164703</v>
      </c>
      <c r="D33" s="29" t="n">
        <v>79605</v>
      </c>
      <c r="E33" s="29" t="n">
        <v>50243</v>
      </c>
      <c r="F33" s="29" t="n">
        <v>29362</v>
      </c>
    </row>
    <row r="34">
      <c r="A34" t="n">
        <v>31</v>
      </c>
      <c r="B34" t="inlineStr">
        <is>
          <t>Dec-28</t>
        </is>
      </c>
      <c r="C34" s="29" t="n">
        <v>26291212</v>
      </c>
      <c r="D34" s="29" t="n">
        <v>50786</v>
      </c>
      <c r="E34" s="29" t="n">
        <v>50477</v>
      </c>
      <c r="F34" s="29" t="n">
        <v>309</v>
      </c>
    </row>
    <row r="35">
      <c r="A35" t="n">
        <v>32</v>
      </c>
      <c r="B35" t="inlineStr">
        <is>
          <t>Jan-29</t>
        </is>
      </c>
      <c r="C35" s="29" t="n">
        <v>27481732</v>
      </c>
      <c r="D35" s="29" t="n">
        <v>5550</v>
      </c>
      <c r="E35" s="29" t="n">
        <v>50725</v>
      </c>
      <c r="F35" s="29" t="n">
        <v>-45175</v>
      </c>
    </row>
    <row r="36">
      <c r="A36" t="n">
        <v>33</v>
      </c>
      <c r="B36" t="inlineStr">
        <is>
          <t>Feb-29</t>
        </is>
      </c>
      <c r="C36" s="29" t="n">
        <v>28603840</v>
      </c>
      <c r="D36" s="29" t="n">
        <v>93805</v>
      </c>
      <c r="E36" s="29" t="n">
        <v>50959</v>
      </c>
      <c r="F36" s="29" t="n">
        <v>42845</v>
      </c>
    </row>
    <row r="37">
      <c r="A37" t="n">
        <v>34</v>
      </c>
      <c r="B37" t="inlineStr">
        <is>
          <t>Mar-29</t>
        </is>
      </c>
      <c r="C37" s="29" t="n">
        <v>29835821</v>
      </c>
      <c r="D37" s="29" t="n">
        <v>53841</v>
      </c>
      <c r="E37" s="29" t="n">
        <v>51216</v>
      </c>
      <c r="F37" s="29" t="n">
        <v>2625</v>
      </c>
    </row>
    <row r="38">
      <c r="A38" t="n">
        <v>35</v>
      </c>
      <c r="B38" t="inlineStr">
        <is>
          <t>Apr-29</t>
        </is>
      </c>
      <c r="C38" s="29" t="n">
        <v>31136251</v>
      </c>
      <c r="D38" s="29" t="n">
        <v>5925</v>
      </c>
      <c r="E38" s="29" t="n">
        <v>51487</v>
      </c>
      <c r="F38" s="29" t="n">
        <v>-45562</v>
      </c>
    </row>
    <row r="39">
      <c r="A39" t="n">
        <v>36</v>
      </c>
      <c r="B39" t="inlineStr">
        <is>
          <t>May-29</t>
        </is>
      </c>
      <c r="C39" s="29" t="n">
        <v>32354881</v>
      </c>
      <c r="D39" s="29" t="n">
        <v>109399</v>
      </c>
      <c r="E39" s="29" t="n">
        <v>54741</v>
      </c>
      <c r="F39" s="29" t="n">
        <v>54659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4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6" customWidth="1" min="16" max="16"/>
    <col width="14" customWidth="1" min="17" max="17"/>
    <col width="14" customWidth="1" min="18" max="18"/>
    <col width="16" customWidth="1" min="19" max="19"/>
    <col width="14" customWidth="1" min="20" max="20"/>
    <col width="14" customWidth="1" min="21" max="21"/>
    <col width="16" customWidth="1" min="22" max="22"/>
    <col width="14" customWidth="1" min="23" max="23"/>
    <col width="14" customWidth="1" min="24" max="24"/>
    <col width="16" customWidth="1" min="25" max="25"/>
    <col width="14" customWidth="1" min="26" max="26"/>
    <col width="14" customWidth="1" min="27" max="27"/>
    <col width="16" customWidth="1" min="28" max="28"/>
    <col width="14" customWidth="1" min="29" max="29"/>
    <col width="14" customWidth="1" min="30" max="30"/>
    <col width="16" customWidth="1" min="31" max="31"/>
    <col width="14" customWidth="1" min="32" max="32"/>
    <col width="14" customWidth="1" min="33" max="33"/>
    <col width="16" customWidth="1" min="34" max="34"/>
    <col width="14" customWidth="1" min="35" max="35"/>
    <col width="14" customWidth="1" min="36" max="36"/>
    <col width="16" customWidth="1" min="37" max="37"/>
    <col width="14" customWidth="1" min="38" max="38"/>
    <col width="14" customWidth="1" min="39" max="39"/>
    <col width="16" customWidth="1" min="40" max="40"/>
    <col width="14" customWidth="1" min="41" max="41"/>
    <col width="14" customWidth="1" min="42" max="42"/>
    <col width="16" customWidth="1" min="43" max="43"/>
    <col width="14" customWidth="1" min="44" max="44"/>
  </cols>
  <sheetData>
    <row r="1" ht="25" customHeight="1">
      <c r="A1" s="30" t="inlineStr">
        <is>
          <t>BitWealth — Per-Client Monthly AUM &amp; Performance Fee Detail</t>
        </is>
      </c>
    </row>
    <row r="2">
      <c r="C2" s="31" t="inlineStr">
        <is>
          <t>Client 1 (Founding)</t>
        </is>
      </c>
      <c r="F2" s="31" t="inlineStr">
        <is>
          <t>Client 2 (Founding)</t>
        </is>
      </c>
      <c r="I2" s="31" t="inlineStr">
        <is>
          <t>Client 3 (Founding)</t>
        </is>
      </c>
      <c r="L2" s="31" t="inlineStr">
        <is>
          <t>New Client 1 (from M4)</t>
        </is>
      </c>
      <c r="O2" s="31" t="inlineStr">
        <is>
          <t>New Client 2 (from M7)</t>
        </is>
      </c>
      <c r="R2" s="31" t="inlineStr">
        <is>
          <t>New Client 3 (from M10)</t>
        </is>
      </c>
      <c r="U2" s="31" t="inlineStr">
        <is>
          <t>New Client 4 (from M13)</t>
        </is>
      </c>
      <c r="X2" s="31" t="inlineStr">
        <is>
          <t>New Client 5 (from M16)</t>
        </is>
      </c>
      <c r="AA2" s="31" t="inlineStr">
        <is>
          <t>New Client 6 (from M19)</t>
        </is>
      </c>
      <c r="AD2" s="31" t="inlineStr">
        <is>
          <t>New Client 7 (from M22)</t>
        </is>
      </c>
      <c r="AG2" s="31" t="inlineStr">
        <is>
          <t>New Client 8 (from M25)</t>
        </is>
      </c>
      <c r="AJ2" s="31" t="inlineStr">
        <is>
          <t>New Client 9 (from M28)</t>
        </is>
      </c>
      <c r="AM2" s="31" t="inlineStr">
        <is>
          <t>New Client 10 (from M31)</t>
        </is>
      </c>
      <c r="AP2" s="31" t="inlineStr">
        <is>
          <t>New Client 11 (from M34)</t>
        </is>
      </c>
    </row>
    <row r="3">
      <c r="A3" s="32" t="inlineStr">
        <is>
          <t>Month</t>
        </is>
      </c>
      <c r="B3" s="32" t="inlineStr">
        <is>
          <t>Label</t>
        </is>
      </c>
      <c r="C3" s="33" t="inlineStr">
        <is>
          <t>Contribution</t>
        </is>
      </c>
      <c r="D3" s="33" t="inlineStr">
        <is>
          <t>Closing AUM</t>
        </is>
      </c>
      <c r="E3" s="33" t="inlineStr">
        <is>
          <t>Perf Fee (crys.)</t>
        </is>
      </c>
      <c r="F3" s="33" t="inlineStr">
        <is>
          <t>Contribution</t>
        </is>
      </c>
      <c r="G3" s="33" t="inlineStr">
        <is>
          <t>Closing AUM</t>
        </is>
      </c>
      <c r="H3" s="33" t="inlineStr">
        <is>
          <t>Perf Fee (crys.)</t>
        </is>
      </c>
      <c r="I3" s="33" t="inlineStr">
        <is>
          <t>Contribution</t>
        </is>
      </c>
      <c r="J3" s="33" t="inlineStr">
        <is>
          <t>Closing AUM</t>
        </is>
      </c>
      <c r="K3" s="33" t="inlineStr">
        <is>
          <t>Perf Fee (crys.)</t>
        </is>
      </c>
      <c r="L3" s="33" t="inlineStr">
        <is>
          <t>Contribution</t>
        </is>
      </c>
      <c r="M3" s="33" t="inlineStr">
        <is>
          <t>Closing AUM</t>
        </is>
      </c>
      <c r="N3" s="33" t="inlineStr">
        <is>
          <t>Perf Fee (crys.)</t>
        </is>
      </c>
      <c r="O3" s="33" t="inlineStr">
        <is>
          <t>Contribution</t>
        </is>
      </c>
      <c r="P3" s="33" t="inlineStr">
        <is>
          <t>Closing AUM</t>
        </is>
      </c>
      <c r="Q3" s="33" t="inlineStr">
        <is>
          <t>Perf Fee (crys.)</t>
        </is>
      </c>
      <c r="R3" s="33" t="inlineStr">
        <is>
          <t>Contribution</t>
        </is>
      </c>
      <c r="S3" s="33" t="inlineStr">
        <is>
          <t>Closing AUM</t>
        </is>
      </c>
      <c r="T3" s="33" t="inlineStr">
        <is>
          <t>Perf Fee (crys.)</t>
        </is>
      </c>
      <c r="U3" s="33" t="inlineStr">
        <is>
          <t>Contribution</t>
        </is>
      </c>
      <c r="V3" s="33" t="inlineStr">
        <is>
          <t>Closing AUM</t>
        </is>
      </c>
      <c r="W3" s="33" t="inlineStr">
        <is>
          <t>Perf Fee (crys.)</t>
        </is>
      </c>
      <c r="X3" s="33" t="inlineStr">
        <is>
          <t>Contribution</t>
        </is>
      </c>
      <c r="Y3" s="33" t="inlineStr">
        <is>
          <t>Closing AUM</t>
        </is>
      </c>
      <c r="Z3" s="33" t="inlineStr">
        <is>
          <t>Perf Fee (crys.)</t>
        </is>
      </c>
      <c r="AA3" s="33" t="inlineStr">
        <is>
          <t>Contribution</t>
        </is>
      </c>
      <c r="AB3" s="33" t="inlineStr">
        <is>
          <t>Closing AUM</t>
        </is>
      </c>
      <c r="AC3" s="33" t="inlineStr">
        <is>
          <t>Perf Fee (crys.)</t>
        </is>
      </c>
      <c r="AD3" s="33" t="inlineStr">
        <is>
          <t>Contribution</t>
        </is>
      </c>
      <c r="AE3" s="33" t="inlineStr">
        <is>
          <t>Closing AUM</t>
        </is>
      </c>
      <c r="AF3" s="33" t="inlineStr">
        <is>
          <t>Perf Fee (crys.)</t>
        </is>
      </c>
      <c r="AG3" s="33" t="inlineStr">
        <is>
          <t>Contribution</t>
        </is>
      </c>
      <c r="AH3" s="33" t="inlineStr">
        <is>
          <t>Closing AUM</t>
        </is>
      </c>
      <c r="AI3" s="33" t="inlineStr">
        <is>
          <t>Perf Fee (crys.)</t>
        </is>
      </c>
      <c r="AJ3" s="33" t="inlineStr">
        <is>
          <t>Contribution</t>
        </is>
      </c>
      <c r="AK3" s="33" t="inlineStr">
        <is>
          <t>Closing AUM</t>
        </is>
      </c>
      <c r="AL3" s="33" t="inlineStr">
        <is>
          <t>Perf Fee (crys.)</t>
        </is>
      </c>
      <c r="AM3" s="33" t="inlineStr">
        <is>
          <t>Contribution</t>
        </is>
      </c>
      <c r="AN3" s="33" t="inlineStr">
        <is>
          <t>Closing AUM</t>
        </is>
      </c>
      <c r="AO3" s="33" t="inlineStr">
        <is>
          <t>Perf Fee (crys.)</t>
        </is>
      </c>
      <c r="AP3" s="33" t="inlineStr">
        <is>
          <t>Contribution</t>
        </is>
      </c>
      <c r="AQ3" s="33" t="inlineStr">
        <is>
          <t>Closing AUM</t>
        </is>
      </c>
      <c r="AR3" s="33" t="inlineStr">
        <is>
          <t>Perf Fee (crys.)</t>
        </is>
      </c>
    </row>
    <row r="4">
      <c r="A4" s="17" t="n">
        <v>1</v>
      </c>
      <c r="B4" s="17" t="inlineStr">
        <is>
          <t>Jun-26</t>
        </is>
      </c>
      <c r="C4" s="18" t="n">
        <v>500000</v>
      </c>
      <c r="D4" s="18" t="n">
        <v>508333.3333333333</v>
      </c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</row>
    <row r="5">
      <c r="A5" s="22" t="n">
        <v>2</v>
      </c>
      <c r="B5" s="22" t="inlineStr">
        <is>
          <t>Jul-26</t>
        </is>
      </c>
      <c r="C5" s="23" t="n">
        <v>200000</v>
      </c>
      <c r="D5" s="23" t="n">
        <v>720138.8888888888</v>
      </c>
      <c r="E5" s="23" t="n"/>
      <c r="F5" s="23" t="n">
        <v>40000</v>
      </c>
      <c r="G5" s="23" t="n">
        <v>40666.66666666666</v>
      </c>
      <c r="H5" s="23" t="n"/>
      <c r="I5" s="23" t="n">
        <v>5000000</v>
      </c>
      <c r="J5" s="23" t="n">
        <v>5083333.333333333</v>
      </c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</row>
    <row r="6">
      <c r="A6" s="17" t="n">
        <v>3</v>
      </c>
      <c r="B6" s="17" t="inlineStr">
        <is>
          <t>Aug-26</t>
        </is>
      </c>
      <c r="C6" s="18" t="n">
        <v>200000</v>
      </c>
      <c r="D6" s="18" t="n">
        <v>931927.0833333331</v>
      </c>
      <c r="E6" s="34" t="n">
        <v>3547.453703703685</v>
      </c>
      <c r="F6" s="18" t="n">
        <v>40000</v>
      </c>
      <c r="G6" s="18" t="n">
        <v>82011.11111111109</v>
      </c>
      <c r="H6" s="18" t="n"/>
      <c r="I6" s="18" t="n"/>
      <c r="J6" s="18" t="n">
        <v>5168055.555555555</v>
      </c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</row>
    <row r="7">
      <c r="A7" s="22" t="n">
        <v>4</v>
      </c>
      <c r="B7" s="22" t="inlineStr">
        <is>
          <t>Sep-26</t>
        </is>
      </c>
      <c r="C7" s="23" t="n">
        <v>200000</v>
      </c>
      <c r="D7" s="23" t="n">
        <v>1150792.534722222</v>
      </c>
      <c r="E7" s="23" t="n"/>
      <c r="F7" s="23" t="n">
        <v>40000</v>
      </c>
      <c r="G7" s="23" t="n">
        <v>123640.1666666666</v>
      </c>
      <c r="H7" s="34" t="n">
        <v>404.4629629629606</v>
      </c>
      <c r="I7" s="23" t="n"/>
      <c r="J7" s="23" t="n">
        <v>5228770.833333333</v>
      </c>
      <c r="K7" s="34" t="n">
        <v>25418.98148148144</v>
      </c>
      <c r="L7" s="23" t="n">
        <v>50000</v>
      </c>
      <c r="M7" s="23" t="n">
        <v>50833.33333333334</v>
      </c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</row>
    <row r="8">
      <c r="A8" s="17" t="n">
        <v>5</v>
      </c>
      <c r="B8" s="17" t="inlineStr">
        <is>
          <t>Oct-26</t>
        </is>
      </c>
      <c r="C8" s="18" t="n">
        <v>200000</v>
      </c>
      <c r="D8" s="18" t="n">
        <v>1373305.743634259</v>
      </c>
      <c r="E8" s="18" t="n"/>
      <c r="F8" s="18" t="n">
        <v>40000</v>
      </c>
      <c r="G8" s="18" t="n">
        <v>166367.5027777777</v>
      </c>
      <c r="H8" s="18" t="n"/>
      <c r="I8" s="18" t="n"/>
      <c r="J8" s="18" t="n">
        <v>5315917.013888889</v>
      </c>
      <c r="K8" s="18" t="n"/>
      <c r="L8" s="18" t="n">
        <v>50000</v>
      </c>
      <c r="M8" s="18" t="n">
        <v>102513.8888888889</v>
      </c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</row>
    <row r="9">
      <c r="A9" s="22" t="n">
        <v>6</v>
      </c>
      <c r="B9" s="22" t="inlineStr">
        <is>
          <t>Nov-26</t>
        </is>
      </c>
      <c r="C9" s="23" t="n">
        <v>200000</v>
      </c>
      <c r="D9" s="23" t="n">
        <v>1592767.463758681</v>
      </c>
      <c r="E9" s="34" t="n">
        <v>6760.042269483046</v>
      </c>
      <c r="F9" s="23" t="n">
        <v>40000</v>
      </c>
      <c r="G9" s="23" t="n">
        <v>209806.9611574073</v>
      </c>
      <c r="H9" s="23" t="n"/>
      <c r="I9" s="23" t="n"/>
      <c r="J9" s="23" t="n">
        <v>5404515.630787037</v>
      </c>
      <c r="K9" s="23" t="n"/>
      <c r="L9" s="23" t="n">
        <v>50000</v>
      </c>
      <c r="M9" s="23" t="n">
        <v>154550.2083333333</v>
      </c>
      <c r="N9" s="34" t="n">
        <v>505.5787037037051</v>
      </c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</row>
    <row r="10">
      <c r="A10" s="17" t="n">
        <v>7</v>
      </c>
      <c r="B10" s="17" t="inlineStr">
        <is>
          <t>Dec-26</t>
        </is>
      </c>
      <c r="C10" s="18" t="n">
        <v>200000</v>
      </c>
      <c r="D10" s="18" t="n">
        <v>1822646.921487992</v>
      </c>
      <c r="E10" s="18" t="n"/>
      <c r="F10" s="18" t="n">
        <v>40000</v>
      </c>
      <c r="G10" s="18" t="n">
        <v>252937.3861256944</v>
      </c>
      <c r="H10" s="34" t="n">
        <v>1033.024384336418</v>
      </c>
      <c r="I10" s="18" t="n"/>
      <c r="J10" s="18" t="n">
        <v>5468008.885503473</v>
      </c>
      <c r="K10" s="34" t="n">
        <v>26582.00579668218</v>
      </c>
      <c r="L10" s="18" t="n">
        <v>50000</v>
      </c>
      <c r="M10" s="18" t="n">
        <v>207959.3784722222</v>
      </c>
      <c r="N10" s="18" t="n"/>
      <c r="O10" s="18" t="n">
        <v>50000</v>
      </c>
      <c r="P10" s="18" t="n">
        <v>50833.33333333334</v>
      </c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</row>
    <row r="11">
      <c r="A11" s="22" t="n">
        <v>8</v>
      </c>
      <c r="B11" s="22" t="inlineStr">
        <is>
          <t>Jan-27</t>
        </is>
      </c>
      <c r="C11" s="23" t="n">
        <v>200000</v>
      </c>
      <c r="D11" s="23" t="n">
        <v>2056357.703512792</v>
      </c>
      <c r="E11" s="23" t="n"/>
      <c r="F11" s="23" t="n">
        <v>40000</v>
      </c>
      <c r="G11" s="23" t="n">
        <v>297819.6758944559</v>
      </c>
      <c r="H11" s="23" t="n"/>
      <c r="I11" s="23" t="n"/>
      <c r="J11" s="23" t="n">
        <v>5559142.366928531</v>
      </c>
      <c r="K11" s="23" t="n"/>
      <c r="L11" s="23" t="n">
        <v>50000</v>
      </c>
      <c r="M11" s="23" t="n">
        <v>262258.7014467593</v>
      </c>
      <c r="N11" s="23" t="n"/>
      <c r="O11" s="23" t="n">
        <v>50000</v>
      </c>
      <c r="P11" s="23" t="n">
        <v>102513.8888888889</v>
      </c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</row>
    <row r="12">
      <c r="A12" s="17" t="n">
        <v>9</v>
      </c>
      <c r="B12" s="17" t="inlineStr">
        <is>
          <t>Feb-27</t>
        </is>
      </c>
      <c r="C12" s="18" t="n">
        <v>200000</v>
      </c>
      <c r="D12" s="18" t="n">
        <v>2283844.045090072</v>
      </c>
      <c r="E12" s="34" t="n">
        <v>10119.62014793242</v>
      </c>
      <c r="F12" s="18" t="n">
        <v>40000</v>
      </c>
      <c r="G12" s="18" t="n">
        <v>343450.0038260302</v>
      </c>
      <c r="H12" s="18" t="n"/>
      <c r="I12" s="18" t="n"/>
      <c r="J12" s="18" t="n">
        <v>5651794.739710673</v>
      </c>
      <c r="K12" s="18" t="n"/>
      <c r="L12" s="18" t="n">
        <v>50000</v>
      </c>
      <c r="M12" s="18" t="n">
        <v>316171.7326571181</v>
      </c>
      <c r="N12" s="34" t="n">
        <v>1291.280480420525</v>
      </c>
      <c r="O12" s="18" t="n">
        <v>50000</v>
      </c>
      <c r="P12" s="18" t="n">
        <v>154550.2083333333</v>
      </c>
      <c r="Q12" s="34" t="n">
        <v>505.5787037037051</v>
      </c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</row>
    <row r="13">
      <c r="A13" s="22" t="n">
        <v>10</v>
      </c>
      <c r="B13" s="22" t="inlineStr">
        <is>
          <t>Mar-27</t>
        </is>
      </c>
      <c r="C13" s="23" t="n">
        <v>200000</v>
      </c>
      <c r="D13" s="23" t="n">
        <v>2525241.445841574</v>
      </c>
      <c r="E13" s="23" t="n"/>
      <c r="F13" s="23" t="n">
        <v>40000</v>
      </c>
      <c r="G13" s="23" t="n">
        <v>388150.492113387</v>
      </c>
      <c r="H13" s="34" t="n">
        <v>1690.345109743631</v>
      </c>
      <c r="I13" s="23" t="n"/>
      <c r="J13" s="23" t="n">
        <v>5718193.075385612</v>
      </c>
      <c r="K13" s="34" t="n">
        <v>27798.24332023775</v>
      </c>
      <c r="L13" s="23" t="n">
        <v>50000</v>
      </c>
      <c r="M13" s="23" t="n">
        <v>372274.5948680701</v>
      </c>
      <c r="N13" s="23" t="n"/>
      <c r="O13" s="23" t="n">
        <v>50000</v>
      </c>
      <c r="P13" s="23" t="n">
        <v>207959.3784722222</v>
      </c>
      <c r="Q13" s="23" t="n"/>
      <c r="R13" s="23" t="n">
        <v>50000</v>
      </c>
      <c r="S13" s="23" t="n">
        <v>50833.33333333334</v>
      </c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</row>
    <row r="14">
      <c r="A14" s="17" t="n">
        <v>11</v>
      </c>
      <c r="B14" s="17" t="inlineStr">
        <is>
          <t>Apr-27</t>
        </is>
      </c>
      <c r="C14" s="18" t="n">
        <v>200000</v>
      </c>
      <c r="D14" s="18" t="n">
        <v>2770662.1366056</v>
      </c>
      <c r="E14" s="18" t="n"/>
      <c r="F14" s="18" t="n">
        <v>40000</v>
      </c>
      <c r="G14" s="18" t="n">
        <v>435286.3336486102</v>
      </c>
      <c r="H14" s="18" t="n"/>
      <c r="I14" s="18" t="n"/>
      <c r="J14" s="18" t="n">
        <v>5813496.293308706</v>
      </c>
      <c r="K14" s="18" t="n"/>
      <c r="L14" s="18" t="n">
        <v>50000</v>
      </c>
      <c r="M14" s="18" t="n">
        <v>429312.5047825379</v>
      </c>
      <c r="N14" s="18" t="n"/>
      <c r="O14" s="18" t="n">
        <v>50000</v>
      </c>
      <c r="P14" s="18" t="n">
        <v>262258.7014467593</v>
      </c>
      <c r="Q14" s="18" t="n"/>
      <c r="R14" s="18" t="n">
        <v>50000</v>
      </c>
      <c r="S14" s="18" t="n">
        <v>102513.8888888889</v>
      </c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</row>
    <row r="15">
      <c r="A15" s="22" t="n">
        <v>12</v>
      </c>
      <c r="B15" s="22" t="inlineStr">
        <is>
          <t>May-27</t>
        </is>
      </c>
      <c r="C15" s="23" t="n">
        <v>200000</v>
      </c>
      <c r="D15" s="23" t="n">
        <v>3006540.259503131</v>
      </c>
      <c r="E15" s="34" t="n">
        <v>13632.91271256209</v>
      </c>
      <c r="F15" s="23" t="n">
        <v>40000</v>
      </c>
      <c r="G15" s="23" t="n">
        <v>483207.7725427537</v>
      </c>
      <c r="H15" s="23" t="n"/>
      <c r="I15" s="23" t="n"/>
      <c r="J15" s="23" t="n">
        <v>5910387.898197184</v>
      </c>
      <c r="K15" s="23" t="n"/>
      <c r="L15" s="23" t="n">
        <v>50000</v>
      </c>
      <c r="M15" s="23" t="n">
        <v>485188.115141734</v>
      </c>
      <c r="N15" s="34" t="n">
        <v>2112.931387179543</v>
      </c>
      <c r="O15" s="23" t="n">
        <v>50000</v>
      </c>
      <c r="P15" s="23" t="n">
        <v>316171.7326571181</v>
      </c>
      <c r="Q15" s="34" t="n">
        <v>1291.280480420525</v>
      </c>
      <c r="R15" s="23" t="n">
        <v>50000</v>
      </c>
      <c r="S15" s="23" t="n">
        <v>154550.2083333333</v>
      </c>
      <c r="T15" s="34" t="n">
        <v>505.5787037037051</v>
      </c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</row>
    <row r="16">
      <c r="A16" s="17" t="n">
        <v>13</v>
      </c>
      <c r="B16" s="17" t="inlineStr">
        <is>
          <t>Jun-27</t>
        </is>
      </c>
      <c r="C16" s="18" t="n">
        <v>200000</v>
      </c>
      <c r="D16" s="18" t="n">
        <v>3259982.597161517</v>
      </c>
      <c r="E16" s="18" t="n"/>
      <c r="F16" s="18" t="n">
        <v>40000</v>
      </c>
      <c r="G16" s="18" t="n">
        <v>529550.1610879583</v>
      </c>
      <c r="H16" s="34" t="n">
        <v>2377.740997174586</v>
      </c>
      <c r="I16" s="18" t="n"/>
      <c r="J16" s="18" t="n">
        <v>5979824.234388986</v>
      </c>
      <c r="K16" s="34" t="n">
        <v>29070.12877815254</v>
      </c>
      <c r="L16" s="18" t="n">
        <v>50000</v>
      </c>
      <c r="M16" s="18" t="n">
        <v>544107.9170607629</v>
      </c>
      <c r="N16" s="18" t="n"/>
      <c r="O16" s="18" t="n">
        <v>50000</v>
      </c>
      <c r="P16" s="18" t="n">
        <v>372274.5948680701</v>
      </c>
      <c r="Q16" s="18" t="n"/>
      <c r="R16" s="18" t="n">
        <v>50000</v>
      </c>
      <c r="S16" s="18" t="n">
        <v>207959.3784722222</v>
      </c>
      <c r="T16" s="18" t="n"/>
      <c r="U16" s="18" t="n">
        <v>50000</v>
      </c>
      <c r="V16" s="18" t="n">
        <v>50833.33333333334</v>
      </c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</row>
    <row r="17">
      <c r="A17" s="22" t="n">
        <v>14</v>
      </c>
      <c r="B17" s="22" t="inlineStr">
        <is>
          <t>Jul-27</t>
        </is>
      </c>
      <c r="C17" s="23" t="n">
        <v>200000</v>
      </c>
      <c r="D17" s="23" t="n">
        <v>3517648.973780876</v>
      </c>
      <c r="E17" s="23" t="n"/>
      <c r="F17" s="23" t="n">
        <v>40000</v>
      </c>
      <c r="G17" s="23" t="n">
        <v>579042.6637727575</v>
      </c>
      <c r="H17" s="23" t="n"/>
      <c r="I17" s="23" t="n"/>
      <c r="J17" s="23" t="n">
        <v>6079487.971628802</v>
      </c>
      <c r="K17" s="23" t="n"/>
      <c r="L17" s="23" t="n">
        <v>50000</v>
      </c>
      <c r="M17" s="23" t="n">
        <v>604009.7156784423</v>
      </c>
      <c r="N17" s="23" t="n"/>
      <c r="O17" s="23" t="n">
        <v>50000</v>
      </c>
      <c r="P17" s="23" t="n">
        <v>429312.5047825379</v>
      </c>
      <c r="Q17" s="23" t="n"/>
      <c r="R17" s="23" t="n">
        <v>50000</v>
      </c>
      <c r="S17" s="23" t="n">
        <v>262258.7014467593</v>
      </c>
      <c r="T17" s="23" t="n"/>
      <c r="U17" s="23" t="n">
        <v>50000</v>
      </c>
      <c r="V17" s="23" t="n">
        <v>102513.8888888889</v>
      </c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</row>
    <row r="18">
      <c r="A18" s="17" t="n">
        <v>15</v>
      </c>
      <c r="B18" s="17" t="inlineStr">
        <is>
          <t>Aug-27</t>
        </is>
      </c>
      <c r="C18" s="18" t="n">
        <v>200000</v>
      </c>
      <c r="D18" s="18" t="n">
        <v>3762302.836959815</v>
      </c>
      <c r="E18" s="34" t="n">
        <v>17306.95305074258</v>
      </c>
      <c r="F18" s="18" t="n">
        <v>40000</v>
      </c>
      <c r="G18" s="18" t="n">
        <v>629360.0415023034</v>
      </c>
      <c r="H18" s="18" t="n"/>
      <c r="I18" s="18" t="n"/>
      <c r="J18" s="18" t="n">
        <v>6180812.771155949</v>
      </c>
      <c r="K18" s="18" t="n"/>
      <c r="L18" s="18" t="n">
        <v>50000</v>
      </c>
      <c r="M18" s="18" t="n">
        <v>661937.7013599481</v>
      </c>
      <c r="N18" s="34" t="n">
        <v>2972.176246468234</v>
      </c>
      <c r="O18" s="18" t="n">
        <v>50000</v>
      </c>
      <c r="P18" s="18" t="n">
        <v>485188.115141734</v>
      </c>
      <c r="Q18" s="34" t="n">
        <v>2112.931387179543</v>
      </c>
      <c r="R18" s="18" t="n">
        <v>50000</v>
      </c>
      <c r="S18" s="18" t="n">
        <v>316171.7326571181</v>
      </c>
      <c r="T18" s="34" t="n">
        <v>1291.280480420525</v>
      </c>
      <c r="U18" s="18" t="n">
        <v>50000</v>
      </c>
      <c r="V18" s="18" t="n">
        <v>154550.2083333333</v>
      </c>
      <c r="W18" s="34" t="n">
        <v>505.5787037037051</v>
      </c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</row>
    <row r="19">
      <c r="A19" s="22" t="n">
        <v>16</v>
      </c>
      <c r="B19" s="22" t="inlineStr">
        <is>
          <t>Sep-27</t>
        </is>
      </c>
      <c r="C19" s="23" t="n">
        <v>200000</v>
      </c>
      <c r="D19" s="23" t="n">
        <v>4028341.217575812</v>
      </c>
      <c r="E19" s="23" t="n"/>
      <c r="F19" s="23" t="n">
        <v>40000</v>
      </c>
      <c r="G19" s="23" t="n">
        <v>677419.4540834035</v>
      </c>
      <c r="H19" s="34" t="n">
        <v>3096.588110605022</v>
      </c>
      <c r="I19" s="23" t="n"/>
      <c r="J19" s="23" t="n">
        <v>6253426.109046591</v>
      </c>
      <c r="K19" s="34" t="n">
        <v>30400.20829528952</v>
      </c>
      <c r="L19" s="23" t="n">
        <v>50000</v>
      </c>
      <c r="M19" s="23" t="n">
        <v>723803.3297159473</v>
      </c>
      <c r="N19" s="23" t="n"/>
      <c r="O19" s="23" t="n">
        <v>50000</v>
      </c>
      <c r="P19" s="23" t="n">
        <v>544107.9170607629</v>
      </c>
      <c r="Q19" s="23" t="n"/>
      <c r="R19" s="23" t="n">
        <v>50000</v>
      </c>
      <c r="S19" s="23" t="n">
        <v>372274.5948680701</v>
      </c>
      <c r="T19" s="23" t="n"/>
      <c r="U19" s="23" t="n">
        <v>50000</v>
      </c>
      <c r="V19" s="23" t="n">
        <v>207959.3784722222</v>
      </c>
      <c r="W19" s="23" t="n"/>
      <c r="X19" s="23" t="n">
        <v>50000</v>
      </c>
      <c r="Y19" s="23" t="n">
        <v>50833.33333333334</v>
      </c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</row>
    <row r="20">
      <c r="A20" s="17" t="n">
        <v>17</v>
      </c>
      <c r="B20" s="17" t="inlineStr">
        <is>
          <t>Oct-27</t>
        </is>
      </c>
      <c r="C20" s="18" t="n">
        <v>200000</v>
      </c>
      <c r="D20" s="18" t="n">
        <v>4298813.571202075</v>
      </c>
      <c r="E20" s="18" t="n"/>
      <c r="F20" s="18" t="n">
        <v>40000</v>
      </c>
      <c r="G20" s="18" t="n">
        <v>729376.4449847935</v>
      </c>
      <c r="H20" s="18" t="n"/>
      <c r="I20" s="18" t="n"/>
      <c r="J20" s="18" t="n">
        <v>6357649.877530701</v>
      </c>
      <c r="K20" s="18" t="n"/>
      <c r="L20" s="18" t="n">
        <v>50000</v>
      </c>
      <c r="M20" s="18" t="n">
        <v>786700.0518778798</v>
      </c>
      <c r="N20" s="18" t="n"/>
      <c r="O20" s="18" t="n">
        <v>50000</v>
      </c>
      <c r="P20" s="18" t="n">
        <v>604009.7156784423</v>
      </c>
      <c r="Q20" s="18" t="n"/>
      <c r="R20" s="18" t="n">
        <v>50000</v>
      </c>
      <c r="S20" s="18" t="n">
        <v>429312.5047825379</v>
      </c>
      <c r="T20" s="18" t="n"/>
      <c r="U20" s="18" t="n">
        <v>50000</v>
      </c>
      <c r="V20" s="18" t="n">
        <v>262258.7014467593</v>
      </c>
      <c r="W20" s="18" t="n"/>
      <c r="X20" s="18" t="n">
        <v>50000</v>
      </c>
      <c r="Y20" s="18" t="n">
        <v>102513.8888888889</v>
      </c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</row>
    <row r="21">
      <c r="A21" s="22" t="n">
        <v>18</v>
      </c>
      <c r="B21" s="22" t="inlineStr">
        <is>
          <t>Nov-27</t>
        </is>
      </c>
      <c r="C21" s="23" t="n">
        <v>200000</v>
      </c>
      <c r="D21" s="23" t="n">
        <v>4552644.70134588</v>
      </c>
      <c r="E21" s="34" t="n">
        <v>21149.09604289616</v>
      </c>
      <c r="F21" s="23" t="n">
        <v>40000</v>
      </c>
      <c r="G21" s="23" t="n">
        <v>782199.3857345401</v>
      </c>
      <c r="H21" s="23" t="n"/>
      <c r="I21" s="23" t="n"/>
      <c r="J21" s="23" t="n">
        <v>6463610.70882288</v>
      </c>
      <c r="K21" s="23" t="n"/>
      <c r="L21" s="23" t="n">
        <v>50000</v>
      </c>
      <c r="M21" s="23" t="n">
        <v>846774.3176042548</v>
      </c>
      <c r="N21" s="34" t="n">
        <v>3870.735138256301</v>
      </c>
      <c r="O21" s="23" t="n">
        <v>50000</v>
      </c>
      <c r="P21" s="23" t="n">
        <v>661937.7013599481</v>
      </c>
      <c r="Q21" s="34" t="n">
        <v>2972.176246468234</v>
      </c>
      <c r="R21" s="23" t="n">
        <v>50000</v>
      </c>
      <c r="S21" s="23" t="n">
        <v>485188.115141734</v>
      </c>
      <c r="T21" s="34" t="n">
        <v>2112.931387179543</v>
      </c>
      <c r="U21" s="23" t="n">
        <v>50000</v>
      </c>
      <c r="V21" s="23" t="n">
        <v>316171.7326571181</v>
      </c>
      <c r="W21" s="34" t="n">
        <v>1291.280480420525</v>
      </c>
      <c r="X21" s="23" t="n">
        <v>50000</v>
      </c>
      <c r="Y21" s="23" t="n">
        <v>154550.2083333333</v>
      </c>
      <c r="Z21" s="34" t="n">
        <v>505.5787037037051</v>
      </c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</row>
    <row r="22">
      <c r="A22" s="17" t="n">
        <v>19</v>
      </c>
      <c r="B22" s="17" t="inlineStr">
        <is>
          <t>Dec-27</t>
        </is>
      </c>
      <c r="C22" s="18" t="n">
        <v>200000</v>
      </c>
      <c r="D22" s="18" t="n">
        <v>4831855.446368311</v>
      </c>
      <c r="E22" s="18" t="n"/>
      <c r="F22" s="18" t="n">
        <v>40000</v>
      </c>
      <c r="G22" s="18" t="n">
        <v>832054.3833554445</v>
      </c>
      <c r="H22" s="34" t="n">
        <v>3848.325474671228</v>
      </c>
      <c r="I22" s="18" t="n"/>
      <c r="J22" s="18" t="n">
        <v>6539546.409477594</v>
      </c>
      <c r="K22" s="34" t="n">
        <v>31791.14449233366</v>
      </c>
      <c r="L22" s="18" t="n">
        <v>50000</v>
      </c>
      <c r="M22" s="18" t="n">
        <v>911720.5562309924</v>
      </c>
      <c r="N22" s="18" t="n"/>
      <c r="O22" s="18" t="n">
        <v>50000</v>
      </c>
      <c r="P22" s="18" t="n">
        <v>723803.3297159473</v>
      </c>
      <c r="Q22" s="18" t="n"/>
      <c r="R22" s="18" t="n">
        <v>50000</v>
      </c>
      <c r="S22" s="18" t="n">
        <v>544107.9170607629</v>
      </c>
      <c r="T22" s="18" t="n"/>
      <c r="U22" s="18" t="n">
        <v>50000</v>
      </c>
      <c r="V22" s="18" t="n">
        <v>372274.5948680701</v>
      </c>
      <c r="W22" s="18" t="n"/>
      <c r="X22" s="18" t="n">
        <v>50000</v>
      </c>
      <c r="Y22" s="18" t="n">
        <v>207959.3784722222</v>
      </c>
      <c r="Z22" s="18" t="n"/>
      <c r="AA22" s="18" t="n">
        <v>50000</v>
      </c>
      <c r="AB22" s="18" t="n">
        <v>50833.33333333334</v>
      </c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</row>
    <row r="23">
      <c r="A23" s="22" t="n">
        <v>20</v>
      </c>
      <c r="B23" s="22" t="inlineStr">
        <is>
          <t>Jan-28</t>
        </is>
      </c>
      <c r="C23" s="23" t="n">
        <v>200000</v>
      </c>
      <c r="D23" s="23" t="n">
        <v>5115719.703807782</v>
      </c>
      <c r="E23" s="23" t="n"/>
      <c r="F23" s="23" t="n">
        <v>40000</v>
      </c>
      <c r="G23" s="23" t="n">
        <v>886588.6230780353</v>
      </c>
      <c r="H23" s="23" t="n"/>
      <c r="I23" s="23" t="n"/>
      <c r="J23" s="23" t="n">
        <v>6648538.849635554</v>
      </c>
      <c r="K23" s="23" t="n"/>
      <c r="L23" s="23" t="n">
        <v>50000</v>
      </c>
      <c r="M23" s="23" t="n">
        <v>977749.2321681756</v>
      </c>
      <c r="N23" s="23" t="n"/>
      <c r="O23" s="23" t="n">
        <v>50000</v>
      </c>
      <c r="P23" s="23" t="n">
        <v>786700.0518778798</v>
      </c>
      <c r="Q23" s="23" t="n"/>
      <c r="R23" s="23" t="n">
        <v>50000</v>
      </c>
      <c r="S23" s="23" t="n">
        <v>604009.7156784423</v>
      </c>
      <c r="T23" s="23" t="n"/>
      <c r="U23" s="23" t="n">
        <v>50000</v>
      </c>
      <c r="V23" s="23" t="n">
        <v>429312.5047825379</v>
      </c>
      <c r="W23" s="23" t="n"/>
      <c r="X23" s="23" t="n">
        <v>50000</v>
      </c>
      <c r="Y23" s="23" t="n">
        <v>262258.7014467593</v>
      </c>
      <c r="Z23" s="23" t="n"/>
      <c r="AA23" s="23" t="n">
        <v>50000</v>
      </c>
      <c r="AB23" s="23" t="n">
        <v>102513.8888888889</v>
      </c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</row>
    <row r="24">
      <c r="A24" s="17" t="n">
        <v>21</v>
      </c>
      <c r="B24" s="17" t="inlineStr">
        <is>
          <t>Feb-28</t>
        </is>
      </c>
      <c r="C24" s="18" t="n">
        <v>200000</v>
      </c>
      <c r="D24" s="18" t="n">
        <v>5379147.999118709</v>
      </c>
      <c r="E24" s="34" t="n">
        <v>25167.03308586991</v>
      </c>
      <c r="F24" s="18" t="n">
        <v>40000</v>
      </c>
      <c r="G24" s="18" t="n">
        <v>942031.7667960025</v>
      </c>
      <c r="H24" s="18" t="n"/>
      <c r="I24" s="18" t="n"/>
      <c r="J24" s="18" t="n">
        <v>6759347.830462813</v>
      </c>
      <c r="K24" s="18" t="n"/>
      <c r="L24" s="18" t="n">
        <v>50000</v>
      </c>
      <c r="M24" s="18" t="n">
        <v>1040067.979194306</v>
      </c>
      <c r="N24" s="34" t="n">
        <v>4810.406843339035</v>
      </c>
      <c r="O24" s="18" t="n">
        <v>50000</v>
      </c>
      <c r="P24" s="18" t="n">
        <v>846774.3176042548</v>
      </c>
      <c r="Q24" s="34" t="n">
        <v>3870.735138256301</v>
      </c>
      <c r="R24" s="18" t="n">
        <v>50000</v>
      </c>
      <c r="S24" s="18" t="n">
        <v>661937.7013599481</v>
      </c>
      <c r="T24" s="34" t="n">
        <v>2972.176246468234</v>
      </c>
      <c r="U24" s="18" t="n">
        <v>50000</v>
      </c>
      <c r="V24" s="18" t="n">
        <v>485188.115141734</v>
      </c>
      <c r="W24" s="34" t="n">
        <v>2112.931387179543</v>
      </c>
      <c r="X24" s="18" t="n">
        <v>50000</v>
      </c>
      <c r="Y24" s="18" t="n">
        <v>316171.7326571181</v>
      </c>
      <c r="Z24" s="34" t="n">
        <v>1291.280480420525</v>
      </c>
      <c r="AA24" s="18" t="n">
        <v>50000</v>
      </c>
      <c r="AB24" s="18" t="n">
        <v>154550.2083333333</v>
      </c>
      <c r="AC24" s="34" t="n">
        <v>505.5787037037051</v>
      </c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</row>
    <row r="25">
      <c r="A25" s="22" t="n">
        <v>22</v>
      </c>
      <c r="B25" s="22" t="inlineStr">
        <is>
          <t>Mar-28</t>
        </is>
      </c>
      <c r="C25" s="23" t="n">
        <v>200000</v>
      </c>
      <c r="D25" s="23" t="n">
        <v>5672133.799104021</v>
      </c>
      <c r="E25" s="23" t="n"/>
      <c r="F25" s="23" t="n">
        <v>40000</v>
      </c>
      <c r="G25" s="23" t="n">
        <v>993764.5049538868</v>
      </c>
      <c r="H25" s="34" t="n">
        <v>4634.457955382473</v>
      </c>
      <c r="I25" s="23" t="n"/>
      <c r="J25" s="23" t="n">
        <v>6838757.905821234</v>
      </c>
      <c r="K25" s="34" t="n">
        <v>33245.72181595992</v>
      </c>
      <c r="L25" s="23" t="n">
        <v>50000</v>
      </c>
      <c r="M25" s="23" t="n">
        <v>1108235.778847544</v>
      </c>
      <c r="N25" s="23" t="n"/>
      <c r="O25" s="23" t="n">
        <v>50000</v>
      </c>
      <c r="P25" s="23" t="n">
        <v>911720.5562309924</v>
      </c>
      <c r="Q25" s="23" t="n"/>
      <c r="R25" s="23" t="n">
        <v>50000</v>
      </c>
      <c r="S25" s="23" t="n">
        <v>723803.3297159473</v>
      </c>
      <c r="T25" s="23" t="n"/>
      <c r="U25" s="23" t="n">
        <v>50000</v>
      </c>
      <c r="V25" s="23" t="n">
        <v>544107.9170607629</v>
      </c>
      <c r="W25" s="23" t="n"/>
      <c r="X25" s="23" t="n">
        <v>50000</v>
      </c>
      <c r="Y25" s="23" t="n">
        <v>372274.5948680701</v>
      </c>
      <c r="Z25" s="23" t="n"/>
      <c r="AA25" s="23" t="n">
        <v>50000</v>
      </c>
      <c r="AB25" s="23" t="n">
        <v>207959.3784722222</v>
      </c>
      <c r="AC25" s="23" t="n"/>
      <c r="AD25" s="23" t="n">
        <v>50000</v>
      </c>
      <c r="AE25" s="23" t="n">
        <v>50833.33333333334</v>
      </c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</row>
    <row r="26">
      <c r="A26" s="17" t="n">
        <v>23</v>
      </c>
      <c r="B26" s="17" t="inlineStr">
        <is>
          <t>Apr-28</t>
        </is>
      </c>
      <c r="C26" s="18" t="n">
        <v>200000</v>
      </c>
      <c r="D26" s="18" t="n">
        <v>5970002.695755755</v>
      </c>
      <c r="E26" s="18" t="n"/>
      <c r="F26" s="18" t="n">
        <v>40000</v>
      </c>
      <c r="G26" s="18" t="n">
        <v>1050993.913369785</v>
      </c>
      <c r="H26" s="18" t="n"/>
      <c r="I26" s="18" t="n"/>
      <c r="J26" s="18" t="n">
        <v>6952737.204251588</v>
      </c>
      <c r="K26" s="18" t="n"/>
      <c r="L26" s="18" t="n">
        <v>50000</v>
      </c>
      <c r="M26" s="18" t="n">
        <v>1177539.708495004</v>
      </c>
      <c r="N26" s="18" t="n"/>
      <c r="O26" s="18" t="n">
        <v>50000</v>
      </c>
      <c r="P26" s="18" t="n">
        <v>977749.2321681756</v>
      </c>
      <c r="Q26" s="18" t="n"/>
      <c r="R26" s="18" t="n">
        <v>50000</v>
      </c>
      <c r="S26" s="18" t="n">
        <v>786700.0518778798</v>
      </c>
      <c r="T26" s="18" t="n"/>
      <c r="U26" s="18" t="n">
        <v>50000</v>
      </c>
      <c r="V26" s="18" t="n">
        <v>604009.7156784423</v>
      </c>
      <c r="W26" s="18" t="n"/>
      <c r="X26" s="18" t="n">
        <v>50000</v>
      </c>
      <c r="Y26" s="18" t="n">
        <v>429312.5047825379</v>
      </c>
      <c r="Z26" s="18" t="n"/>
      <c r="AA26" s="18" t="n">
        <v>50000</v>
      </c>
      <c r="AB26" s="18" t="n">
        <v>262258.7014467593</v>
      </c>
      <c r="AC26" s="18" t="n"/>
      <c r="AD26" s="18" t="n">
        <v>50000</v>
      </c>
      <c r="AE26" s="18" t="n">
        <v>102513.8888888889</v>
      </c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</row>
    <row r="27">
      <c r="A27" s="22" t="n">
        <v>24</v>
      </c>
      <c r="B27" s="22" t="inlineStr">
        <is>
          <t>May-28</t>
        </is>
      </c>
      <c r="C27" s="23" t="n">
        <v>200000</v>
      </c>
      <c r="D27" s="23" t="n">
        <v>6243467.266528387</v>
      </c>
      <c r="E27" s="34" t="n">
        <v>29368.80748996418</v>
      </c>
      <c r="F27" s="23" t="n">
        <v>40000</v>
      </c>
      <c r="G27" s="23" t="n">
        <v>1109177.145259281</v>
      </c>
      <c r="H27" s="23" t="n"/>
      <c r="I27" s="23" t="n"/>
      <c r="J27" s="23" t="n">
        <v>7068616.157655781</v>
      </c>
      <c r="K27" s="23" t="n"/>
      <c r="L27" s="23" t="n">
        <v>50000</v>
      </c>
      <c r="M27" s="23" t="n">
        <v>1242205.631192359</v>
      </c>
      <c r="N27" s="34" t="n">
        <v>5793.072444228106</v>
      </c>
      <c r="O27" s="23" t="n">
        <v>50000</v>
      </c>
      <c r="P27" s="23" t="n">
        <v>1040067.979194306</v>
      </c>
      <c r="Q27" s="34" t="n">
        <v>4810.406843339035</v>
      </c>
      <c r="R27" s="23" t="n">
        <v>50000</v>
      </c>
      <c r="S27" s="23" t="n">
        <v>846774.3176042548</v>
      </c>
      <c r="T27" s="34" t="n">
        <v>3870.735138256301</v>
      </c>
      <c r="U27" s="23" t="n">
        <v>50000</v>
      </c>
      <c r="V27" s="23" t="n">
        <v>661937.7013599481</v>
      </c>
      <c r="W27" s="34" t="n">
        <v>2972.176246468234</v>
      </c>
      <c r="X27" s="23" t="n">
        <v>50000</v>
      </c>
      <c r="Y27" s="23" t="n">
        <v>485188.115141734</v>
      </c>
      <c r="Z27" s="34" t="n">
        <v>2112.931387179543</v>
      </c>
      <c r="AA27" s="23" t="n">
        <v>50000</v>
      </c>
      <c r="AB27" s="23" t="n">
        <v>316171.7326571181</v>
      </c>
      <c r="AC27" s="34" t="n">
        <v>1291.280480420525</v>
      </c>
      <c r="AD27" s="23" t="n">
        <v>50000</v>
      </c>
      <c r="AE27" s="23" t="n">
        <v>154550.2083333333</v>
      </c>
      <c r="AF27" s="34" t="n">
        <v>505.5787037037051</v>
      </c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</row>
    <row r="28">
      <c r="A28" s="17" t="n">
        <v>25</v>
      </c>
      <c r="B28" s="17" t="inlineStr">
        <is>
          <t>Jun-28</t>
        </is>
      </c>
      <c r="C28" s="18" t="n">
        <v>200000</v>
      </c>
      <c r="D28" s="18" t="n">
        <v>6550858.387637193</v>
      </c>
      <c r="E28" s="18" t="n"/>
      <c r="F28" s="18" t="n">
        <v>40000</v>
      </c>
      <c r="G28" s="18" t="n">
        <v>1162873.538407631</v>
      </c>
      <c r="H28" s="34" t="n">
        <v>5456.559272638267</v>
      </c>
      <c r="I28" s="18" t="n"/>
      <c r="J28" s="18" t="n">
        <v>7151659.574837163</v>
      </c>
      <c r="K28" s="34" t="n">
        <v>34766.852112881</v>
      </c>
      <c r="L28" s="18" t="n">
        <v>50000</v>
      </c>
      <c r="M28" s="18" t="n">
        <v>1313742.391712232</v>
      </c>
      <c r="N28" s="18" t="n"/>
      <c r="O28" s="18" t="n">
        <v>50000</v>
      </c>
      <c r="P28" s="18" t="n">
        <v>1108235.778847544</v>
      </c>
      <c r="Q28" s="18" t="n"/>
      <c r="R28" s="18" t="n">
        <v>50000</v>
      </c>
      <c r="S28" s="18" t="n">
        <v>911720.5562309924</v>
      </c>
      <c r="T28" s="18" t="n"/>
      <c r="U28" s="18" t="n">
        <v>50000</v>
      </c>
      <c r="V28" s="18" t="n">
        <v>723803.3297159473</v>
      </c>
      <c r="W28" s="18" t="n"/>
      <c r="X28" s="18" t="n">
        <v>50000</v>
      </c>
      <c r="Y28" s="18" t="n">
        <v>544107.9170607629</v>
      </c>
      <c r="Z28" s="18" t="n"/>
      <c r="AA28" s="18" t="n">
        <v>50000</v>
      </c>
      <c r="AB28" s="18" t="n">
        <v>372274.5948680701</v>
      </c>
      <c r="AC28" s="18" t="n"/>
      <c r="AD28" s="18" t="n">
        <v>50000</v>
      </c>
      <c r="AE28" s="18" t="n">
        <v>207959.3784722222</v>
      </c>
      <c r="AF28" s="18" t="n"/>
      <c r="AG28" s="18" t="n">
        <v>50000</v>
      </c>
      <c r="AH28" s="18" t="n">
        <v>50833.33333333334</v>
      </c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</row>
    <row r="29">
      <c r="A29" s="22" t="n">
        <v>26</v>
      </c>
      <c r="B29" s="22" t="inlineStr">
        <is>
          <t>Jul-28</t>
        </is>
      </c>
      <c r="C29" s="23" t="n">
        <v>200000</v>
      </c>
      <c r="D29" s="23" t="n">
        <v>6863372.694097813</v>
      </c>
      <c r="E29" s="23" t="n"/>
      <c r="F29" s="23" t="n">
        <v>40000</v>
      </c>
      <c r="G29" s="23" t="n">
        <v>1222921.430714425</v>
      </c>
      <c r="H29" s="23" t="n"/>
      <c r="I29" s="23" t="n"/>
      <c r="J29" s="23" t="n">
        <v>7270853.901084449</v>
      </c>
      <c r="K29" s="23" t="n"/>
      <c r="L29" s="23" t="n">
        <v>50000</v>
      </c>
      <c r="M29" s="23" t="n">
        <v>1386471.431574102</v>
      </c>
      <c r="N29" s="23" t="n"/>
      <c r="O29" s="23" t="n">
        <v>50000</v>
      </c>
      <c r="P29" s="23" t="n">
        <v>1177539.708495004</v>
      </c>
      <c r="Q29" s="23" t="n"/>
      <c r="R29" s="23" t="n">
        <v>50000</v>
      </c>
      <c r="S29" s="23" t="n">
        <v>977749.2321681756</v>
      </c>
      <c r="T29" s="23" t="n"/>
      <c r="U29" s="23" t="n">
        <v>50000</v>
      </c>
      <c r="V29" s="23" t="n">
        <v>786700.0518778798</v>
      </c>
      <c r="W29" s="23" t="n"/>
      <c r="X29" s="23" t="n">
        <v>50000</v>
      </c>
      <c r="Y29" s="23" t="n">
        <v>604009.7156784423</v>
      </c>
      <c r="Z29" s="23" t="n"/>
      <c r="AA29" s="23" t="n">
        <v>50000</v>
      </c>
      <c r="AB29" s="23" t="n">
        <v>429312.5047825379</v>
      </c>
      <c r="AC29" s="23" t="n"/>
      <c r="AD29" s="23" t="n">
        <v>50000</v>
      </c>
      <c r="AE29" s="23" t="n">
        <v>262258.7014467593</v>
      </c>
      <c r="AF29" s="23" t="n"/>
      <c r="AG29" s="23" t="n">
        <v>50000</v>
      </c>
      <c r="AH29" s="23" t="n">
        <v>102513.8888888889</v>
      </c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</row>
    <row r="30">
      <c r="A30" s="17" t="n">
        <v>27</v>
      </c>
      <c r="B30" s="17" t="inlineStr">
        <is>
          <t>Aug-28</t>
        </is>
      </c>
      <c r="C30" s="18" t="n">
        <v>200000</v>
      </c>
      <c r="D30" s="18" t="n">
        <v>7147332.741752338</v>
      </c>
      <c r="E30" s="34" t="n">
        <v>33762.83058043905</v>
      </c>
      <c r="F30" s="18" t="n">
        <v>40000</v>
      </c>
      <c r="G30" s="18" t="n">
        <v>1283970.121226332</v>
      </c>
      <c r="H30" s="18" t="n"/>
      <c r="I30" s="18" t="n"/>
      <c r="J30" s="18" t="n">
        <v>7392034.799435857</v>
      </c>
      <c r="K30" s="18" t="n"/>
      <c r="L30" s="18" t="n">
        <v>50000</v>
      </c>
      <c r="M30" s="18" t="n">
        <v>1453591.923009539</v>
      </c>
      <c r="N30" s="34" t="n">
        <v>6820.699090797827</v>
      </c>
      <c r="O30" s="18" t="n">
        <v>50000</v>
      </c>
      <c r="P30" s="18" t="n">
        <v>1242205.631192359</v>
      </c>
      <c r="Q30" s="34" t="n">
        <v>5793.072444228106</v>
      </c>
      <c r="R30" s="18" t="n">
        <v>50000</v>
      </c>
      <c r="S30" s="18" t="n">
        <v>1040067.979194306</v>
      </c>
      <c r="T30" s="34" t="n">
        <v>4810.406843339035</v>
      </c>
      <c r="U30" s="18" t="n">
        <v>50000</v>
      </c>
      <c r="V30" s="18" t="n">
        <v>846774.3176042548</v>
      </c>
      <c r="W30" s="34" t="n">
        <v>3870.735138256301</v>
      </c>
      <c r="X30" s="18" t="n">
        <v>50000</v>
      </c>
      <c r="Y30" s="18" t="n">
        <v>661937.7013599481</v>
      </c>
      <c r="Z30" s="34" t="n">
        <v>2972.176246468234</v>
      </c>
      <c r="AA30" s="18" t="n">
        <v>50000</v>
      </c>
      <c r="AB30" s="18" t="n">
        <v>485188.115141734</v>
      </c>
      <c r="AC30" s="34" t="n">
        <v>2112.931387179543</v>
      </c>
      <c r="AD30" s="18" t="n">
        <v>50000</v>
      </c>
      <c r="AE30" s="18" t="n">
        <v>316171.7326571181</v>
      </c>
      <c r="AF30" s="34" t="n">
        <v>1291.280480420525</v>
      </c>
      <c r="AG30" s="18" t="n">
        <v>50000</v>
      </c>
      <c r="AH30" s="18" t="n">
        <v>154550.2083333333</v>
      </c>
      <c r="AI30" s="34" t="n">
        <v>505.5787037037051</v>
      </c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</row>
    <row r="31">
      <c r="A31" s="22" t="n">
        <v>28</v>
      </c>
      <c r="B31" s="22" t="inlineStr">
        <is>
          <t>Sep-28</t>
        </is>
      </c>
      <c r="C31" s="23" t="n">
        <v>200000</v>
      </c>
      <c r="D31" s="23" t="n">
        <v>7469788.28744821</v>
      </c>
      <c r="E31" s="23" t="n"/>
      <c r="F31" s="23" t="n">
        <v>40000</v>
      </c>
      <c r="G31" s="23" t="n">
        <v>1339720.014762857</v>
      </c>
      <c r="H31" s="34" t="n">
        <v>6316.275150580658</v>
      </c>
      <c r="I31" s="23" t="n"/>
      <c r="J31" s="23" t="n">
        <v>7478877.798967525</v>
      </c>
      <c r="K31" s="34" t="n">
        <v>36357.58045892911</v>
      </c>
      <c r="L31" s="23" t="n">
        <v>50000</v>
      </c>
      <c r="M31" s="23" t="n">
        <v>1528651.788393032</v>
      </c>
      <c r="N31" s="23" t="n"/>
      <c r="O31" s="23" t="n">
        <v>50000</v>
      </c>
      <c r="P31" s="23" t="n">
        <v>1313742.391712232</v>
      </c>
      <c r="Q31" s="23" t="n"/>
      <c r="R31" s="23" t="n">
        <v>50000</v>
      </c>
      <c r="S31" s="23" t="n">
        <v>1108235.778847544</v>
      </c>
      <c r="T31" s="23" t="n"/>
      <c r="U31" s="23" t="n">
        <v>50000</v>
      </c>
      <c r="V31" s="23" t="n">
        <v>911720.5562309924</v>
      </c>
      <c r="W31" s="23" t="n"/>
      <c r="X31" s="23" t="n">
        <v>50000</v>
      </c>
      <c r="Y31" s="23" t="n">
        <v>723803.3297159473</v>
      </c>
      <c r="Z31" s="23" t="n"/>
      <c r="AA31" s="23" t="n">
        <v>50000</v>
      </c>
      <c r="AB31" s="23" t="n">
        <v>544107.9170607629</v>
      </c>
      <c r="AC31" s="23" t="n"/>
      <c r="AD31" s="23" t="n">
        <v>50000</v>
      </c>
      <c r="AE31" s="23" t="n">
        <v>372274.5948680701</v>
      </c>
      <c r="AF31" s="23" t="n"/>
      <c r="AG31" s="23" t="n">
        <v>50000</v>
      </c>
      <c r="AH31" s="23" t="n">
        <v>207959.3784722222</v>
      </c>
      <c r="AI31" s="23" t="n"/>
      <c r="AJ31" s="23" t="n">
        <v>50000</v>
      </c>
      <c r="AK31" s="23" t="n">
        <v>50833.33333333334</v>
      </c>
      <c r="AL31" s="23" t="n"/>
      <c r="AM31" s="23" t="n"/>
      <c r="AN31" s="23" t="n"/>
      <c r="AO31" s="23" t="n"/>
      <c r="AP31" s="23" t="n"/>
      <c r="AQ31" s="23" t="n"/>
      <c r="AR31" s="23" t="n"/>
    </row>
    <row r="32">
      <c r="A32" s="17" t="n">
        <v>29</v>
      </c>
      <c r="B32" s="17" t="inlineStr">
        <is>
          <t>Oct-28</t>
        </is>
      </c>
      <c r="C32" s="18" t="n">
        <v>200000</v>
      </c>
      <c r="D32" s="18" t="n">
        <v>7797618.092239013</v>
      </c>
      <c r="E32" s="18" t="n"/>
      <c r="F32" s="18" t="n">
        <v>40000</v>
      </c>
      <c r="G32" s="18" t="n">
        <v>1402715.348342238</v>
      </c>
      <c r="H32" s="18" t="n"/>
      <c r="I32" s="18" t="n"/>
      <c r="J32" s="18" t="n">
        <v>7603525.762283651</v>
      </c>
      <c r="K32" s="18" t="n"/>
      <c r="L32" s="18" t="n">
        <v>50000</v>
      </c>
      <c r="M32" s="18" t="n">
        <v>1604962.651532916</v>
      </c>
      <c r="N32" s="18" t="n"/>
      <c r="O32" s="18" t="n">
        <v>50000</v>
      </c>
      <c r="P32" s="18" t="n">
        <v>1386471.431574102</v>
      </c>
      <c r="Q32" s="18" t="n"/>
      <c r="R32" s="18" t="n">
        <v>50000</v>
      </c>
      <c r="S32" s="18" t="n">
        <v>1177539.708495004</v>
      </c>
      <c r="T32" s="18" t="n"/>
      <c r="U32" s="18" t="n">
        <v>50000</v>
      </c>
      <c r="V32" s="18" t="n">
        <v>977749.2321681756</v>
      </c>
      <c r="W32" s="18" t="n"/>
      <c r="X32" s="18" t="n">
        <v>50000</v>
      </c>
      <c r="Y32" s="18" t="n">
        <v>786700.0518778798</v>
      </c>
      <c r="Z32" s="18" t="n"/>
      <c r="AA32" s="18" t="n">
        <v>50000</v>
      </c>
      <c r="AB32" s="18" t="n">
        <v>604009.7156784423</v>
      </c>
      <c r="AC32" s="18" t="n"/>
      <c r="AD32" s="18" t="n">
        <v>50000</v>
      </c>
      <c r="AE32" s="18" t="n">
        <v>429312.5047825379</v>
      </c>
      <c r="AF32" s="18" t="n"/>
      <c r="AG32" s="18" t="n">
        <v>50000</v>
      </c>
      <c r="AH32" s="18" t="n">
        <v>262258.7014467593</v>
      </c>
      <c r="AI32" s="18" t="n"/>
      <c r="AJ32" s="18" t="n">
        <v>50000</v>
      </c>
      <c r="AK32" s="18" t="n">
        <v>102513.8888888889</v>
      </c>
      <c r="AL32" s="18" t="n"/>
      <c r="AM32" s="18" t="n"/>
      <c r="AN32" s="18" t="n"/>
      <c r="AO32" s="18" t="n"/>
      <c r="AP32" s="18" t="n"/>
      <c r="AQ32" s="18" t="n"/>
      <c r="AR32" s="18" t="n"/>
    </row>
    <row r="33">
      <c r="A33" s="22" t="n">
        <v>30</v>
      </c>
      <c r="B33" s="22" t="inlineStr">
        <is>
          <t>Nov-28</t>
        </is>
      </c>
      <c r="C33" s="23" t="n">
        <v>200000</v>
      </c>
      <c r="D33" s="23" t="n">
        <v>8092553.828573931</v>
      </c>
      <c r="E33" s="34" t="n">
        <v>38357.89853573255</v>
      </c>
      <c r="F33" s="23" t="n">
        <v>40000</v>
      </c>
      <c r="G33" s="23" t="n">
        <v>1466760.604147942</v>
      </c>
      <c r="H33" s="23" t="n"/>
      <c r="I33" s="23" t="n"/>
      <c r="J33" s="23" t="n">
        <v>7730251.191655045</v>
      </c>
      <c r="K33" s="23" t="n"/>
      <c r="L33" s="23" t="n">
        <v>50000</v>
      </c>
      <c r="M33" s="23" t="n">
        <v>1674650.018453572</v>
      </c>
      <c r="N33" s="34" t="n">
        <v>7895.343938225811</v>
      </c>
      <c r="O33" s="23" t="n">
        <v>50000</v>
      </c>
      <c r="P33" s="23" t="n">
        <v>1453591.923009539</v>
      </c>
      <c r="Q33" s="34" t="n">
        <v>6820.699090797827</v>
      </c>
      <c r="R33" s="23" t="n">
        <v>50000</v>
      </c>
      <c r="S33" s="23" t="n">
        <v>1242205.631192359</v>
      </c>
      <c r="T33" s="34" t="n">
        <v>5793.072444228106</v>
      </c>
      <c r="U33" s="23" t="n">
        <v>50000</v>
      </c>
      <c r="V33" s="23" t="n">
        <v>1040067.979194306</v>
      </c>
      <c r="W33" s="34" t="n">
        <v>4810.406843339035</v>
      </c>
      <c r="X33" s="23" t="n">
        <v>50000</v>
      </c>
      <c r="Y33" s="23" t="n">
        <v>846774.3176042548</v>
      </c>
      <c r="Z33" s="34" t="n">
        <v>3870.735138256301</v>
      </c>
      <c r="AA33" s="23" t="n">
        <v>50000</v>
      </c>
      <c r="AB33" s="23" t="n">
        <v>661937.7013599481</v>
      </c>
      <c r="AC33" s="34" t="n">
        <v>2972.176246468234</v>
      </c>
      <c r="AD33" s="23" t="n">
        <v>50000</v>
      </c>
      <c r="AE33" s="23" t="n">
        <v>485188.115141734</v>
      </c>
      <c r="AF33" s="34" t="n">
        <v>2112.931387179543</v>
      </c>
      <c r="AG33" s="23" t="n">
        <v>50000</v>
      </c>
      <c r="AH33" s="23" t="n">
        <v>316171.7326571181</v>
      </c>
      <c r="AI33" s="34" t="n">
        <v>1291.280480420525</v>
      </c>
      <c r="AJ33" s="23" t="n">
        <v>50000</v>
      </c>
      <c r="AK33" s="23" t="n">
        <v>154550.2083333333</v>
      </c>
      <c r="AL33" s="34" t="n">
        <v>505.5787037037051</v>
      </c>
      <c r="AM33" s="23" t="n"/>
      <c r="AN33" s="23" t="n"/>
      <c r="AO33" s="23" t="n"/>
      <c r="AP33" s="23" t="n"/>
      <c r="AQ33" s="23" t="n"/>
      <c r="AR33" s="23" t="n"/>
    </row>
    <row r="34">
      <c r="A34" s="17" t="n">
        <v>31</v>
      </c>
      <c r="B34" s="17" t="inlineStr">
        <is>
          <t>Dec-28</t>
        </is>
      </c>
      <c r="C34" s="18" t="n">
        <v>200000</v>
      </c>
      <c r="D34" s="18" t="n">
        <v>8430763.059050163</v>
      </c>
      <c r="E34" s="18" t="n"/>
      <c r="F34" s="18" t="n">
        <v>40000</v>
      </c>
      <c r="G34" s="18" t="n">
        <v>1524657.954271653</v>
      </c>
      <c r="H34" s="34" t="n">
        <v>7215.326612088411</v>
      </c>
      <c r="I34" s="18" t="n"/>
      <c r="J34" s="18" t="n">
        <v>7821067.62026112</v>
      </c>
      <c r="K34" s="34" t="n">
        <v>38021.09125484377</v>
      </c>
      <c r="L34" s="18" t="n">
        <v>50000</v>
      </c>
      <c r="M34" s="18" t="n">
        <v>1753394.185427798</v>
      </c>
      <c r="N34" s="18" t="n"/>
      <c r="O34" s="18" t="n">
        <v>50000</v>
      </c>
      <c r="P34" s="18" t="n">
        <v>1528651.788393032</v>
      </c>
      <c r="Q34" s="18" t="n"/>
      <c r="R34" s="18" t="n">
        <v>50000</v>
      </c>
      <c r="S34" s="18" t="n">
        <v>1313742.391712232</v>
      </c>
      <c r="T34" s="18" t="n"/>
      <c r="U34" s="18" t="n">
        <v>50000</v>
      </c>
      <c r="V34" s="18" t="n">
        <v>1108235.778847544</v>
      </c>
      <c r="W34" s="18" t="n"/>
      <c r="X34" s="18" t="n">
        <v>50000</v>
      </c>
      <c r="Y34" s="18" t="n">
        <v>911720.5562309924</v>
      </c>
      <c r="Z34" s="18" t="n"/>
      <c r="AA34" s="18" t="n">
        <v>50000</v>
      </c>
      <c r="AB34" s="18" t="n">
        <v>723803.3297159473</v>
      </c>
      <c r="AC34" s="18" t="n"/>
      <c r="AD34" s="18" t="n">
        <v>50000</v>
      </c>
      <c r="AE34" s="18" t="n">
        <v>544107.9170607629</v>
      </c>
      <c r="AF34" s="18" t="n"/>
      <c r="AG34" s="18" t="n">
        <v>50000</v>
      </c>
      <c r="AH34" s="18" t="n">
        <v>372274.5948680701</v>
      </c>
      <c r="AI34" s="18" t="n"/>
      <c r="AJ34" s="18" t="n">
        <v>50000</v>
      </c>
      <c r="AK34" s="18" t="n">
        <v>207959.3784722222</v>
      </c>
      <c r="AL34" s="18" t="n"/>
      <c r="AM34" s="18" t="n">
        <v>50000</v>
      </c>
      <c r="AN34" s="18" t="n">
        <v>50833.33333333334</v>
      </c>
      <c r="AO34" s="18" t="n"/>
      <c r="AP34" s="18" t="n"/>
      <c r="AQ34" s="18" t="n"/>
      <c r="AR34" s="18" t="n"/>
    </row>
    <row r="35">
      <c r="A35" s="22" t="n">
        <v>32</v>
      </c>
      <c r="B35" s="22" t="inlineStr">
        <is>
          <t>Jan-29</t>
        </is>
      </c>
      <c r="C35" s="23" t="n">
        <v>200000</v>
      </c>
      <c r="D35" s="23" t="n">
        <v>8774609.110034334</v>
      </c>
      <c r="E35" s="23" t="n"/>
      <c r="F35" s="23" t="n">
        <v>40000</v>
      </c>
      <c r="G35" s="23" t="n">
        <v>1590735.586842847</v>
      </c>
      <c r="H35" s="23" t="n"/>
      <c r="I35" s="23" t="n"/>
      <c r="J35" s="23" t="n">
        <v>7951418.747265472</v>
      </c>
      <c r="K35" s="23" t="n"/>
      <c r="L35" s="23" t="n">
        <v>50000</v>
      </c>
      <c r="M35" s="23" t="n">
        <v>1833450.755184928</v>
      </c>
      <c r="N35" s="23" t="n"/>
      <c r="O35" s="23" t="n">
        <v>50000</v>
      </c>
      <c r="P35" s="23" t="n">
        <v>1604962.651532916</v>
      </c>
      <c r="Q35" s="23" t="n"/>
      <c r="R35" s="23" t="n">
        <v>50000</v>
      </c>
      <c r="S35" s="23" t="n">
        <v>1386471.431574102</v>
      </c>
      <c r="T35" s="23" t="n"/>
      <c r="U35" s="23" t="n">
        <v>50000</v>
      </c>
      <c r="V35" s="23" t="n">
        <v>1177539.708495004</v>
      </c>
      <c r="W35" s="23" t="n"/>
      <c r="X35" s="23" t="n">
        <v>50000</v>
      </c>
      <c r="Y35" s="23" t="n">
        <v>977749.2321681756</v>
      </c>
      <c r="Z35" s="23" t="n"/>
      <c r="AA35" s="23" t="n">
        <v>50000</v>
      </c>
      <c r="AB35" s="23" t="n">
        <v>786700.0518778798</v>
      </c>
      <c r="AC35" s="23" t="n"/>
      <c r="AD35" s="23" t="n">
        <v>50000</v>
      </c>
      <c r="AE35" s="23" t="n">
        <v>604009.7156784423</v>
      </c>
      <c r="AF35" s="23" t="n"/>
      <c r="AG35" s="23" t="n">
        <v>50000</v>
      </c>
      <c r="AH35" s="23" t="n">
        <v>429312.5047825379</v>
      </c>
      <c r="AI35" s="23" t="n"/>
      <c r="AJ35" s="23" t="n">
        <v>50000</v>
      </c>
      <c r="AK35" s="23" t="n">
        <v>262258.7014467593</v>
      </c>
      <c r="AL35" s="23" t="n"/>
      <c r="AM35" s="23" t="n">
        <v>50000</v>
      </c>
      <c r="AN35" s="23" t="n">
        <v>102513.8888888889</v>
      </c>
      <c r="AO35" s="23" t="n"/>
      <c r="AP35" s="23" t="n"/>
      <c r="AQ35" s="23" t="n"/>
      <c r="AR35" s="23" t="n"/>
    </row>
    <row r="36">
      <c r="A36" s="17" t="n">
        <v>33</v>
      </c>
      <c r="B36" s="17" t="inlineStr">
        <is>
          <t>Feb-29</t>
        </is>
      </c>
      <c r="C36" s="18" t="n">
        <v>200000</v>
      </c>
      <c r="D36" s="18" t="n">
        <v>9081022.71853881</v>
      </c>
      <c r="E36" s="34" t="n">
        <v>43163.20999609754</v>
      </c>
      <c r="F36" s="18" t="n">
        <v>40000</v>
      </c>
      <c r="G36" s="18" t="n">
        <v>1657914.513290228</v>
      </c>
      <c r="H36" s="18" t="n"/>
      <c r="I36" s="18" t="n"/>
      <c r="J36" s="18" t="n">
        <v>8083942.39305323</v>
      </c>
      <c r="K36" s="18" t="n"/>
      <c r="L36" s="18" t="n">
        <v>50000</v>
      </c>
      <c r="M36" s="18" t="n">
        <v>1905822.442839566</v>
      </c>
      <c r="N36" s="34" t="n">
        <v>9019.158265110502</v>
      </c>
      <c r="O36" s="18" t="n">
        <v>50000</v>
      </c>
      <c r="P36" s="18" t="n">
        <v>1674650.018453572</v>
      </c>
      <c r="Q36" s="34" t="n">
        <v>7895.343938225811</v>
      </c>
      <c r="R36" s="18" t="n">
        <v>50000</v>
      </c>
      <c r="S36" s="18" t="n">
        <v>1453591.923009539</v>
      </c>
      <c r="T36" s="34" t="n">
        <v>6820.699090797827</v>
      </c>
      <c r="U36" s="18" t="n">
        <v>50000</v>
      </c>
      <c r="V36" s="18" t="n">
        <v>1242205.631192359</v>
      </c>
      <c r="W36" s="34" t="n">
        <v>5793.072444228106</v>
      </c>
      <c r="X36" s="18" t="n">
        <v>50000</v>
      </c>
      <c r="Y36" s="18" t="n">
        <v>1040067.979194306</v>
      </c>
      <c r="Z36" s="34" t="n">
        <v>4810.406843339035</v>
      </c>
      <c r="AA36" s="18" t="n">
        <v>50000</v>
      </c>
      <c r="AB36" s="18" t="n">
        <v>846774.3176042548</v>
      </c>
      <c r="AC36" s="34" t="n">
        <v>3870.735138256301</v>
      </c>
      <c r="AD36" s="18" t="n">
        <v>50000</v>
      </c>
      <c r="AE36" s="18" t="n">
        <v>661937.7013599481</v>
      </c>
      <c r="AF36" s="34" t="n">
        <v>2972.176246468234</v>
      </c>
      <c r="AG36" s="18" t="n">
        <v>50000</v>
      </c>
      <c r="AH36" s="18" t="n">
        <v>485188.115141734</v>
      </c>
      <c r="AI36" s="34" t="n">
        <v>2112.931387179543</v>
      </c>
      <c r="AJ36" s="18" t="n">
        <v>50000</v>
      </c>
      <c r="AK36" s="18" t="n">
        <v>316171.7326571181</v>
      </c>
      <c r="AL36" s="34" t="n">
        <v>1291.280480420525</v>
      </c>
      <c r="AM36" s="18" t="n">
        <v>50000</v>
      </c>
      <c r="AN36" s="18" t="n">
        <v>154550.2083333333</v>
      </c>
      <c r="AO36" s="34" t="n">
        <v>505.5787037037051</v>
      </c>
      <c r="AP36" s="18" t="n"/>
      <c r="AQ36" s="18" t="n"/>
      <c r="AR36" s="18" t="n"/>
    </row>
    <row r="37">
      <c r="A37" s="22" t="n">
        <v>34</v>
      </c>
      <c r="B37" s="22" t="inlineStr">
        <is>
          <t>Mar-29</t>
        </is>
      </c>
      <c r="C37" s="23" t="n">
        <v>200000</v>
      </c>
      <c r="D37" s="23" t="n">
        <v>9435706.430514457</v>
      </c>
      <c r="E37" s="23" t="n"/>
      <c r="F37" s="23" t="n">
        <v>40000</v>
      </c>
      <c r="G37" s="23" t="n">
        <v>1718057.575087724</v>
      </c>
      <c r="H37" s="34" t="n">
        <v>8155.513424007898</v>
      </c>
      <c r="I37" s="23" t="n"/>
      <c r="J37" s="23" t="n">
        <v>8178914.051669817</v>
      </c>
      <c r="K37" s="34" t="n">
        <v>39760.71460096641</v>
      </c>
      <c r="L37" s="23" t="n">
        <v>50000</v>
      </c>
      <c r="M37" s="23" t="n">
        <v>1988419.483553559</v>
      </c>
      <c r="N37" s="23" t="n"/>
      <c r="O37" s="23" t="n">
        <v>50000</v>
      </c>
      <c r="P37" s="23" t="n">
        <v>1753394.185427798</v>
      </c>
      <c r="Q37" s="23" t="n"/>
      <c r="R37" s="23" t="n">
        <v>50000</v>
      </c>
      <c r="S37" s="23" t="n">
        <v>1528651.788393032</v>
      </c>
      <c r="T37" s="23" t="n"/>
      <c r="U37" s="23" t="n">
        <v>50000</v>
      </c>
      <c r="V37" s="23" t="n">
        <v>1313742.391712232</v>
      </c>
      <c r="W37" s="23" t="n"/>
      <c r="X37" s="23" t="n">
        <v>50000</v>
      </c>
      <c r="Y37" s="23" t="n">
        <v>1108235.778847544</v>
      </c>
      <c r="Z37" s="23" t="n"/>
      <c r="AA37" s="23" t="n">
        <v>50000</v>
      </c>
      <c r="AB37" s="23" t="n">
        <v>911720.5562309924</v>
      </c>
      <c r="AC37" s="23" t="n"/>
      <c r="AD37" s="23" t="n">
        <v>50000</v>
      </c>
      <c r="AE37" s="23" t="n">
        <v>723803.3297159473</v>
      </c>
      <c r="AF37" s="23" t="n"/>
      <c r="AG37" s="23" t="n">
        <v>50000</v>
      </c>
      <c r="AH37" s="23" t="n">
        <v>544107.9170607629</v>
      </c>
      <c r="AI37" s="23" t="n"/>
      <c r="AJ37" s="23" t="n">
        <v>50000</v>
      </c>
      <c r="AK37" s="23" t="n">
        <v>372274.5948680701</v>
      </c>
      <c r="AL37" s="23" t="n"/>
      <c r="AM37" s="23" t="n">
        <v>50000</v>
      </c>
      <c r="AN37" s="23" t="n">
        <v>207959.3784722222</v>
      </c>
      <c r="AO37" s="23" t="n"/>
      <c r="AP37" s="23" t="n">
        <v>50000</v>
      </c>
      <c r="AQ37" s="23" t="n">
        <v>50833.33333333334</v>
      </c>
      <c r="AR37" s="23" t="n"/>
    </row>
    <row r="38">
      <c r="A38" s="17" t="n">
        <v>35</v>
      </c>
      <c r="B38" s="17" t="inlineStr">
        <is>
          <t>Apr-29</t>
        </is>
      </c>
      <c r="C38" s="18" t="n">
        <v>200000</v>
      </c>
      <c r="D38" s="18" t="n">
        <v>9796301.537689697</v>
      </c>
      <c r="E38" s="18" t="n"/>
      <c r="F38" s="18" t="n">
        <v>40000</v>
      </c>
      <c r="G38" s="18" t="n">
        <v>1787358.534672519</v>
      </c>
      <c r="H38" s="18" t="n"/>
      <c r="I38" s="18" t="n"/>
      <c r="J38" s="18" t="n">
        <v>8315229.285864314</v>
      </c>
      <c r="K38" s="18" t="n"/>
      <c r="L38" s="18" t="n">
        <v>50000</v>
      </c>
      <c r="M38" s="18" t="n">
        <v>2072393.141612785</v>
      </c>
      <c r="N38" s="18" t="n"/>
      <c r="O38" s="18" t="n">
        <v>50000</v>
      </c>
      <c r="P38" s="18" t="n">
        <v>1833450.755184928</v>
      </c>
      <c r="Q38" s="18" t="n"/>
      <c r="R38" s="18" t="n">
        <v>50000</v>
      </c>
      <c r="S38" s="18" t="n">
        <v>1604962.651532916</v>
      </c>
      <c r="T38" s="18" t="n"/>
      <c r="U38" s="18" t="n">
        <v>50000</v>
      </c>
      <c r="V38" s="18" t="n">
        <v>1386471.431574102</v>
      </c>
      <c r="W38" s="18" t="n"/>
      <c r="X38" s="18" t="n">
        <v>50000</v>
      </c>
      <c r="Y38" s="18" t="n">
        <v>1177539.708495004</v>
      </c>
      <c r="Z38" s="18" t="n"/>
      <c r="AA38" s="18" t="n">
        <v>50000</v>
      </c>
      <c r="AB38" s="18" t="n">
        <v>977749.2321681756</v>
      </c>
      <c r="AC38" s="18" t="n"/>
      <c r="AD38" s="18" t="n">
        <v>50000</v>
      </c>
      <c r="AE38" s="18" t="n">
        <v>786700.0518778798</v>
      </c>
      <c r="AF38" s="18" t="n"/>
      <c r="AG38" s="18" t="n">
        <v>50000</v>
      </c>
      <c r="AH38" s="18" t="n">
        <v>604009.7156784423</v>
      </c>
      <c r="AI38" s="18" t="n"/>
      <c r="AJ38" s="18" t="n">
        <v>50000</v>
      </c>
      <c r="AK38" s="18" t="n">
        <v>429312.5047825379</v>
      </c>
      <c r="AL38" s="18" t="n"/>
      <c r="AM38" s="18" t="n">
        <v>50000</v>
      </c>
      <c r="AN38" s="18" t="n">
        <v>262258.7014467593</v>
      </c>
      <c r="AO38" s="18" t="n"/>
      <c r="AP38" s="18" t="n">
        <v>50000</v>
      </c>
      <c r="AQ38" s="18" t="n">
        <v>102513.8888888889</v>
      </c>
      <c r="AR38" s="18" t="n"/>
    </row>
    <row r="39">
      <c r="A39" s="22" t="n">
        <v>36</v>
      </c>
      <c r="B39" s="22" t="inlineStr">
        <is>
          <t>May-29</t>
        </is>
      </c>
      <c r="C39" s="23" t="n">
        <v>200000</v>
      </c>
      <c r="D39" s="23" t="n">
        <v>10114718.17883995</v>
      </c>
      <c r="E39" s="34" t="n">
        <v>48188.38447790482</v>
      </c>
      <c r="F39" s="23" t="n">
        <v>40000</v>
      </c>
      <c r="G39" s="23" t="n">
        <v>1857814.510250395</v>
      </c>
      <c r="H39" s="23" t="n"/>
      <c r="I39" s="23" t="n"/>
      <c r="J39" s="23" t="n">
        <v>8453816.440628719</v>
      </c>
      <c r="K39" s="23" t="n"/>
      <c r="L39" s="23" t="n">
        <v>50000</v>
      </c>
      <c r="M39" s="23" t="n">
        <v>2147571.968859655</v>
      </c>
      <c r="N39" s="34" t="n">
        <v>10194.39178000987</v>
      </c>
      <c r="O39" s="23" t="n">
        <v>50000</v>
      </c>
      <c r="P39" s="23" t="n">
        <v>1905822.442839566</v>
      </c>
      <c r="Q39" s="34" t="n">
        <v>9019.158265110502</v>
      </c>
      <c r="R39" s="23" t="n">
        <v>50000</v>
      </c>
      <c r="S39" s="23" t="n">
        <v>1674650.018453572</v>
      </c>
      <c r="T39" s="34" t="n">
        <v>7895.343938225811</v>
      </c>
      <c r="U39" s="23" t="n">
        <v>50000</v>
      </c>
      <c r="V39" s="23" t="n">
        <v>1453591.923009539</v>
      </c>
      <c r="W39" s="34" t="n">
        <v>6820.699090797827</v>
      </c>
      <c r="X39" s="23" t="n">
        <v>50000</v>
      </c>
      <c r="Y39" s="23" t="n">
        <v>1242205.631192359</v>
      </c>
      <c r="Z39" s="34" t="n">
        <v>5793.072444228106</v>
      </c>
      <c r="AA39" s="23" t="n">
        <v>50000</v>
      </c>
      <c r="AB39" s="23" t="n">
        <v>1040067.979194306</v>
      </c>
      <c r="AC39" s="34" t="n">
        <v>4810.406843339035</v>
      </c>
      <c r="AD39" s="23" t="n">
        <v>50000</v>
      </c>
      <c r="AE39" s="23" t="n">
        <v>846774.3176042548</v>
      </c>
      <c r="AF39" s="34" t="n">
        <v>3870.735138256301</v>
      </c>
      <c r="AG39" s="23" t="n">
        <v>50000</v>
      </c>
      <c r="AH39" s="23" t="n">
        <v>661937.7013599481</v>
      </c>
      <c r="AI39" s="34" t="n">
        <v>2972.176246468234</v>
      </c>
      <c r="AJ39" s="23" t="n">
        <v>50000</v>
      </c>
      <c r="AK39" s="23" t="n">
        <v>485188.115141734</v>
      </c>
      <c r="AL39" s="34" t="n">
        <v>2112.931387179543</v>
      </c>
      <c r="AM39" s="23" t="n">
        <v>50000</v>
      </c>
      <c r="AN39" s="23" t="n">
        <v>316171.7326571181</v>
      </c>
      <c r="AO39" s="34" t="n">
        <v>1291.280480420525</v>
      </c>
      <c r="AP39" s="23" t="n">
        <v>50000</v>
      </c>
      <c r="AQ39" s="23" t="n">
        <v>154550.2083333333</v>
      </c>
      <c r="AR39" s="34" t="n">
        <v>505.5787037037051</v>
      </c>
    </row>
    <row r="40">
      <c r="A40" s="35" t="inlineStr">
        <is>
          <t>TOTAL</t>
        </is>
      </c>
      <c r="B40" s="36" t="inlineStr"/>
      <c r="C40" s="27" t="n">
        <v>7500000</v>
      </c>
      <c r="D40" s="27" t="n">
        <v>10114718.17883995</v>
      </c>
      <c r="E40" s="27" t="n">
        <v>290524.242093328</v>
      </c>
      <c r="F40" s="27" t="n">
        <v>1400000</v>
      </c>
      <c r="G40" s="27" t="n">
        <v>1857814.510250395</v>
      </c>
      <c r="H40" s="27" t="n">
        <v>44228.61945419155</v>
      </c>
      <c r="I40" s="27" t="n">
        <v>5000000</v>
      </c>
      <c r="J40" s="27" t="n">
        <v>8453816.440628719</v>
      </c>
      <c r="K40" s="27" t="n">
        <v>353212.6724077573</v>
      </c>
      <c r="L40" s="27" t="n">
        <v>1650000</v>
      </c>
      <c r="M40" s="27" t="n">
        <v>2147571.968859655</v>
      </c>
      <c r="N40" s="27" t="n">
        <v>55285.77431773946</v>
      </c>
      <c r="O40" s="27" t="n">
        <v>1500000</v>
      </c>
      <c r="P40" s="27" t="n">
        <v>1905822.442839566</v>
      </c>
      <c r="Q40" s="27" t="n">
        <v>45091.38253772959</v>
      </c>
      <c r="R40" s="27" t="n">
        <v>1350000</v>
      </c>
      <c r="S40" s="27" t="n">
        <v>1674650.018453572</v>
      </c>
      <c r="T40" s="27" t="n">
        <v>36072.22427261909</v>
      </c>
      <c r="U40" s="27" t="n">
        <v>1200000</v>
      </c>
      <c r="V40" s="27" t="n">
        <v>1453591.923009539</v>
      </c>
      <c r="W40" s="27" t="n">
        <v>28176.88033439328</v>
      </c>
      <c r="X40" s="27" t="n">
        <v>1050000</v>
      </c>
      <c r="Y40" s="27" t="n">
        <v>1242205.631192359</v>
      </c>
      <c r="Z40" s="27" t="n">
        <v>21356.18124359545</v>
      </c>
      <c r="AA40" s="27" t="n">
        <v>900000</v>
      </c>
      <c r="AB40" s="27" t="n">
        <v>1040067.979194306</v>
      </c>
      <c r="AC40" s="27" t="n">
        <v>15563.10879936734</v>
      </c>
      <c r="AD40" s="27" t="n">
        <v>750000</v>
      </c>
      <c r="AE40" s="27" t="n">
        <v>846774.3176042548</v>
      </c>
      <c r="AF40" s="27" t="n">
        <v>10752.70195602831</v>
      </c>
      <c r="AG40" s="27" t="n">
        <v>600000</v>
      </c>
      <c r="AH40" s="27" t="n">
        <v>661937.7013599481</v>
      </c>
      <c r="AI40" s="27" t="n">
        <v>6881.966817772008</v>
      </c>
      <c r="AJ40" s="27" t="n">
        <v>450000</v>
      </c>
      <c r="AK40" s="27" t="n">
        <v>485188.115141734</v>
      </c>
      <c r="AL40" s="27" t="n">
        <v>3909.790571303774</v>
      </c>
      <c r="AM40" s="27" t="n">
        <v>300000</v>
      </c>
      <c r="AN40" s="27" t="n">
        <v>316171.7326571181</v>
      </c>
      <c r="AO40" s="27" t="n">
        <v>1796.859184124231</v>
      </c>
      <c r="AP40" s="27" t="n">
        <v>150000</v>
      </c>
      <c r="AQ40" s="27" t="n">
        <v>154550.2083333333</v>
      </c>
      <c r="AR40" s="27" t="n">
        <v>505.5787037037051</v>
      </c>
    </row>
  </sheetData>
  <mergeCells count="15">
    <mergeCell ref="C2:E2"/>
    <mergeCell ref="A1:D1"/>
    <mergeCell ref="U2:W2"/>
    <mergeCell ref="X2:Z2"/>
    <mergeCell ref="AA2:AC2"/>
    <mergeCell ref="I2:K2"/>
    <mergeCell ref="AG2:AI2"/>
    <mergeCell ref="AD2:AF2"/>
    <mergeCell ref="R2:T2"/>
    <mergeCell ref="AJ2:AL2"/>
    <mergeCell ref="AP2:AR2"/>
    <mergeCell ref="F2:H2"/>
    <mergeCell ref="L2:N2"/>
    <mergeCell ref="O2:Q2"/>
    <mergeCell ref="AM2:A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2026-05-20T15:33:23Z</dcterms:created>
  <dcterms:modified xmlns:dcterms="http://purl.org/dc/terms/" xmlns:xsi="http://www.w3.org/2001/XMLSchema-instance" xsi:type="dcterms:W3CDTF">2026-05-20T15:33:24Z</dcterms:modified>
</cp:coreProperties>
</file>